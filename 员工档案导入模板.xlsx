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75B1558D-FBE5-4807-9C55-0CB7AB20A8FC}" xr6:coauthVersionLast="47" xr6:coauthVersionMax="47" xr10:uidLastSave="{00000000-0000-0000-0000-000000000000}"/>
  <bookViews>
    <workbookView xWindow="-108" yWindow="-108" windowWidth="46296" windowHeight="25416" xr2:uid="{00000000-000D-0000-FFFF-FFFF00000000}"/>
  </bookViews>
  <sheets>
    <sheet name="员工主表" sheetId="1" r:id="rId1"/>
    <sheet name="Sheet1" sheetId="17" r:id="rId2"/>
    <sheet name="Sheet3" sheetId="16" r:id="rId3"/>
    <sheet name="任职记录" sheetId="2" r:id="rId4"/>
    <sheet name="教育经历" sheetId="3" r:id="rId5"/>
    <sheet name="地址信息" sheetId="4" r:id="rId6"/>
    <sheet name="合同记录" sheetId="5" r:id="rId7"/>
    <sheet name="家庭成员" sheetId="6" r:id="rId8"/>
    <sheet name="职称职业资格" sheetId="7" r:id="rId9"/>
    <sheet name="培训记录" sheetId="8" r:id="rId10"/>
    <sheet name="奖惩记录" sheetId="9" r:id="rId11"/>
    <sheet name="入职前工作经历" sheetId="10" r:id="rId12"/>
    <sheet name="薪酬调整记录" sheetId="11" r:id="rId13"/>
    <sheet name="飞书账号映射" sheetId="12" r:id="rId14"/>
  </sheets>
  <externalReferences>
    <externalReference r:id="rId15"/>
  </externalReferences>
  <definedNames>
    <definedName name="_xlnm._FilterDatabase" localSheetId="6" hidden="1">合同记录!$A$3:$G$322</definedName>
    <definedName name="_xlnm._FilterDatabase" localSheetId="8"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 i="1" l="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4" i="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4" i="11"/>
  <c r="E323"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4" i="11"/>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4" i="2"/>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4" i="1"/>
  <c r="Y325" i="16"/>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U4" i="16" l="1"/>
  <c r="U3" i="16"/>
  <c r="C325" i="1" l="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sharedStrings.xml><?xml version="1.0" encoding="utf-8"?>
<sst xmlns="http://schemas.openxmlformats.org/spreadsheetml/2006/main" count="50570" uniqueCount="10027">
  <si>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</si>
  <si>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</si>
  <si>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</si>
  <si>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</si>
  <si>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</si>
  <si>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</si>
  <si>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</si>
  <si>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</si>
  <si>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</si>
  <si>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</si>
  <si>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</si>
  <si>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</si>
  <si>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</si>
  <si>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</si>
  <si>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</si>
  <si>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</si>
  <si>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</si>
  <si>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</si>
  <si>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</si>
  <si>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</si>
  <si>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</si>
  <si>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</si>
  <si>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</si>
  <si>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</si>
  <si>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</si>
  <si>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</si>
  <si>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</si>
  <si>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</si>
  <si>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</si>
  <si>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</si>
  <si>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</si>
  <si>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</si>
  <si>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</si>
  <si>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</si>
  <si>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</si>
  <si>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</si>
  <si>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</si>
  <si>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</si>
  <si>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</si>
  <si>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</si>
  <si>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</si>
  <si>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</si>
  <si>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</si>
  <si>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</si>
  <si>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</si>
  <si>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</si>
  <si>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</si>
  <si>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</si>
  <si>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</si>
  <si>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</si>
  <si>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</si>
  <si>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</si>
  <si>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工前年限_pre_work_years</t>
  </si>
  <si>
    <t>合同到期日_contract_expire_date</t>
  </si>
  <si>
    <t>社保关系_social_insurance_relation</t>
  </si>
  <si>
    <t>竞业限制签署_non_compete_signed</t>
  </si>
  <si>
    <t>竞业限制期限_non_compete_period</t>
  </si>
  <si>
    <t>技术部</t>
  </si>
  <si>
    <t>5</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</si>
  <si>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</si>
  <si>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</si>
  <si>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</si>
  <si>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</si>
  <si>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</si>
  <si>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</si>
  <si>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</si>
  <si>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</si>
  <si>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</si>
  <si>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</si>
  <si>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</si>
  <si>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</si>
  <si>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</si>
  <si>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</si>
  <si>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</si>
  <si>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</si>
  <si>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</si>
  <si>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</si>
  <si>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</si>
  <si>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</si>
  <si>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</si>
  <si>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</si>
  <si>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</si>
  <si>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</si>
  <si>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</si>
  <si>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</si>
  <si>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</si>
  <si>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</si>
  <si>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</si>
  <si>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</si>
  <si>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</si>
  <si>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</si>
  <si>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</si>
  <si>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</si>
  <si>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</si>
  <si>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</si>
  <si>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</si>
  <si>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</si>
  <si>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</si>
  <si>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</si>
  <si>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</si>
  <si>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</si>
  <si>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</si>
  <si>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</si>
  <si>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</si>
  <si>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</si>
  <si>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</si>
  <si>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</si>
  <si>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</si>
  <si>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</si>
  <si>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</si>
  <si>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</si>
  <si>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</si>
  <si>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</si>
  <si>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</si>
  <si>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</si>
  <si>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</si>
  <si>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</si>
  <si>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</si>
  <si>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</si>
  <si>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</si>
  <si>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</si>
  <si>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</si>
  <si>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</si>
  <si>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</si>
  <si>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</si>
  <si>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</si>
  <si>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</si>
  <si>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</si>
  <si>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</si>
  <si>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</si>
  <si>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</si>
  <si>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</si>
  <si>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</si>
  <si>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</si>
  <si>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</si>
  <si>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</si>
  <si>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</si>
  <si>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</si>
  <si>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</si>
  <si>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</si>
  <si>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</si>
  <si>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</si>
  <si>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</si>
  <si>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</si>
  <si>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</si>
  <si>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</si>
  <si>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</si>
  <si>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</si>
  <si>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</si>
  <si>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</si>
  <si>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</si>
  <si>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</si>
  <si>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</si>
  <si>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</si>
  <si>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</si>
  <si>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</si>
  <si>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</si>
  <si>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</si>
  <si>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</si>
  <si>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</si>
  <si>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</si>
  <si>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</si>
  <si>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</si>
  <si>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</si>
  <si>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</si>
  <si>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</si>
  <si>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</si>
  <si>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</si>
  <si>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</si>
  <si>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</si>
  <si>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</si>
  <si>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</si>
  <si>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</si>
  <si>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</si>
  <si>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</si>
  <si>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</si>
  <si>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</si>
  <si>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</si>
  <si>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</si>
  <si>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</si>
  <si>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</si>
  <si>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</si>
  <si>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</si>
  <si>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</si>
  <si>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</si>
  <si>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</si>
  <si>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</si>
  <si>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</si>
  <si>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</si>
  <si>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</si>
  <si>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</si>
  <si>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一级部门</t>
  </si>
  <si>
    <t>二级部门</t>
  </si>
  <si>
    <t>三级部门</t>
  </si>
  <si>
    <t>四级部门</t>
  </si>
  <si>
    <t>五级部门</t>
  </si>
  <si>
    <t>直属上级</t>
  </si>
  <si>
    <t>虚线上级</t>
  </si>
  <si>
    <t>人员类型</t>
  </si>
  <si>
    <t>分机号</t>
  </si>
  <si>
    <t>工作地点</t>
  </si>
  <si>
    <t>工位</t>
  </si>
  <si>
    <t>入职日期</t>
  </si>
  <si>
    <t>司龄</t>
  </si>
  <si>
    <t>试用期（月）</t>
  </si>
  <si>
    <t>转正日期</t>
  </si>
  <si>
    <t>转正状态</t>
  </si>
  <si>
    <t>公司</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</si>
  <si>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</si>
  <si>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</si>
  <si>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</si>
  <si>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</si>
  <si>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</si>
  <si>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</si>
  <si>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</si>
  <si>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</si>
  <si>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</si>
  <si>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</si>
  <si>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</si>
  <si>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</si>
  <si>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</si>
  <si>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</si>
  <si>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</si>
  <si>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</si>
  <si>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</si>
  <si>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</si>
  <si>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</si>
  <si>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</si>
  <si>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</si>
  <si>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</si>
  <si>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</si>
  <si>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</si>
  <si>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</si>
  <si>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</si>
  <si>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</si>
  <si>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</si>
  <si>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</si>
  <si>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</si>
  <si>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</si>
  <si>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</si>
  <si>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</si>
  <si>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</si>
  <si>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t>
  </si>
  <si>
    <t>正式</t>
  </si>
  <si>
    <t/>
  </si>
  <si>
    <t>1</t>
  </si>
  <si>
    <t>25aca1bd</t>
  </si>
  <si>
    <t>王珺</t>
  </si>
  <si>
    <t>brilliantvi@qq.com</t>
  </si>
  <si>
    <t>24</t>
  </si>
  <si>
    <t>中国</t>
  </si>
  <si>
    <t>彝族</t>
  </si>
  <si>
    <t>本市城镇</t>
  </si>
  <si>
    <t>未婚</t>
  </si>
  <si>
    <t>00692</t>
  </si>
  <si>
    <t>研发部</t>
  </si>
  <si>
    <t>昆明三行智造科技有限公司</t>
  </si>
  <si>
    <t>2</t>
  </si>
  <si>
    <t>e6731caa</t>
  </si>
  <si>
    <t>招商银行</t>
  </si>
  <si>
    <t>6214838760274508</t>
  </si>
  <si>
    <t>居民身份证</t>
  </si>
  <si>
    <t>530122200201242019</t>
  </si>
  <si>
    <t>北京理工大学</t>
  </si>
  <si>
    <t>能源与动力工程</t>
  </si>
  <si>
    <t>王静源</t>
  </si>
  <si>
    <t>父母</t>
  </si>
  <si>
    <t>13529187977</t>
  </si>
  <si>
    <t>刘泓民</t>
  </si>
  <si>
    <t>1963233132@qq.com</t>
  </si>
  <si>
    <t>外埠农村</t>
  </si>
  <si>
    <t>云南省宣威市来宾街道</t>
  </si>
  <si>
    <t>共青团员</t>
  </si>
  <si>
    <t>2025-06-30</t>
  </si>
  <si>
    <t>00691</t>
  </si>
  <si>
    <t>质量工程师</t>
  </si>
  <si>
    <t>2026-03-17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</si>
  <si>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</si>
  <si>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</si>
  <si>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</si>
  <si>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</si>
  <si>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</si>
  <si>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</si>
  <si>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</si>
  <si>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</si>
  <si>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</si>
  <si>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</si>
  <si>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</si>
  <si>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</si>
  <si>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王坤梅</t>
  </si>
  <si>
    <t>18788134046</t>
  </si>
  <si>
    <t>邓俊</t>
  </si>
  <si>
    <t>35</t>
  </si>
  <si>
    <t>本市农村</t>
  </si>
  <si>
    <t>富民县</t>
  </si>
  <si>
    <t>00690</t>
  </si>
  <si>
    <t>保安</t>
  </si>
  <si>
    <t>保安组</t>
  </si>
  <si>
    <t>保障部</t>
  </si>
  <si>
    <t>2026-03-16</t>
  </si>
  <si>
    <t>g75bea8a</t>
  </si>
  <si>
    <t>云南农信</t>
  </si>
  <si>
    <t>6231900021705530907</t>
  </si>
  <si>
    <t>53012419901116001X</t>
  </si>
  <si>
    <t>2043-11-14</t>
  </si>
  <si>
    <t>大专</t>
  </si>
  <si>
    <t>昆明广播电视大学</t>
  </si>
  <si>
    <t>2011-06-30</t>
  </si>
  <si>
    <t>电算化会计</t>
  </si>
  <si>
    <t>昆明福阁装饰有限公司</t>
  </si>
  <si>
    <t>销售部</t>
  </si>
  <si>
    <t>经理</t>
  </si>
  <si>
    <t>工作期间连续多月超额完成销售任务</t>
  </si>
  <si>
    <t>陈淑琼</t>
  </si>
  <si>
    <t>18214579639</t>
  </si>
  <si>
    <t>王智权</t>
  </si>
  <si>
    <t>2837585186@qq.com</t>
  </si>
  <si>
    <t>云南省武定县</t>
  </si>
  <si>
    <t>00689</t>
  </si>
  <si>
    <t>项目管理员</t>
  </si>
  <si>
    <t>保障部办公室</t>
  </si>
  <si>
    <t>2025-12-22</t>
  </si>
  <si>
    <t>已转正</t>
  </si>
  <si>
    <t>bd946567</t>
  </si>
  <si>
    <t>中国农业银行昆明裕康支行</t>
  </si>
  <si>
    <t>6230520860112686873</t>
  </si>
  <si>
    <t>532329200112230910</t>
  </si>
  <si>
    <t>云南农业大学</t>
  </si>
  <si>
    <t>2020-09-01</t>
  </si>
  <si>
    <t>2024-06-21</t>
  </si>
  <si>
    <t>工程造价</t>
  </si>
  <si>
    <t>中铁十八局集团隧道工程有限公司</t>
  </si>
  <si>
    <t>商务部</t>
  </si>
  <si>
    <t>部员</t>
  </si>
  <si>
    <t>王智超</t>
  </si>
  <si>
    <t>兄弟姐妹</t>
  </si>
  <si>
    <t>19388327072</t>
  </si>
  <si>
    <t>固定期限劳动合同</t>
  </si>
  <si>
    <t>2026-12-21</t>
  </si>
  <si>
    <t>杨波</t>
  </si>
  <si>
    <t>21</t>
  </si>
  <si>
    <t>云南省普洱市</t>
  </si>
  <si>
    <t>00688</t>
  </si>
  <si>
    <t>实习期岗位</t>
  </si>
  <si>
    <t>机加车间</t>
  </si>
  <si>
    <t>生产管理部</t>
  </si>
  <si>
    <t>制造中心</t>
  </si>
  <si>
    <t>实习</t>
  </si>
  <si>
    <t>0</t>
  </si>
  <si>
    <t>无需转正</t>
  </si>
  <si>
    <t>gd9ebg76</t>
  </si>
  <si>
    <t>廖贵香</t>
  </si>
  <si>
    <t>女</t>
  </si>
  <si>
    <t>云南省昭通市</t>
  </si>
  <si>
    <t>云南省昆明市官渡区市政机关生活北区五栋一单元九号</t>
  </si>
  <si>
    <t>2024-07-08</t>
  </si>
  <si>
    <t>00687</t>
  </si>
  <si>
    <t>行政专员</t>
  </si>
  <si>
    <t>综合办</t>
  </si>
  <si>
    <t>2025-10-16</t>
  </si>
  <si>
    <t>bdd915e8</t>
  </si>
  <si>
    <t>职能人员</t>
  </si>
  <si>
    <t>6214830750849142</t>
  </si>
  <si>
    <t>532124200106261128</t>
  </si>
  <si>
    <t>2031-01-16</t>
  </si>
  <si>
    <t>云南财经大学</t>
  </si>
  <si>
    <t>2024-06-30</t>
  </si>
  <si>
    <t>新闻学</t>
  </si>
  <si>
    <t>华润万象生活物业重庆公司</t>
  </si>
  <si>
    <t>万悦生</t>
  </si>
  <si>
    <t>姐姐</t>
  </si>
  <si>
    <t>15877904410</t>
  </si>
  <si>
    <t>2026-10-15</t>
  </si>
  <si>
    <t>张颢严</t>
  </si>
  <si>
    <t>2424436@qq.com</t>
  </si>
  <si>
    <t>00685</t>
  </si>
  <si>
    <t>营销部</t>
  </si>
  <si>
    <t>2025-09-22</t>
  </si>
  <si>
    <t>d3e76743</t>
  </si>
  <si>
    <t>中信银行昆明北辰支行</t>
  </si>
  <si>
    <t>6217731907854026</t>
  </si>
  <si>
    <t>53012419901212001X</t>
  </si>
  <si>
    <t>2044-07-02</t>
  </si>
  <si>
    <t>南洋理工大学</t>
  </si>
  <si>
    <t>2023-03-31</t>
  </si>
  <si>
    <t>应用经济学</t>
  </si>
  <si>
    <t>安宁工业园区投资开发有限公司</t>
  </si>
  <si>
    <t>投融资部</t>
  </si>
  <si>
    <t>张向阳</t>
  </si>
  <si>
    <t>13908877648</t>
  </si>
  <si>
    <t>2026-09-21</t>
  </si>
  <si>
    <t>李玉龙</t>
  </si>
  <si>
    <t>1798322683@qq.com</t>
  </si>
  <si>
    <t>27</t>
  </si>
  <si>
    <t>云南省楚雄彝族自治州</t>
  </si>
  <si>
    <t>云南省楚雄彝组自治州禄丰市仁兴镇牛德庄村</t>
  </si>
  <si>
    <t>2025-09-10</t>
  </si>
  <si>
    <t>00684</t>
  </si>
  <si>
    <t>cb56db83</t>
  </si>
  <si>
    <t>技术人员</t>
  </si>
  <si>
    <t>交通银行潍坊高密支行</t>
  </si>
  <si>
    <t>532331199904072814</t>
  </si>
  <si>
    <t>2028-07-01</t>
  </si>
  <si>
    <t>中国海洋大学</t>
  </si>
  <si>
    <t>2022-06-21</t>
  </si>
  <si>
    <t>机械设计制造及其自动化</t>
  </si>
  <si>
    <t>山东豪迈机械制造有限公司</t>
  </si>
  <si>
    <t>制造研发中心</t>
  </si>
  <si>
    <t>管道模具、实验模型设计、智能仓储布局规划设计、非标设备设计及相关技术文件输出</t>
  </si>
  <si>
    <t>李忠</t>
  </si>
  <si>
    <t>15126046370</t>
  </si>
  <si>
    <t>2026-09-09</t>
  </si>
  <si>
    <t>李杰霖</t>
  </si>
  <si>
    <t>1026406194@qq.com</t>
  </si>
  <si>
    <t>26</t>
  </si>
  <si>
    <t>昆明市五华区</t>
  </si>
  <si>
    <t>山东省</t>
  </si>
  <si>
    <t>机械加工</t>
  </si>
  <si>
    <t>00683</t>
  </si>
  <si>
    <t>项目管理工程师</t>
  </si>
  <si>
    <t>运营部</t>
  </si>
  <si>
    <t>2025-09-09</t>
  </si>
  <si>
    <t>69b962ba</t>
  </si>
  <si>
    <t>6214832522215248</t>
  </si>
  <si>
    <t>530103199907053717</t>
  </si>
  <si>
    <t>2029-01-23</t>
  </si>
  <si>
    <t>南京航空航天大学</t>
  </si>
  <si>
    <t>飞行器制造</t>
  </si>
  <si>
    <t>苏州千机智能软件有限责任公司</t>
  </si>
  <si>
    <t>李咏梅</t>
  </si>
  <si>
    <t>13888589981</t>
  </si>
  <si>
    <t>2026-09-08</t>
  </si>
  <si>
    <t>张亚举</t>
  </si>
  <si>
    <t>527138433@qq.com</t>
  </si>
  <si>
    <t>38</t>
  </si>
  <si>
    <t>白族</t>
  </si>
  <si>
    <t>昆明市西山区</t>
  </si>
  <si>
    <t>副高级/一级</t>
  </si>
  <si>
    <t>机械</t>
  </si>
  <si>
    <t>00682</t>
  </si>
  <si>
    <t>2025-09-08</t>
  </si>
  <si>
    <t>gdb4b476</t>
  </si>
  <si>
    <t>14年10个月</t>
  </si>
  <si>
    <t>6214837850590467</t>
  </si>
  <si>
    <t>532930198710192115</t>
  </si>
  <si>
    <t>2038-02-12</t>
  </si>
  <si>
    <t>吉林大学</t>
  </si>
  <si>
    <t>农业机械化及其自动化</t>
  </si>
  <si>
    <t>中国铁建高新装备股份有限公司</t>
  </si>
  <si>
    <t>轨道养护装备研究设计院</t>
  </si>
  <si>
    <t>2025-07-31</t>
  </si>
  <si>
    <t>赵健玲</t>
  </si>
  <si>
    <t>15391345360</t>
  </si>
  <si>
    <t>2026-09-07</t>
  </si>
  <si>
    <t>尹毓谦</t>
  </si>
  <si>
    <t>昆明市嵩明县</t>
  </si>
  <si>
    <t>云南省昆明市嵩明县嵩阳街道嵩兰馨苑</t>
  </si>
  <si>
    <t>00681</t>
  </si>
  <si>
    <t>专利工程师</t>
  </si>
  <si>
    <t>企业管理部</t>
  </si>
  <si>
    <t>2025-09-01</t>
  </si>
  <si>
    <t>2025-11-01</t>
  </si>
  <si>
    <t>eg66gdfc</t>
  </si>
  <si>
    <t>6235722800000191250</t>
  </si>
  <si>
    <t>53012720010615002X</t>
  </si>
  <si>
    <t>2030-10-14</t>
  </si>
  <si>
    <t>2024-07-01</t>
  </si>
  <si>
    <t>中国航发红林</t>
  </si>
  <si>
    <t>肖泽亚</t>
  </si>
  <si>
    <t>18508866030</t>
  </si>
  <si>
    <t>2026-08-31</t>
  </si>
  <si>
    <t>郑楠</t>
  </si>
  <si>
    <t>18222763276@163.com</t>
  </si>
  <si>
    <t>23</t>
  </si>
  <si>
    <t>外埠城镇</t>
  </si>
  <si>
    <t>天津市河东区</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</si>
  <si>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</si>
  <si>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</si>
  <si>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</si>
  <si>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</si>
  <si>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</si>
  <si>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</si>
  <si>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</si>
  <si>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</si>
  <si>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</si>
  <si>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</si>
  <si>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</si>
  <si>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</si>
  <si>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云南省曲靖市</t>
  </si>
  <si>
    <t>2025-07-28</t>
  </si>
  <si>
    <t>00679</t>
  </si>
  <si>
    <t>生产技术部</t>
  </si>
  <si>
    <t>昆明鑫晟源科技有限公司</t>
  </si>
  <si>
    <t>d9544d9a</t>
  </si>
  <si>
    <t>中国工商银行</t>
  </si>
  <si>
    <t>6222032505000741334</t>
  </si>
  <si>
    <t>530381200203273338</t>
  </si>
  <si>
    <t>2029-06-28</t>
  </si>
  <si>
    <t>机器人工程</t>
  </si>
  <si>
    <t>施绍粉</t>
  </si>
  <si>
    <t>15087419360</t>
  </si>
  <si>
    <t>2026-07-27</t>
  </si>
  <si>
    <t>左文涛</t>
  </si>
  <si>
    <t>zuo_wentao@foxmail.com</t>
  </si>
  <si>
    <t>中共预备党员</t>
  </si>
  <si>
    <t>00677</t>
  </si>
  <si>
    <t>电气研发工程师</t>
  </si>
  <si>
    <t>2025-07-07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</si>
  <si>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</si>
  <si>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</si>
  <si>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</si>
  <si>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</si>
  <si>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</si>
  <si>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</si>
  <si>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</si>
  <si>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</si>
  <si>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</si>
  <si>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</si>
  <si>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</si>
  <si>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</si>
  <si>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</si>
  <si>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</si>
  <si>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</si>
  <si>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</si>
  <si>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</si>
  <si>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劳务</t>
  </si>
  <si>
    <t>fa7b16gc</t>
  </si>
  <si>
    <t>管红</t>
  </si>
  <si>
    <t>1716905538@qq.com</t>
  </si>
  <si>
    <t>29</t>
  </si>
  <si>
    <t>昆明市呈贡区</t>
  </si>
  <si>
    <t>云南省昆明市呈贡区时代俊园</t>
  </si>
  <si>
    <t>00676</t>
  </si>
  <si>
    <t>工业智能化研发部</t>
  </si>
  <si>
    <t>2025-07-02</t>
  </si>
  <si>
    <t>5ce1ceeg</t>
  </si>
  <si>
    <t>招商银行昆明呈贡新区支行</t>
  </si>
  <si>
    <t>6214830755322806</t>
  </si>
  <si>
    <t>530121199606300633</t>
  </si>
  <si>
    <t>2026-08-17</t>
  </si>
  <si>
    <t>华南理工大学</t>
  </si>
  <si>
    <t>2015-09-01</t>
  </si>
  <si>
    <t>2019-07-01</t>
  </si>
  <si>
    <t>机械电子工程</t>
  </si>
  <si>
    <t>北京航空航天大学云南创新研究院</t>
  </si>
  <si>
    <t>倪义</t>
  </si>
  <si>
    <t>13529185798</t>
  </si>
  <si>
    <t>2026-07-01</t>
  </si>
  <si>
    <t>张建军</t>
  </si>
  <si>
    <t>22</t>
  </si>
  <si>
    <t>00664</t>
  </si>
  <si>
    <t>机械装配调试员</t>
  </si>
  <si>
    <t>安调五组</t>
  </si>
  <si>
    <t>安调中心</t>
  </si>
  <si>
    <t>2025-07-01</t>
  </si>
  <si>
    <t>8aa629b9</t>
  </si>
  <si>
    <t>技能人员</t>
  </si>
  <si>
    <t>532323200307030013</t>
  </si>
  <si>
    <t>2032-08-25</t>
  </si>
  <si>
    <t>云南机电职业技术学院</t>
  </si>
  <si>
    <t>应用电子技术</t>
  </si>
  <si>
    <t>2026-06-30</t>
  </si>
  <si>
    <t>李俊熙</t>
  </si>
  <si>
    <t>云南省保山市</t>
  </si>
  <si>
    <t>00661</t>
  </si>
  <si>
    <t>交付工程师</t>
  </si>
  <si>
    <t>交付业务部</t>
  </si>
  <si>
    <t>8g9a3ce6</t>
  </si>
  <si>
    <t>530524200405190614</t>
  </si>
  <si>
    <t>2031-07-13</t>
  </si>
  <si>
    <t>智能制造装备技术</t>
  </si>
  <si>
    <t>朱云明</t>
  </si>
  <si>
    <t>昆明市禄劝彝族苗族自治县</t>
  </si>
  <si>
    <t>00659</t>
  </si>
  <si>
    <t>数控镗铣工</t>
  </si>
  <si>
    <t>d7824e4d</t>
  </si>
  <si>
    <t>530128200403070057</t>
  </si>
  <si>
    <t>2030-08-27</t>
  </si>
  <si>
    <t>2025-08-01</t>
  </si>
  <si>
    <t>文江</t>
  </si>
  <si>
    <t>00657</t>
  </si>
  <si>
    <t>aa617398</t>
  </si>
  <si>
    <t>53062720040207273X</t>
  </si>
  <si>
    <t>2033-02-07</t>
  </si>
  <si>
    <t>杨亮</t>
  </si>
  <si>
    <t>00643</t>
  </si>
  <si>
    <t>21f787ac</t>
  </si>
  <si>
    <t>533001200402021234</t>
  </si>
  <si>
    <t>2034-10-13</t>
  </si>
  <si>
    <t>云南交通职业技术学院</t>
  </si>
  <si>
    <t>道路机械化施工技术</t>
  </si>
  <si>
    <t>李兴源</t>
  </si>
  <si>
    <t>00642</t>
  </si>
  <si>
    <t>电气装配调试员</t>
  </si>
  <si>
    <t>a62b4d8d</t>
  </si>
  <si>
    <t>530124200404210810</t>
  </si>
  <si>
    <t>2030-08-13</t>
  </si>
  <si>
    <t>云南水利水电职业学院</t>
  </si>
  <si>
    <t>2022-08-31</t>
  </si>
  <si>
    <t>智能控制技术</t>
  </si>
  <si>
    <t>殷嘉沅</t>
  </si>
  <si>
    <t>云南省宣威市</t>
  </si>
  <si>
    <t>00639</t>
  </si>
  <si>
    <t>74cg1dde</t>
  </si>
  <si>
    <t>530381200203074312</t>
  </si>
  <si>
    <t>2031-12-31</t>
  </si>
  <si>
    <t>供用电技术</t>
  </si>
  <si>
    <t>徐鹏</t>
  </si>
  <si>
    <t>云南省大理白族自治州</t>
  </si>
  <si>
    <t>00638</t>
  </si>
  <si>
    <t>2ef5e534</t>
  </si>
  <si>
    <t>532923200111160935</t>
  </si>
  <si>
    <t>2030-08-20</t>
  </si>
  <si>
    <t>电气自动化技术</t>
  </si>
  <si>
    <t>李云靖</t>
  </si>
  <si>
    <t>00637</t>
  </si>
  <si>
    <t>电气装配调试工程师</t>
  </si>
  <si>
    <t>251f5ca2</t>
  </si>
  <si>
    <t>530124200311011716</t>
  </si>
  <si>
    <t>2032-01-04</t>
  </si>
  <si>
    <t>李爽</t>
  </si>
  <si>
    <t>昆明市宜良县</t>
  </si>
  <si>
    <t>00636</t>
  </si>
  <si>
    <t>7922ecfe</t>
  </si>
  <si>
    <t>530422200310141213</t>
  </si>
  <si>
    <t>2031-07-12</t>
  </si>
  <si>
    <t>李云焕</t>
  </si>
  <si>
    <t>00635</t>
  </si>
  <si>
    <t>339ca941</t>
  </si>
  <si>
    <t>530326200401252947</t>
  </si>
  <si>
    <t>2032-12-30</t>
  </si>
  <si>
    <t>范瑞晓</t>
  </si>
  <si>
    <t>207450132@qq.com</t>
  </si>
  <si>
    <t>00675</t>
  </si>
  <si>
    <t>技术支持工程师</t>
  </si>
  <si>
    <t>产品技术部</t>
  </si>
  <si>
    <t>d9b8d1gc</t>
  </si>
  <si>
    <t>招商银行昆明南亚支行</t>
  </si>
  <si>
    <t>6214830896887931</t>
  </si>
  <si>
    <t>53302420000907051X</t>
  </si>
  <si>
    <t>合肥工业大学</t>
  </si>
  <si>
    <t>2019-09-01</t>
  </si>
  <si>
    <t>2023-07-01</t>
  </si>
  <si>
    <t>中交二航局（昆明）建设有限公司</t>
  </si>
  <si>
    <t>物资设备部</t>
  </si>
  <si>
    <t>管理员</t>
  </si>
  <si>
    <t>从事施工现场设备及材料管理工作</t>
  </si>
  <si>
    <t>范庆珍</t>
  </si>
  <si>
    <t>18725257755</t>
  </si>
  <si>
    <t>杨杰</t>
  </si>
  <si>
    <t>00673</t>
  </si>
  <si>
    <t>a759g99d</t>
  </si>
  <si>
    <t>黄俊</t>
  </si>
  <si>
    <t>00491</t>
  </si>
  <si>
    <t>机械调试工程师</t>
  </si>
  <si>
    <t>产品研发三部</t>
  </si>
  <si>
    <t>2025-05-01</t>
  </si>
  <si>
    <t>bd568c74</t>
  </si>
  <si>
    <t>532323199805131137</t>
  </si>
  <si>
    <t>2028-01-31</t>
  </si>
  <si>
    <t>2017-09-01</t>
  </si>
  <si>
    <t>2020-07-01</t>
  </si>
  <si>
    <t>机械工程及自动化</t>
  </si>
  <si>
    <t>2026-04-30</t>
  </si>
  <si>
    <t>邹粤云</t>
  </si>
  <si>
    <t>Owen</t>
  </si>
  <si>
    <t>owenzou22@outlook.com</t>
  </si>
  <si>
    <t>32</t>
  </si>
  <si>
    <t>昆明市盘龙区</t>
  </si>
  <si>
    <t>广东省</t>
  </si>
  <si>
    <t>00670</t>
  </si>
  <si>
    <t>海外营销部总监助理</t>
  </si>
  <si>
    <t>海外营销部</t>
  </si>
  <si>
    <t>2025-04-14</t>
  </si>
  <si>
    <t>2025-06-14</t>
  </si>
  <si>
    <t>bbg85ad3</t>
  </si>
  <si>
    <t>管理人员</t>
  </si>
  <si>
    <t>招商银行昆明小康大道支行</t>
  </si>
  <si>
    <t>6214838710100175</t>
  </si>
  <si>
    <t>530111199402022018</t>
  </si>
  <si>
    <t>2041-04-29</t>
  </si>
  <si>
    <t>英国皇家农学院</t>
  </si>
  <si>
    <t>2018-08-01</t>
  </si>
  <si>
    <t>可持续农业与粮食安全</t>
  </si>
  <si>
    <t>总裁办</t>
  </si>
  <si>
    <t>李娟</t>
  </si>
  <si>
    <t>13987119241</t>
  </si>
  <si>
    <t>2026-04-13</t>
  </si>
  <si>
    <t>张传梅</t>
  </si>
  <si>
    <t>1198194515@qq.com</t>
  </si>
  <si>
    <t>云南省临沧市</t>
  </si>
  <si>
    <t>云南省临沧市临翔区</t>
  </si>
  <si>
    <t>机电工程/机械</t>
  </si>
  <si>
    <t>00669</t>
  </si>
  <si>
    <t>2025-04-10</t>
  </si>
  <si>
    <t>2025-06-10</t>
  </si>
  <si>
    <t>dda51d2f</t>
  </si>
  <si>
    <t>交通银行南京御道街支行</t>
  </si>
  <si>
    <t>6222620210037084307</t>
  </si>
  <si>
    <t>53352119980820154X</t>
  </si>
  <si>
    <t>2045-04-09</t>
  </si>
  <si>
    <t>盘无恙</t>
  </si>
  <si>
    <t>朋友</t>
  </si>
  <si>
    <t>15915744829</t>
  </si>
  <si>
    <t>2026-04-09</t>
  </si>
  <si>
    <t>张雄峰</t>
  </si>
  <si>
    <t>中式烹饪师</t>
  </si>
  <si>
    <t>00668</t>
  </si>
  <si>
    <t>厨师</t>
  </si>
  <si>
    <t>食堂组</t>
  </si>
  <si>
    <t>2025-03-24</t>
  </si>
  <si>
    <t>f7edabgc</t>
  </si>
  <si>
    <t>530124199703152619</t>
  </si>
  <si>
    <t>中等专业学校</t>
  </si>
  <si>
    <t>云南省经济管理学校</t>
  </si>
  <si>
    <t>2013-09-01</t>
  </si>
  <si>
    <t>2016-07-01</t>
  </si>
  <si>
    <t>计算机</t>
  </si>
  <si>
    <t>2026-03-23</t>
  </si>
  <si>
    <t>付宏孝</t>
  </si>
  <si>
    <t>1428605556@qq.com</t>
  </si>
  <si>
    <t>云南省曲靖市师宗县丹凤镇</t>
  </si>
  <si>
    <t>00667</t>
  </si>
  <si>
    <t>装配工艺工程师</t>
  </si>
  <si>
    <t>946ded13</t>
  </si>
  <si>
    <t>云南省农村信用社联合社</t>
  </si>
  <si>
    <t>6231900000279877456</t>
  </si>
  <si>
    <t>532227199701030032</t>
  </si>
  <si>
    <t>2026-07-12</t>
  </si>
  <si>
    <t>太原理工大学</t>
  </si>
  <si>
    <t>2015-09-21</t>
  </si>
  <si>
    <t>武汉船用机械有限责任公司</t>
  </si>
  <si>
    <t>技术中心</t>
  </si>
  <si>
    <t>调试工程师</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</si>
  <si>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</si>
  <si>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</si>
  <si>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</si>
  <si>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</si>
  <si>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</si>
  <si>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</si>
  <si>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</si>
  <si>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</si>
  <si>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</si>
  <si>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</si>
  <si>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</si>
  <si>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00666</t>
  </si>
  <si>
    <t>2025-03-19</t>
  </si>
  <si>
    <t>f31a386d</t>
  </si>
  <si>
    <t>深圳龙胜支行</t>
  </si>
  <si>
    <t>6214830503208612</t>
  </si>
  <si>
    <t>610321199506017217</t>
  </si>
  <si>
    <t>2041-07-24</t>
  </si>
  <si>
    <t>西安理工大学</t>
  </si>
  <si>
    <t>2021-06-29</t>
  </si>
  <si>
    <t>流体机械及工程</t>
  </si>
  <si>
    <t>深圳华大智造科技股份有限公司</t>
  </si>
  <si>
    <t>仪器开发工程师</t>
  </si>
  <si>
    <t>范秀华</t>
  </si>
  <si>
    <t>15243684087</t>
  </si>
  <si>
    <t>2026-03-18</t>
  </si>
  <si>
    <t>王长男</t>
  </si>
  <si>
    <t>外协单位</t>
  </si>
  <si>
    <t>外包</t>
  </si>
  <si>
    <t>fa29bfaa</t>
  </si>
  <si>
    <t>刘星军</t>
  </si>
  <si>
    <t>475a71gd</t>
  </si>
  <si>
    <t>郭玉明</t>
  </si>
  <si>
    <t>d36f51ae</t>
  </si>
  <si>
    <t>陈志强</t>
  </si>
  <si>
    <t>12d4d595</t>
  </si>
  <si>
    <t>陈朝密</t>
  </si>
  <si>
    <t>eda2g213</t>
  </si>
  <si>
    <t>刘芳</t>
  </si>
  <si>
    <t>昆明笛光机械设备有限公司</t>
  </si>
  <si>
    <t>4g38f7a9</t>
  </si>
  <si>
    <t>刘飞</t>
  </si>
  <si>
    <t>b7af717f</t>
  </si>
  <si>
    <t>肖映立</t>
  </si>
  <si>
    <t>970814865@qq.com</t>
  </si>
  <si>
    <t>00665</t>
  </si>
  <si>
    <t>2025-02-05</t>
  </si>
  <si>
    <t>768f13e8</t>
  </si>
  <si>
    <t>中国建设银行</t>
  </si>
  <si>
    <t>6217003960004945875</t>
  </si>
  <si>
    <t>533023200106242110</t>
  </si>
  <si>
    <t>2030-07-22</t>
  </si>
  <si>
    <t>自动化</t>
  </si>
  <si>
    <t>比亚迪汽车工业有限公司</t>
  </si>
  <si>
    <t>电磁与射频测试部</t>
  </si>
  <si>
    <t>张栩源</t>
  </si>
  <si>
    <t>18988210894</t>
  </si>
  <si>
    <t>2026-02-05</t>
  </si>
  <si>
    <t>2029-02-28</t>
  </si>
  <si>
    <t>杨文丽</t>
  </si>
  <si>
    <t>云南省腾冲市百年鑫城</t>
  </si>
  <si>
    <t>2024-10-22</t>
  </si>
  <si>
    <t>00653</t>
  </si>
  <si>
    <t>3ef6gb23</t>
  </si>
  <si>
    <t>云南省腾冲农村商业银行</t>
  </si>
  <si>
    <t>6231900000255128957</t>
  </si>
  <si>
    <t>533023200208283124</t>
  </si>
  <si>
    <t>2029-11-20</t>
  </si>
  <si>
    <t>中国地质大学</t>
  </si>
  <si>
    <t>杨祖丽</t>
  </si>
  <si>
    <t>13297922650</t>
  </si>
  <si>
    <t>2025-10-22</t>
  </si>
  <si>
    <t>2028-10-31</t>
  </si>
  <si>
    <t>普蕾</t>
  </si>
  <si>
    <t>云南省玉溪市</t>
  </si>
  <si>
    <t>00652</t>
  </si>
  <si>
    <t>2024-10-14</t>
  </si>
  <si>
    <t>6e4a4d79</t>
  </si>
  <si>
    <t>530425199909221723</t>
  </si>
  <si>
    <t>2028-03-25</t>
  </si>
  <si>
    <t>浙江师范大学</t>
  </si>
  <si>
    <t>2022-06-30</t>
  </si>
  <si>
    <t>2025-10-14</t>
  </si>
  <si>
    <t>李太贵</t>
  </si>
  <si>
    <t>1421057053@qq.com</t>
  </si>
  <si>
    <t>28</t>
  </si>
  <si>
    <t>00649</t>
  </si>
  <si>
    <t>2024-09-09</t>
  </si>
  <si>
    <t>7222b27c</t>
  </si>
  <si>
    <t>会泽农村商业银行营业部</t>
  </si>
  <si>
    <t>6231900021961321744</t>
  </si>
  <si>
    <t>530326199803291310</t>
  </si>
  <si>
    <t>2028-01-24</t>
  </si>
  <si>
    <t>哈尔滨工业大学</t>
  </si>
  <si>
    <t>电气工程及其自动化</t>
  </si>
  <si>
    <t>中建三局第三建设工程有限责任公司</t>
  </si>
  <si>
    <t>安装分公司</t>
  </si>
  <si>
    <t>电气工程师</t>
  </si>
  <si>
    <t>李庆甫</t>
  </si>
  <si>
    <t>13294952730</t>
  </si>
  <si>
    <t>2028-09-30</t>
  </si>
  <si>
    <t>李泽立</t>
  </si>
  <si>
    <t>lizeli895202593@163.com</t>
  </si>
  <si>
    <t>31</t>
  </si>
  <si>
    <t>壮族</t>
  </si>
  <si>
    <t>云南省文山壮族苗族自治州</t>
  </si>
  <si>
    <t>00648</t>
  </si>
  <si>
    <t>产品经理</t>
  </si>
  <si>
    <t>2024-09-04</t>
  </si>
  <si>
    <t>b259be77</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</si>
  <si>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</si>
  <si>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</si>
  <si>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</si>
  <si>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</si>
  <si>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</si>
  <si>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</si>
  <si>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</si>
  <si>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</si>
  <si>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</si>
  <si>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</si>
  <si>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李忠武</t>
  </si>
  <si>
    <t>17577671997</t>
  </si>
  <si>
    <t>2025-09-04</t>
  </si>
  <si>
    <t>牛良吉</t>
  </si>
  <si>
    <t>2250054922@qq.com</t>
  </si>
  <si>
    <t>00646</t>
  </si>
  <si>
    <t>工艺研发工程师</t>
  </si>
  <si>
    <t>工艺技术部</t>
  </si>
  <si>
    <t>2024-08-06</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</si>
  <si>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</si>
  <si>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</si>
  <si>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</si>
  <si>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</si>
  <si>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</si>
  <si>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</si>
  <si>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</si>
  <si>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</si>
  <si>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</si>
  <si>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</si>
  <si>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</si>
  <si>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</si>
  <si>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云南省楚雄州姚安县太平镇老街村</t>
  </si>
  <si>
    <t>00645</t>
  </si>
  <si>
    <t>鑫晟源企业管理办公室主任兼安调中心副主任</t>
  </si>
  <si>
    <t>企业管理办公室</t>
  </si>
  <si>
    <t>2024-08-01</t>
  </si>
  <si>
    <t>2024-09-01</t>
  </si>
  <si>
    <t>95dd62e4</t>
  </si>
  <si>
    <t>姚安县农村信用合作联社</t>
  </si>
  <si>
    <t>6231900000243450612</t>
  </si>
  <si>
    <t>532325199610090913</t>
  </si>
  <si>
    <t>2044-11-15</t>
  </si>
  <si>
    <t>东北大学</t>
  </si>
  <si>
    <t>材料成型及控制技术</t>
  </si>
  <si>
    <t>绍兴三花新能源有限公司</t>
  </si>
  <si>
    <t>事业六部生产一部</t>
  </si>
  <si>
    <t>生产主管</t>
  </si>
  <si>
    <t>负责特斯拉油冷器项目</t>
  </si>
  <si>
    <t>陆思艳</t>
  </si>
  <si>
    <t>18687200887</t>
  </si>
  <si>
    <t>2030-07-31</t>
  </si>
  <si>
    <t>刘林禾</t>
  </si>
  <si>
    <t>00641</t>
  </si>
  <si>
    <t>df5gbc9d</t>
  </si>
  <si>
    <t>0年2个月</t>
  </si>
  <si>
    <t>530124200210190014</t>
  </si>
  <si>
    <t>2030-12-11</t>
  </si>
  <si>
    <t>飞机机电设备维修</t>
  </si>
  <si>
    <t>彭天艺</t>
  </si>
  <si>
    <t>00628</t>
  </si>
  <si>
    <t>企管专员</t>
  </si>
  <si>
    <t>6</t>
  </si>
  <si>
    <t>bc67g963</t>
  </si>
  <si>
    <t>530103199507220619</t>
  </si>
  <si>
    <t>2045-10-10</t>
  </si>
  <si>
    <t>英国格林尼治大学</t>
  </si>
  <si>
    <t>2018-04-01</t>
  </si>
  <si>
    <t>2021-06-23</t>
  </si>
  <si>
    <t>2027-07-07</t>
  </si>
  <si>
    <t>陈根毅</t>
  </si>
  <si>
    <t>1959079676@qq.com</t>
  </si>
  <si>
    <t>云南省昆明市盘龙区北京路万科金域缇香</t>
  </si>
  <si>
    <t>00626</t>
  </si>
  <si>
    <t>4f3c1d8a</t>
  </si>
  <si>
    <t>6217003890010594955</t>
  </si>
  <si>
    <t>53038120011103273X</t>
  </si>
  <si>
    <t>2031-01-19</t>
  </si>
  <si>
    <t>陈加万</t>
  </si>
  <si>
    <t>13648856449</t>
  </si>
  <si>
    <t>2028-06-30</t>
  </si>
  <si>
    <t>胡潇斤</t>
  </si>
  <si>
    <t>3106109814@qq.com</t>
  </si>
  <si>
    <t>2024-03-01</t>
  </si>
  <si>
    <t>00615</t>
  </si>
  <si>
    <t>a56dgb78</t>
  </si>
  <si>
    <t>云南农村信用社</t>
  </si>
  <si>
    <t>6231900021739182139</t>
  </si>
  <si>
    <t>530125200202042018</t>
  </si>
  <si>
    <t>2030-11-23</t>
  </si>
  <si>
    <t>机电设备技术</t>
  </si>
  <si>
    <t>昆明茨坝矿山机械有限公司</t>
  </si>
  <si>
    <t>装配车间</t>
  </si>
  <si>
    <t>装配工</t>
  </si>
  <si>
    <t>胡志连</t>
  </si>
  <si>
    <t>18213503411</t>
  </si>
  <si>
    <t>2030-06-30</t>
  </si>
  <si>
    <t>李泽</t>
  </si>
  <si>
    <t>00596</t>
  </si>
  <si>
    <t>e2d556d5</t>
  </si>
  <si>
    <t>532932200110210714</t>
  </si>
  <si>
    <t>2031-04-04</t>
  </si>
  <si>
    <t>数控技术</t>
  </si>
  <si>
    <t>陈守继</t>
  </si>
  <si>
    <t>00597</t>
  </si>
  <si>
    <t>286eef6e</t>
  </si>
  <si>
    <t>0年3个月</t>
  </si>
  <si>
    <t>530381200202271357</t>
  </si>
  <si>
    <t>2030-11-27</t>
  </si>
  <si>
    <t>牛磊</t>
  </si>
  <si>
    <t>00599</t>
  </si>
  <si>
    <t>51cf7514</t>
  </si>
  <si>
    <t>530323200208160515</t>
  </si>
  <si>
    <t>2030-08-15</t>
  </si>
  <si>
    <t>浦斯</t>
  </si>
  <si>
    <t>00598</t>
  </si>
  <si>
    <t>8a1dedgd</t>
  </si>
  <si>
    <t>530381200112061110</t>
  </si>
  <si>
    <t>2032-12-20</t>
  </si>
  <si>
    <t>智能工程机械运用技术</t>
  </si>
  <si>
    <t>吴亚强</t>
  </si>
  <si>
    <t>员级/四级</t>
  </si>
  <si>
    <t>钳工</t>
  </si>
  <si>
    <t>00589</t>
  </si>
  <si>
    <t>9323cd72</t>
  </si>
  <si>
    <t>530323200402180739</t>
  </si>
  <si>
    <t>2030-07-27</t>
  </si>
  <si>
    <t>机械制造及自动化</t>
  </si>
  <si>
    <t>韩雪源</t>
  </si>
  <si>
    <t>25</t>
  </si>
  <si>
    <t>苗族</t>
  </si>
  <si>
    <t>云南省昭通威信县</t>
  </si>
  <si>
    <t>云南省昆明市五华区昌源中路美丽新世界</t>
  </si>
  <si>
    <t>00588</t>
  </si>
  <si>
    <t>834ge6f9</t>
  </si>
  <si>
    <t>532130200006071383</t>
  </si>
  <si>
    <t>2032-10-25</t>
  </si>
  <si>
    <t>2024-06-14</t>
  </si>
  <si>
    <t>数字媒体技术</t>
  </si>
  <si>
    <t>蒋传瑞</t>
  </si>
  <si>
    <t>回族</t>
  </si>
  <si>
    <t>00572</t>
  </si>
  <si>
    <t>b94gbeea</t>
  </si>
  <si>
    <t>530326200206130610</t>
  </si>
  <si>
    <t>2033-03-29</t>
  </si>
  <si>
    <t>黄启寨</t>
  </si>
  <si>
    <t>云南省曲靖市富源县富村镇松子山村委会南冲村</t>
  </si>
  <si>
    <t>00579</t>
  </si>
  <si>
    <t>1ac17g62</t>
  </si>
  <si>
    <t>530325200104131333</t>
  </si>
  <si>
    <t>2031-08-19</t>
  </si>
  <si>
    <t>李艳伟</t>
  </si>
  <si>
    <t>1173040102@qq.com</t>
  </si>
  <si>
    <t>00623</t>
  </si>
  <si>
    <t>营销员</t>
  </si>
  <si>
    <t>2024-06-20</t>
  </si>
  <si>
    <t>bba826dc</t>
  </si>
  <si>
    <t>富民县农村信用合作联社永定信用社</t>
  </si>
  <si>
    <t>6231900000234237606</t>
  </si>
  <si>
    <t>532923199812130012</t>
  </si>
  <si>
    <t>2028-07-30</t>
  </si>
  <si>
    <t>山东理工大学</t>
  </si>
  <si>
    <t>2022-06-16</t>
  </si>
  <si>
    <t>材料成型及控制工程</t>
  </si>
  <si>
    <t>李艳梅</t>
  </si>
  <si>
    <t>15058535923</t>
  </si>
  <si>
    <t>2027-06-19</t>
  </si>
  <si>
    <t>曾凡</t>
  </si>
  <si>
    <t>Zengf2162@163.com</t>
  </si>
  <si>
    <t>中级/二级</t>
  </si>
  <si>
    <t>工程技术专业</t>
  </si>
  <si>
    <t>00619</t>
  </si>
  <si>
    <t>2024-06-11</t>
  </si>
  <si>
    <t>2ab61eeg</t>
  </si>
  <si>
    <t>6231900022053060992</t>
  </si>
  <si>
    <t>530402199505161512</t>
  </si>
  <si>
    <t>2044-06-05</t>
  </si>
  <si>
    <t>2018-06-25</t>
  </si>
  <si>
    <t>四川航天中天动力装备有限责任公司</t>
  </si>
  <si>
    <t>普毓清</t>
  </si>
  <si>
    <t>18187060802</t>
  </si>
  <si>
    <t>2025-06-11</t>
  </si>
  <si>
    <t>胡禧怡</t>
  </si>
  <si>
    <t>00617</t>
  </si>
  <si>
    <t>互联网运营专员</t>
  </si>
  <si>
    <t>2024-05-13</t>
  </si>
  <si>
    <t>c3gc3864</t>
  </si>
  <si>
    <t>530124200001171124</t>
  </si>
  <si>
    <t>2030-08-05</t>
  </si>
  <si>
    <t>昆明理工大学</t>
  </si>
  <si>
    <t>传播学</t>
  </si>
  <si>
    <t>2025-05-13</t>
  </si>
  <si>
    <t>2028-05-31</t>
  </si>
  <si>
    <t>毛宇婷</t>
  </si>
  <si>
    <t>myt_028@163.com</t>
  </si>
  <si>
    <t>云南省曲靖市沾益区花山街道遵化铺村</t>
  </si>
  <si>
    <t>00616</t>
  </si>
  <si>
    <t>2024-05-06</t>
  </si>
  <si>
    <t>7g2b8125</t>
  </si>
  <si>
    <t>6231900000246925669</t>
  </si>
  <si>
    <t>530381199808092921</t>
  </si>
  <si>
    <t>2028-08-06</t>
  </si>
  <si>
    <t>湖南大学</t>
  </si>
  <si>
    <t>2021-06-15</t>
  </si>
  <si>
    <t>银河电力集团</t>
  </si>
  <si>
    <t>2023-06-14</t>
  </si>
  <si>
    <t>2024-03-08</t>
  </si>
  <si>
    <t>侯四仙</t>
  </si>
  <si>
    <t>13769509061</t>
  </si>
  <si>
    <t>2025-05-06</t>
  </si>
  <si>
    <t>苏放达</t>
  </si>
  <si>
    <t>sufdyx@163.com</t>
  </si>
  <si>
    <t>湖南省长沙市</t>
  </si>
  <si>
    <t>00614</t>
  </si>
  <si>
    <t>2024-04-25</t>
  </si>
  <si>
    <t>cb553a11</t>
  </si>
  <si>
    <t>6231900022047899034</t>
  </si>
  <si>
    <t>530402199601230936</t>
  </si>
  <si>
    <t>2042-04-26</t>
  </si>
  <si>
    <t>测控技术与仪器</t>
  </si>
  <si>
    <t>中车株洲所</t>
  </si>
  <si>
    <t>苏开俊</t>
  </si>
  <si>
    <t>13987700977</t>
  </si>
  <si>
    <t>2027-04-24</t>
  </si>
  <si>
    <t>白会芬</t>
  </si>
  <si>
    <t>b2g8d969</t>
  </si>
  <si>
    <t>何增华</t>
  </si>
  <si>
    <t>53b8365c</t>
  </si>
  <si>
    <t>刘兴睿</t>
  </si>
  <si>
    <t>32999942@qq.com</t>
  </si>
  <si>
    <t>2021-07-06</t>
  </si>
  <si>
    <t>00613</t>
  </si>
  <si>
    <t>2024-04-23</t>
  </si>
  <si>
    <t>ed4gaf5a</t>
  </si>
  <si>
    <t>富民县农村信用合作联社</t>
  </si>
  <si>
    <t>6231900000234235865</t>
  </si>
  <si>
    <t>530124199706141739</t>
  </si>
  <si>
    <t>2044-03-19</t>
  </si>
  <si>
    <t>南京农业大学</t>
  </si>
  <si>
    <t>2021-06-30</t>
  </si>
  <si>
    <t>农业电气化</t>
  </si>
  <si>
    <t>昆明船舶机械有限公司</t>
  </si>
  <si>
    <t>见习</t>
  </si>
  <si>
    <t>2022-06-09</t>
  </si>
  <si>
    <t>陆凤琼</t>
  </si>
  <si>
    <t>13698797662</t>
  </si>
  <si>
    <t>2025-04-23</t>
  </si>
  <si>
    <t>2028-04-30</t>
  </si>
  <si>
    <t>朱玉泽</t>
  </si>
  <si>
    <t>1164431844@qq.com</t>
  </si>
  <si>
    <t>辽宁省大连市瓦房店市新华街道启明星大厦</t>
  </si>
  <si>
    <t>2021-08-01</t>
  </si>
  <si>
    <t>机械设计</t>
  </si>
  <si>
    <t>00608</t>
  </si>
  <si>
    <t>工艺工程师</t>
  </si>
  <si>
    <t>2024-03-25</t>
  </si>
  <si>
    <t>c9dkej73f</t>
  </si>
  <si>
    <t>6231900000266490867</t>
  </si>
  <si>
    <t>530326199810201336</t>
  </si>
  <si>
    <t>2028-08-24</t>
  </si>
  <si>
    <t>武汉理工大学</t>
  </si>
  <si>
    <t>瓦房店轴承集团精密传动轴承有限公司</t>
  </si>
  <si>
    <t>技术管理部</t>
  </si>
  <si>
    <t>2024-03-18</t>
  </si>
  <si>
    <t>朱金亮</t>
  </si>
  <si>
    <t>18508816636</t>
  </si>
  <si>
    <t>周文敏</t>
  </si>
  <si>
    <t>3031267515@qq.com</t>
  </si>
  <si>
    <t>云南省昆明市高新区</t>
  </si>
  <si>
    <t>00607</t>
  </si>
  <si>
    <t>项目助理</t>
  </si>
  <si>
    <t>f5f3f3ee</t>
  </si>
  <si>
    <t>6231900000262995521</t>
  </si>
  <si>
    <t>530322200002231924</t>
  </si>
  <si>
    <t>2029-02-13</t>
  </si>
  <si>
    <t>南京林业大学</t>
  </si>
  <si>
    <t>武汉华星光电技术有限公司</t>
  </si>
  <si>
    <t>车载品质部</t>
  </si>
  <si>
    <t>供应商质量管理助理工程师</t>
  </si>
  <si>
    <t>供应商质量管理，处理材料异常，新供应商审核，供应商变更管理</t>
  </si>
  <si>
    <t>周学斌</t>
  </si>
  <si>
    <t>18214585516</t>
  </si>
  <si>
    <t>2025-03-18</t>
  </si>
  <si>
    <t>2028-03-31</t>
  </si>
  <si>
    <t>陈娟</t>
  </si>
  <si>
    <t>2108400745@qq.com</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</si>
  <si>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</si>
  <si>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</si>
  <si>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</si>
  <si>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</si>
  <si>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</si>
  <si>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</si>
  <si>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</si>
  <si>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</si>
  <si>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</si>
  <si>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</si>
  <si>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</si>
  <si>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陈春武</t>
  </si>
  <si>
    <t>15087275658</t>
  </si>
  <si>
    <t>2024-03-13</t>
  </si>
  <si>
    <t>9741a9e7</t>
  </si>
  <si>
    <t>2024-03-12</t>
  </si>
  <si>
    <t>c2862fbd</t>
  </si>
  <si>
    <t>吴政权</t>
  </si>
  <si>
    <t>1934939003@qq.com</t>
  </si>
  <si>
    <t>云南省玉溪市江川区宁海街道宁海民居</t>
  </si>
  <si>
    <t>00605</t>
  </si>
  <si>
    <t>2024-03-07</t>
  </si>
  <si>
    <t>edbf14bb</t>
  </si>
  <si>
    <t>6231900021860758020</t>
  </si>
  <si>
    <t>530421199702010915</t>
  </si>
  <si>
    <t>2028-07-04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</si>
  <si>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</si>
  <si>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</si>
  <si>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</si>
  <si>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</si>
  <si>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</si>
  <si>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</si>
  <si>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</si>
  <si>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</si>
  <si>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</si>
  <si>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</si>
  <si>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</si>
  <si>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</si>
  <si>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</si>
  <si>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</si>
  <si>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湖北省黄冈市</t>
  </si>
  <si>
    <t>湖北省</t>
  </si>
  <si>
    <t>00604</t>
  </si>
  <si>
    <t>2024-01-03</t>
  </si>
  <si>
    <t>c8gaea6a</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</si>
  <si>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</si>
  <si>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</si>
  <si>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</si>
  <si>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</si>
  <si>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</si>
  <si>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</si>
  <si>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</si>
  <si>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</si>
  <si>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</si>
  <si>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</si>
  <si>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00603</t>
  </si>
  <si>
    <t>2023-12-07</t>
  </si>
  <si>
    <t>2024-02-05</t>
  </si>
  <si>
    <t>997755g8</t>
  </si>
  <si>
    <t>6231900000253567305</t>
  </si>
  <si>
    <t>530381200011020731</t>
  </si>
  <si>
    <t>2028-08-19</t>
  </si>
  <si>
    <t>2023-10-26</t>
  </si>
  <si>
    <t>2024-12-07</t>
  </si>
  <si>
    <t>2027-12-31</t>
  </si>
  <si>
    <t>庞杰</t>
  </si>
  <si>
    <t>00587</t>
  </si>
  <si>
    <t>2023-10-12</t>
  </si>
  <si>
    <t>567g2626</t>
  </si>
  <si>
    <t>532923199307190516</t>
  </si>
  <si>
    <t>2041-01-15</t>
  </si>
  <si>
    <t>材料科学与工程</t>
  </si>
  <si>
    <t>庞颖辉</t>
  </si>
  <si>
    <t>18212923648</t>
  </si>
  <si>
    <t>2024-10-12</t>
  </si>
  <si>
    <t>2027-10-31</t>
  </si>
  <si>
    <t>于琼阳</t>
  </si>
  <si>
    <t>河南省驻马店市</t>
  </si>
  <si>
    <t>河南省</t>
  </si>
  <si>
    <t>00584</t>
  </si>
  <si>
    <t>工业设计工程师</t>
  </si>
  <si>
    <t>2023-10-07</t>
  </si>
  <si>
    <t>449b579g</t>
  </si>
  <si>
    <t>412824199608203919</t>
  </si>
  <si>
    <t>2043-09-07</t>
  </si>
  <si>
    <t>工业设计</t>
  </si>
  <si>
    <t>于献林</t>
  </si>
  <si>
    <t>13513855427</t>
  </si>
  <si>
    <t>2024-10-07</t>
  </si>
  <si>
    <t>刘坤</t>
  </si>
  <si>
    <t>00582</t>
  </si>
  <si>
    <t>2023-09-21</t>
  </si>
  <si>
    <t>9g5a9991</t>
  </si>
  <si>
    <t>530124200004300016</t>
  </si>
  <si>
    <t>2033-10-09</t>
  </si>
  <si>
    <t>2022-01-14</t>
  </si>
  <si>
    <t>石油工程技术</t>
  </si>
  <si>
    <t>周建英</t>
  </si>
  <si>
    <t>15887225764</t>
  </si>
  <si>
    <t>2024-09-21</t>
  </si>
  <si>
    <t>2027-04-30</t>
  </si>
  <si>
    <t>周颖茜</t>
  </si>
  <si>
    <t>昆明市晋宁县</t>
  </si>
  <si>
    <t>00580</t>
  </si>
  <si>
    <t>2023-08-21</t>
  </si>
  <si>
    <t>8f1c5559</t>
  </si>
  <si>
    <t>530122200109032625</t>
  </si>
  <si>
    <t>2029-06-26</t>
  </si>
  <si>
    <t>南京工业大学</t>
  </si>
  <si>
    <t>2023-06-16</t>
  </si>
  <si>
    <t>过程装备与控制工程</t>
  </si>
  <si>
    <t>周虎</t>
  </si>
  <si>
    <t>13987616155</t>
  </si>
  <si>
    <t>2024-08-21</t>
  </si>
  <si>
    <t>2026-08-20</t>
  </si>
  <si>
    <t>卢建国</t>
  </si>
  <si>
    <t>43</t>
  </si>
  <si>
    <t>昆明市富民县</t>
  </si>
  <si>
    <t>00578</t>
  </si>
  <si>
    <t>生产辅助工</t>
  </si>
  <si>
    <t>74fc7ga4</t>
  </si>
  <si>
    <t>530124198206120013</t>
  </si>
  <si>
    <t>2029-02-04</t>
  </si>
  <si>
    <t>职业高级中学</t>
  </si>
  <si>
    <t>富民县职业高级中学</t>
  </si>
  <si>
    <t>1997-09-01</t>
  </si>
  <si>
    <t>1999-07-08</t>
  </si>
  <si>
    <t>预备役军人</t>
  </si>
  <si>
    <t>王晓芳</t>
  </si>
  <si>
    <t>15912428457</t>
  </si>
  <si>
    <t>张峻语</t>
  </si>
  <si>
    <t>00577</t>
  </si>
  <si>
    <t>2023-08-08</t>
  </si>
  <si>
    <t>98cfc7c9</t>
  </si>
  <si>
    <t>530124199912190013</t>
  </si>
  <si>
    <t>2031-03-22</t>
  </si>
  <si>
    <t>云南经济管理学院</t>
  </si>
  <si>
    <t>2021-07-01</t>
  </si>
  <si>
    <t>电气工程及其自动化专业</t>
  </si>
  <si>
    <t>张元晓</t>
  </si>
  <si>
    <t>13608881099</t>
  </si>
  <si>
    <t>2024-08-08</t>
  </si>
  <si>
    <t>2027-08-07</t>
  </si>
  <si>
    <t>马镜清</t>
  </si>
  <si>
    <t>00574</t>
  </si>
  <si>
    <t>2023-08-01</t>
  </si>
  <si>
    <t>881c7674</t>
  </si>
  <si>
    <t>532930199910201914</t>
  </si>
  <si>
    <t>2027-08-25</t>
  </si>
  <si>
    <t>西北农林科技大学</t>
  </si>
  <si>
    <t>张锡芬</t>
  </si>
  <si>
    <t>15125016619</t>
  </si>
  <si>
    <t>2027-07-31</t>
  </si>
  <si>
    <t>李红阳</t>
  </si>
  <si>
    <t>2945065429@qq.com</t>
  </si>
  <si>
    <t>00571</t>
  </si>
  <si>
    <t>焊工</t>
  </si>
  <si>
    <t>e1e477c3</t>
  </si>
  <si>
    <t>1年3个月</t>
  </si>
  <si>
    <t>530124200009301413</t>
  </si>
  <si>
    <t>2030-01-15</t>
  </si>
  <si>
    <t>焊接技术与工程</t>
  </si>
  <si>
    <t>汪吉瑞</t>
  </si>
  <si>
    <t>00567</t>
  </si>
  <si>
    <t>2023-06-25</t>
  </si>
  <si>
    <t>c91371a4</t>
  </si>
  <si>
    <t>530124200204032319</t>
  </si>
  <si>
    <t>2031-01-21</t>
  </si>
  <si>
    <t>云南开放大学</t>
  </si>
  <si>
    <t>2022-07-31</t>
  </si>
  <si>
    <t>汽车检测与维修技术</t>
  </si>
  <si>
    <t>2024-06-25</t>
  </si>
  <si>
    <t>何燕洁</t>
  </si>
  <si>
    <t>1516363013@qq.com</t>
  </si>
  <si>
    <t>云南省昆明市昆明市富民县大营镇大营街道奎南村</t>
  </si>
  <si>
    <t>中学教师资格</t>
  </si>
  <si>
    <t>00566</t>
  </si>
  <si>
    <t>g838f9fd</t>
  </si>
  <si>
    <t>530124199806101427</t>
  </si>
  <si>
    <t>2030-01-02</t>
  </si>
  <si>
    <t>天津师范大学津沽学院</t>
  </si>
  <si>
    <t>2021-06-01</t>
  </si>
  <si>
    <t>2029-04-30</t>
  </si>
  <si>
    <t>王原</t>
  </si>
  <si>
    <t>47</t>
  </si>
  <si>
    <t>昆明市官渡区</t>
  </si>
  <si>
    <t>云南省昆明市官渡区拓东路石家巷10号新2幢3单元202号</t>
  </si>
  <si>
    <t>00565</t>
  </si>
  <si>
    <t>工程技术顾问</t>
  </si>
  <si>
    <t>2023-05-22</t>
  </si>
  <si>
    <t>f926231d</t>
  </si>
  <si>
    <t>530103197806101813</t>
  </si>
  <si>
    <t>2028-02-04</t>
  </si>
  <si>
    <t>1999-09-01</t>
  </si>
  <si>
    <t>杨永辉</t>
  </si>
  <si>
    <t>1980843162@qq.com</t>
  </si>
  <si>
    <t>云南省德宏州</t>
  </si>
  <si>
    <t>电工</t>
  </si>
  <si>
    <t>00562</t>
  </si>
  <si>
    <t>2023-04-19</t>
  </si>
  <si>
    <t>16ggcb4a</t>
  </si>
  <si>
    <t>53312419990209061X</t>
  </si>
  <si>
    <t>2027-01-20</t>
  </si>
  <si>
    <t>昆明学院</t>
  </si>
  <si>
    <t>2020-06-24</t>
  </si>
  <si>
    <t>朱锦唐</t>
  </si>
  <si>
    <t>13578209059</t>
  </si>
  <si>
    <t>2024-04-19</t>
  </si>
  <si>
    <t>费文强</t>
  </si>
  <si>
    <t>1935970039@qq.com</t>
  </si>
  <si>
    <t>00563</t>
  </si>
  <si>
    <t>gbe2da11</t>
  </si>
  <si>
    <t>532901199804100077</t>
  </si>
  <si>
    <t>2028-10-06</t>
  </si>
  <si>
    <t>2022-06-14</t>
  </si>
  <si>
    <t>费嘉</t>
  </si>
  <si>
    <t>13887210782</t>
  </si>
  <si>
    <t>邓智娟</t>
  </si>
  <si>
    <t>dengzhijuan1989@sina.cn</t>
  </si>
  <si>
    <t>36</t>
  </si>
  <si>
    <t>离异</t>
  </si>
  <si>
    <t>会计</t>
  </si>
  <si>
    <t>00560</t>
  </si>
  <si>
    <t>会计主管</t>
  </si>
  <si>
    <t>财务部</t>
  </si>
  <si>
    <t>2023-03-13</t>
  </si>
  <si>
    <t>c3da2813</t>
  </si>
  <si>
    <t>530381198905095142</t>
  </si>
  <si>
    <t>2035-09-21</t>
  </si>
  <si>
    <t>2008-09-01</t>
  </si>
  <si>
    <t>2012-06-30</t>
  </si>
  <si>
    <t>会计学</t>
  </si>
  <si>
    <t>邓道旺</t>
  </si>
  <si>
    <t>13769878022</t>
  </si>
  <si>
    <t>角金龙</t>
  </si>
  <si>
    <t>jiaojinlong19@163.com</t>
  </si>
  <si>
    <t>00559</t>
  </si>
  <si>
    <t>2023-03-09</t>
  </si>
  <si>
    <t>d56f972c</t>
  </si>
  <si>
    <t>1年6个月</t>
  </si>
  <si>
    <t>530124199805012019</t>
  </si>
  <si>
    <t>2029-01-21</t>
  </si>
  <si>
    <t>江苏科技大学</t>
  </si>
  <si>
    <t>2021-06-21</t>
  </si>
  <si>
    <t>轮机工程</t>
  </si>
  <si>
    <t>角能祖</t>
  </si>
  <si>
    <t>2024-03-09</t>
  </si>
  <si>
    <t>段国富</t>
  </si>
  <si>
    <t>934154887@qq.com</t>
  </si>
  <si>
    <t>00558</t>
  </si>
  <si>
    <t>仓库管理员</t>
  </si>
  <si>
    <t>采购部</t>
  </si>
  <si>
    <t>2023-03-01</t>
  </si>
  <si>
    <t>fbdg459f</t>
  </si>
  <si>
    <t>530124199510170079</t>
  </si>
  <si>
    <t>2042-01-14</t>
  </si>
  <si>
    <t>云南经贸外事职业学院</t>
  </si>
  <si>
    <t>2019-11-01</t>
  </si>
  <si>
    <t>电子商务</t>
  </si>
  <si>
    <t>赵玉巧</t>
  </si>
  <si>
    <t>13312505519</t>
  </si>
  <si>
    <t>余佳林</t>
  </si>
  <si>
    <t>YJL649639743@163.com</t>
  </si>
  <si>
    <t>34</t>
  </si>
  <si>
    <t>00557</t>
  </si>
  <si>
    <t>安全管理员</t>
  </si>
  <si>
    <t>c11b8473</t>
  </si>
  <si>
    <t>530124199202170018</t>
  </si>
  <si>
    <t>2043-04-01</t>
  </si>
  <si>
    <t>2020-01-15</t>
  </si>
  <si>
    <t>2023-03-15</t>
  </si>
  <si>
    <t>机电一体化</t>
  </si>
  <si>
    <t>马娟</t>
  </si>
  <si>
    <t>13987177511</t>
  </si>
  <si>
    <t>吴占鼎</t>
  </si>
  <si>
    <t>18487102810@163.com</t>
  </si>
  <si>
    <t>00556</t>
  </si>
  <si>
    <t>设备维修员</t>
  </si>
  <si>
    <t>eaegcdg9</t>
  </si>
  <si>
    <t>530124199505050013</t>
  </si>
  <si>
    <t>2042-01-28</t>
  </si>
  <si>
    <t>云南国防工业职业技术学院</t>
  </si>
  <si>
    <t>2014-09-24</t>
  </si>
  <si>
    <t>2017-06-28</t>
  </si>
  <si>
    <t>黄加维</t>
  </si>
  <si>
    <t>13678761791</t>
  </si>
  <si>
    <t>马志喻</t>
  </si>
  <si>
    <t>1430291377@qq.com</t>
  </si>
  <si>
    <t>00554</t>
  </si>
  <si>
    <t>2023-02-06</t>
  </si>
  <si>
    <t>1763f5e2</t>
  </si>
  <si>
    <t>1年8个月</t>
  </si>
  <si>
    <t>53032219990104107X</t>
  </si>
  <si>
    <t>2027-07-24</t>
  </si>
  <si>
    <t>2022-07-07</t>
  </si>
  <si>
    <t>马体明</t>
  </si>
  <si>
    <t>13887156388</t>
  </si>
  <si>
    <t>2024-02-06</t>
  </si>
  <si>
    <t>陈江涛</t>
  </si>
  <si>
    <t>1257120393@qq.com</t>
  </si>
  <si>
    <t>00553</t>
  </si>
  <si>
    <t>2023-01-06</t>
  </si>
  <si>
    <t>8b8e2b71</t>
  </si>
  <si>
    <t>530302199601280751</t>
  </si>
  <si>
    <t>2043-03-13</t>
  </si>
  <si>
    <t>2014-09-01</t>
  </si>
  <si>
    <t>2018-06-19</t>
  </si>
  <si>
    <t>陈芳</t>
  </si>
  <si>
    <t>13769741936</t>
  </si>
  <si>
    <t>2024-01-06</t>
  </si>
  <si>
    <t>曹奕</t>
  </si>
  <si>
    <t>814758305@qq.com</t>
  </si>
  <si>
    <t>49</t>
  </si>
  <si>
    <t>湖南省</t>
  </si>
  <si>
    <t>00550</t>
  </si>
  <si>
    <t>保障专员</t>
  </si>
  <si>
    <t>2022-11-21</t>
  </si>
  <si>
    <t>31a16982</t>
  </si>
  <si>
    <t>432401197605174014</t>
  </si>
  <si>
    <t>2026-12-11</t>
  </si>
  <si>
    <t>湖南现代物流职业技术学院</t>
  </si>
  <si>
    <t>1992-09-01</t>
  </si>
  <si>
    <t>电算会计</t>
  </si>
  <si>
    <t>王爱先</t>
  </si>
  <si>
    <t>13507404860</t>
  </si>
  <si>
    <t>2025-11-21</t>
  </si>
  <si>
    <t>2030-11-30</t>
  </si>
  <si>
    <t>赵卫东</t>
  </si>
  <si>
    <t>1069436080@qq.com</t>
  </si>
  <si>
    <t>云南省红河哈尼族彝族自治州</t>
  </si>
  <si>
    <t>机电工程/电气工程及自动化</t>
  </si>
  <si>
    <t>00549</t>
  </si>
  <si>
    <t>2022-11-01</t>
  </si>
  <si>
    <t>d2433fca</t>
  </si>
  <si>
    <t>53252619970117081X</t>
  </si>
  <si>
    <t>西南交通大学</t>
  </si>
  <si>
    <t>2019-06-19</t>
  </si>
  <si>
    <t>赵红瑞</t>
  </si>
  <si>
    <t>15925349483</t>
  </si>
  <si>
    <t>罗永柱</t>
  </si>
  <si>
    <t>luoyongzhu@aliyun.com</t>
  </si>
  <si>
    <t>00542</t>
  </si>
  <si>
    <t>2022-05-13</t>
  </si>
  <si>
    <t>2cg644c9</t>
  </si>
  <si>
    <t>532128199712033934</t>
  </si>
  <si>
    <t>2028-02-05</t>
  </si>
  <si>
    <t>机械设计制造及自动化</t>
  </si>
  <si>
    <t>罗代志</t>
  </si>
  <si>
    <t>13099646908</t>
  </si>
  <si>
    <t>2026-07-31</t>
  </si>
  <si>
    <t>何绍维</t>
  </si>
  <si>
    <t>1498829819@qq.com</t>
  </si>
  <si>
    <t>云南省昆明市五华区经典明苑</t>
  </si>
  <si>
    <t>00539</t>
  </si>
  <si>
    <t>2022-04-13</t>
  </si>
  <si>
    <t>2f237d21</t>
  </si>
  <si>
    <t>532901199408190023</t>
  </si>
  <si>
    <t>2041-05-27</t>
  </si>
  <si>
    <t>南昌大学</t>
  </si>
  <si>
    <t>2017-06-22</t>
  </si>
  <si>
    <t>何剑秋</t>
  </si>
  <si>
    <t>13658729461</t>
  </si>
  <si>
    <t>田金磊</t>
  </si>
  <si>
    <t>tjl15683100151@163.com</t>
  </si>
  <si>
    <t>00538</t>
  </si>
  <si>
    <t>2022-04-07</t>
  </si>
  <si>
    <t>54833476</t>
  </si>
  <si>
    <t>530422199404141016</t>
  </si>
  <si>
    <t>重庆交通大学</t>
  </si>
  <si>
    <t>车辆工程</t>
  </si>
  <si>
    <t>田宗林</t>
  </si>
  <si>
    <t>13529698567</t>
  </si>
  <si>
    <t>何晓龙</t>
  </si>
  <si>
    <t>1852909081@qq.com</t>
  </si>
  <si>
    <t>00537</t>
  </si>
  <si>
    <t>2022-04-06</t>
  </si>
  <si>
    <t>848e71bf</t>
  </si>
  <si>
    <t>532327199511151517</t>
  </si>
  <si>
    <t>2028-08-13</t>
  </si>
  <si>
    <t>云南民族大学</t>
  </si>
  <si>
    <t>何正兵</t>
  </si>
  <si>
    <t>18787819823</t>
  </si>
  <si>
    <t>张颖权</t>
  </si>
  <si>
    <t>2250699717@qq.com</t>
  </si>
  <si>
    <t>00534</t>
  </si>
  <si>
    <t>质检员</t>
  </si>
  <si>
    <t>质量保证部</t>
  </si>
  <si>
    <t>2022-03-10</t>
  </si>
  <si>
    <t>252f99c4</t>
  </si>
  <si>
    <t>530124199805010830</t>
  </si>
  <si>
    <t>2044-09-04</t>
  </si>
  <si>
    <t>机械产品检测检验技术</t>
  </si>
  <si>
    <t>张建华</t>
  </si>
  <si>
    <t>15887067548</t>
  </si>
  <si>
    <t>杜思梅</t>
  </si>
  <si>
    <t>473037678@qq.com</t>
  </si>
  <si>
    <t>00526</t>
  </si>
  <si>
    <t>机械设计师</t>
  </si>
  <si>
    <t>2021-07-12</t>
  </si>
  <si>
    <t>g1278425</t>
  </si>
  <si>
    <t>532527199703222624</t>
  </si>
  <si>
    <t>2029-05-08</t>
  </si>
  <si>
    <t>台州学院</t>
  </si>
  <si>
    <t>杜老绕</t>
  </si>
  <si>
    <t>18287389038</t>
  </si>
  <si>
    <t>李燕芳</t>
  </si>
  <si>
    <t>00525</t>
  </si>
  <si>
    <t>采购会计</t>
  </si>
  <si>
    <t>625d59dg</t>
  </si>
  <si>
    <t>3年3个月</t>
  </si>
  <si>
    <t>530124199712290028</t>
  </si>
  <si>
    <t>2028-07-11</t>
  </si>
  <si>
    <t>2021-06-20</t>
  </si>
  <si>
    <t>财务管理</t>
  </si>
  <si>
    <t>李生学</t>
  </si>
  <si>
    <t>13987694766</t>
  </si>
  <si>
    <t>张鹏</t>
  </si>
  <si>
    <t>1792147354@qq.com</t>
  </si>
  <si>
    <t>00524</t>
  </si>
  <si>
    <t>工业智能化研发部总监</t>
  </si>
  <si>
    <t>2021-06-07</t>
  </si>
  <si>
    <t>bgcbcb5b</t>
  </si>
  <si>
    <t>533001199510011230</t>
  </si>
  <si>
    <t>2018-06-01</t>
  </si>
  <si>
    <t>产品设计</t>
  </si>
  <si>
    <t>张有明</t>
  </si>
  <si>
    <t>18988689498</t>
  </si>
  <si>
    <t>无固定期限劳动合同</t>
  </si>
  <si>
    <t>李兵</t>
  </si>
  <si>
    <t>1282342059@qq.com</t>
  </si>
  <si>
    <t>机电工程/电气</t>
  </si>
  <si>
    <t>00522</t>
  </si>
  <si>
    <t>2021-04-19</t>
  </si>
  <si>
    <t>d6g1f5ag</t>
  </si>
  <si>
    <t>530302199410051550</t>
  </si>
  <si>
    <t>2030-08-24</t>
  </si>
  <si>
    <t>武汉大学</t>
  </si>
  <si>
    <t>2018-06-30</t>
  </si>
  <si>
    <t>李贵全</t>
  </si>
  <si>
    <t>15974631695</t>
  </si>
  <si>
    <t>赵玉珂</t>
  </si>
  <si>
    <t>374491496@qq.com</t>
  </si>
  <si>
    <t>37</t>
  </si>
  <si>
    <t>河北省</t>
  </si>
  <si>
    <t>云南省昆明市五华区人民西路壹号广场</t>
  </si>
  <si>
    <t>00519</t>
  </si>
  <si>
    <t>产品研发工程师</t>
  </si>
  <si>
    <t>2021-03-17</t>
  </si>
  <si>
    <t>23b5fa2f</t>
  </si>
  <si>
    <t>130406198903232415</t>
  </si>
  <si>
    <t>2036-03-04</t>
  </si>
  <si>
    <t>2018-06-14</t>
  </si>
  <si>
    <t>赵利平</t>
  </si>
  <si>
    <t>15081637997</t>
  </si>
  <si>
    <t>王末</t>
  </si>
  <si>
    <t>贵州省</t>
  </si>
  <si>
    <t>企业人力资源管理师</t>
  </si>
  <si>
    <t>00516</t>
  </si>
  <si>
    <t>招聘培训专员</t>
  </si>
  <si>
    <t>人力资本部</t>
  </si>
  <si>
    <t>2020-12-22</t>
  </si>
  <si>
    <t>25d412a5</t>
  </si>
  <si>
    <t>520202199811021646</t>
  </si>
  <si>
    <t>2029-01-18</t>
  </si>
  <si>
    <t>重庆人文科技学院</t>
  </si>
  <si>
    <t>2020-06-23</t>
  </si>
  <si>
    <t>人力资源管理</t>
  </si>
  <si>
    <t>卫明</t>
  </si>
  <si>
    <t>专利代理人</t>
  </si>
  <si>
    <t>00512</t>
  </si>
  <si>
    <t>2020-11-09</t>
  </si>
  <si>
    <t>ad2f8dd7</t>
  </si>
  <si>
    <t>532723198303040021</t>
  </si>
  <si>
    <t>2033-12-13</t>
  </si>
  <si>
    <t>北京工业大学</t>
  </si>
  <si>
    <t>2009-09-01</t>
  </si>
  <si>
    <t>2013-06-24</t>
  </si>
  <si>
    <t>光学工程</t>
  </si>
  <si>
    <t>潘能翔</t>
  </si>
  <si>
    <t>云南省红河哈尼族彝族自治州元阳县上新城乡兴隆街村委会告封碑村民小组</t>
  </si>
  <si>
    <t>00510</t>
  </si>
  <si>
    <t>2020-10-12</t>
  </si>
  <si>
    <t>2agb4cd4</t>
  </si>
  <si>
    <t>532528199502191135</t>
  </si>
  <si>
    <t>2044-11-08</t>
  </si>
  <si>
    <t>2018-07-01</t>
  </si>
  <si>
    <t>2029-07-31</t>
  </si>
  <si>
    <t>杨志刚</t>
  </si>
  <si>
    <t>62</t>
  </si>
  <si>
    <t>甘肃省</t>
  </si>
  <si>
    <t>00001</t>
  </si>
  <si>
    <t>总经理</t>
  </si>
  <si>
    <t>2020-08-01</t>
  </si>
  <si>
    <t>575a9cba</t>
  </si>
  <si>
    <t>530112196310261639</t>
  </si>
  <si>
    <t>西北工业大学</t>
  </si>
  <si>
    <t>返聘协议</t>
  </si>
  <si>
    <t>2016-12-23</t>
  </si>
  <si>
    <t>周仕臣</t>
  </si>
  <si>
    <t>00486</t>
  </si>
  <si>
    <t>badd7d59</t>
  </si>
  <si>
    <t>530124199912141414</t>
  </si>
  <si>
    <t>2028-04-19</t>
  </si>
  <si>
    <t>昆明工业职业技术学院</t>
  </si>
  <si>
    <t>周源</t>
  </si>
  <si>
    <t>00501</t>
  </si>
  <si>
    <t>电气调试工程师</t>
  </si>
  <si>
    <t>6g429c19</t>
  </si>
  <si>
    <t>530124199805102612</t>
  </si>
  <si>
    <t>2027-10-03</t>
  </si>
  <si>
    <t>2020-06-30</t>
  </si>
  <si>
    <t>电气自动化</t>
  </si>
  <si>
    <t>栾志坤</t>
  </si>
  <si>
    <t>00492</t>
  </si>
  <si>
    <t>b84a9b5c</t>
  </si>
  <si>
    <t>530323199905201911</t>
  </si>
  <si>
    <t>2024-05-01</t>
  </si>
  <si>
    <t>莫丕宗</t>
  </si>
  <si>
    <t>00490</t>
  </si>
  <si>
    <t>3c9318b4</t>
  </si>
  <si>
    <t>530424199810211211</t>
  </si>
  <si>
    <t>2028-04-06</t>
  </si>
  <si>
    <t>何彦兵</t>
  </si>
  <si>
    <t>四川省南充市</t>
  </si>
  <si>
    <t>四川省</t>
  </si>
  <si>
    <t>机械设计与制造</t>
  </si>
  <si>
    <t>00506</t>
  </si>
  <si>
    <t>ecd139c2</t>
  </si>
  <si>
    <t>511303198712161658</t>
  </si>
  <si>
    <t>2037-12-21</t>
  </si>
  <si>
    <t>辽宁工程技术大学</t>
  </si>
  <si>
    <t>2005-09-01</t>
  </si>
  <si>
    <t>2009-07-10</t>
  </si>
  <si>
    <t>卿青</t>
  </si>
  <si>
    <t>18725182863</t>
  </si>
  <si>
    <t>刘书蓉</t>
  </si>
  <si>
    <t>劳动关系协调员</t>
  </si>
  <si>
    <t>00504</t>
  </si>
  <si>
    <t>2020-04-20</t>
  </si>
  <si>
    <t>1g73b3a8</t>
  </si>
  <si>
    <t>530124198710110025</t>
  </si>
  <si>
    <t>2036-09-21</t>
  </si>
  <si>
    <t>国家开放大学</t>
  </si>
  <si>
    <t>2014-01-31</t>
  </si>
  <si>
    <t>2016-01-31</t>
  </si>
  <si>
    <t>汉语言文学</t>
  </si>
  <si>
    <t>廖宇</t>
  </si>
  <si>
    <t>13888016845</t>
  </si>
  <si>
    <t>吴俊</t>
  </si>
  <si>
    <t>42</t>
  </si>
  <si>
    <t>00489</t>
  </si>
  <si>
    <t>2020-01-06</t>
  </si>
  <si>
    <t>6a8e2cac</t>
  </si>
  <si>
    <t>530381198312290030</t>
  </si>
  <si>
    <t>2039-08-08</t>
  </si>
  <si>
    <t>2003-09-01</t>
  </si>
  <si>
    <t>2009-07-01</t>
  </si>
  <si>
    <t>王芳</t>
  </si>
  <si>
    <t>13888922585</t>
  </si>
  <si>
    <t>方建龙</t>
  </si>
  <si>
    <t>33</t>
  </si>
  <si>
    <t>00499</t>
  </si>
  <si>
    <t>e496f786</t>
  </si>
  <si>
    <t>530326199210024639</t>
  </si>
  <si>
    <t>2041-04-17</t>
  </si>
  <si>
    <t>2010-09-01</t>
  </si>
  <si>
    <t>陈凤</t>
  </si>
  <si>
    <t>18788501917</t>
  </si>
  <si>
    <t>山桂富</t>
  </si>
  <si>
    <t>40</t>
  </si>
  <si>
    <t>云南省昆明市五华区普吉街道办事处</t>
  </si>
  <si>
    <t>00487</t>
  </si>
  <si>
    <t>焊工兼冷作工</t>
  </si>
  <si>
    <t>3eb83g86</t>
  </si>
  <si>
    <t>532331198603274012</t>
  </si>
  <si>
    <t>2039-07-10</t>
  </si>
  <si>
    <t>初中</t>
  </si>
  <si>
    <t>妥安中学</t>
  </si>
  <si>
    <t>高鹏</t>
  </si>
  <si>
    <t>机电工程/自动化与控制</t>
  </si>
  <si>
    <t>00485</t>
  </si>
  <si>
    <t>2019-10-23</t>
  </si>
  <si>
    <t>894919b7</t>
  </si>
  <si>
    <t>532125198809162130</t>
  </si>
  <si>
    <t>2037-10-31</t>
  </si>
  <si>
    <t>朱超</t>
  </si>
  <si>
    <t>山东省东营市</t>
  </si>
  <si>
    <t>云南省昆明市盘龙区北京路延长线昆明湖澜庭</t>
  </si>
  <si>
    <t>汽车驾驶</t>
  </si>
  <si>
    <t>00479</t>
  </si>
  <si>
    <t>2019-08-06</t>
  </si>
  <si>
    <t>fcbd898c</t>
  </si>
  <si>
    <t>370523198401204912</t>
  </si>
  <si>
    <t>2039-01-28</t>
  </si>
  <si>
    <t>广饶综合高中</t>
  </si>
  <si>
    <t>1999-08-01</t>
  </si>
  <si>
    <t>2002-05-10</t>
  </si>
  <si>
    <t>张玉</t>
  </si>
  <si>
    <t>1980637901@qq.com</t>
  </si>
  <si>
    <t>00474</t>
  </si>
  <si>
    <t>2019-07-10</t>
  </si>
  <si>
    <t>3ab9ecd9</t>
  </si>
  <si>
    <t>5年2个月</t>
  </si>
  <si>
    <t>530325199610251914</t>
  </si>
  <si>
    <t>2044-01-18</t>
  </si>
  <si>
    <t>北京航空航天大学</t>
  </si>
  <si>
    <t>2018-09-13</t>
  </si>
  <si>
    <t>刘方杰</t>
  </si>
  <si>
    <t>1218666239@qq.com</t>
  </si>
  <si>
    <t>00454</t>
  </si>
  <si>
    <t>检验员</t>
  </si>
  <si>
    <t>检验室</t>
  </si>
  <si>
    <t>127g6683</t>
  </si>
  <si>
    <t>53293119970806051X</t>
  </si>
  <si>
    <t>2045-07-13</t>
  </si>
  <si>
    <t>机电设备维修与管理</t>
  </si>
  <si>
    <t>郑明权</t>
  </si>
  <si>
    <t>41</t>
  </si>
  <si>
    <t>江苏省南京市</t>
  </si>
  <si>
    <t>海南省</t>
  </si>
  <si>
    <t>00469</t>
  </si>
  <si>
    <t>18f5af92</t>
  </si>
  <si>
    <t>460003198503291438</t>
  </si>
  <si>
    <t>2038-09-12</t>
  </si>
  <si>
    <t>中国矿业大学</t>
  </si>
  <si>
    <t>2010-06-28</t>
  </si>
  <si>
    <t>袁琦淞</t>
  </si>
  <si>
    <t>00445</t>
  </si>
  <si>
    <t>97b3fa4g</t>
  </si>
  <si>
    <t>5年3个月</t>
  </si>
  <si>
    <t>53012420000705261X</t>
  </si>
  <si>
    <t>2030-02-22</t>
  </si>
  <si>
    <t>昆明铁路机械学校</t>
  </si>
  <si>
    <t>机电设备安装与维修</t>
  </si>
  <si>
    <t>洪明松</t>
  </si>
  <si>
    <t>福建省南安市</t>
  </si>
  <si>
    <t>福建省</t>
  </si>
  <si>
    <t>00466</t>
  </si>
  <si>
    <t>d6a41364</t>
  </si>
  <si>
    <t>350583199605181131</t>
  </si>
  <si>
    <t>2032-01-27</t>
  </si>
  <si>
    <t>洪爱添</t>
  </si>
  <si>
    <t>13108894431</t>
  </si>
  <si>
    <t>王加兵</t>
  </si>
  <si>
    <t>00456</t>
  </si>
  <si>
    <t>7b18d314</t>
  </si>
  <si>
    <t>530124199707182612</t>
  </si>
  <si>
    <t>2028-02-06</t>
  </si>
  <si>
    <t>戚海</t>
  </si>
  <si>
    <t>00458</t>
  </si>
  <si>
    <t>4bf3g5dg</t>
  </si>
  <si>
    <t>532526199803180816</t>
  </si>
  <si>
    <t>吴亚吕</t>
  </si>
  <si>
    <t>2419782346@qq.com</t>
  </si>
  <si>
    <t>00453</t>
  </si>
  <si>
    <t>66b56df3</t>
  </si>
  <si>
    <t>530323199712230716</t>
  </si>
  <si>
    <t>2028-02-02</t>
  </si>
  <si>
    <t>数控设备应用与维护</t>
  </si>
  <si>
    <t>郑旭成</t>
  </si>
  <si>
    <t>00457</t>
  </si>
  <si>
    <t>c8ed21fb</t>
  </si>
  <si>
    <t>530322199807170713</t>
  </si>
  <si>
    <t>2027-07-16</t>
  </si>
  <si>
    <t>何亚玲</t>
  </si>
  <si>
    <t>云南省西双版纳傣族自治州</t>
  </si>
  <si>
    <t>00467</t>
  </si>
  <si>
    <t>技术文员</t>
  </si>
  <si>
    <t>2019-05-22</t>
  </si>
  <si>
    <t>aggc7d78</t>
  </si>
  <si>
    <t>532823199502014221</t>
  </si>
  <si>
    <t>2043-04-27</t>
  </si>
  <si>
    <t>毕榕春</t>
  </si>
  <si>
    <t>00463</t>
  </si>
  <si>
    <t>2019-03-21</t>
  </si>
  <si>
    <t>d23e632e</t>
  </si>
  <si>
    <t>530124199810221712</t>
  </si>
  <si>
    <t>2029-02-27</t>
  </si>
  <si>
    <t>2015-03-01</t>
  </si>
  <si>
    <t>电气工程及其电动化</t>
  </si>
  <si>
    <t>燕明珠</t>
  </si>
  <si>
    <t>771662894@qq.com</t>
  </si>
  <si>
    <t>建筑工程</t>
  </si>
  <si>
    <t>00462</t>
  </si>
  <si>
    <t>员工关系专员</t>
  </si>
  <si>
    <t>2019-03-18</t>
  </si>
  <si>
    <t>5a397238</t>
  </si>
  <si>
    <t>530124198911060028</t>
  </si>
  <si>
    <t>2036-04-25</t>
  </si>
  <si>
    <t>2013-03-01</t>
  </si>
  <si>
    <t>2016-01-15</t>
  </si>
  <si>
    <t>李丽娟</t>
  </si>
  <si>
    <t>00011</t>
  </si>
  <si>
    <t>2019-03-06</t>
  </si>
  <si>
    <t>bbb8c5d3</t>
  </si>
  <si>
    <t>530124199411240844</t>
  </si>
  <si>
    <t>2041-01-29</t>
  </si>
  <si>
    <t>中央广播电视大学</t>
  </si>
  <si>
    <t>李国林</t>
  </si>
  <si>
    <t>18669012707</t>
  </si>
  <si>
    <t>符维山</t>
  </si>
  <si>
    <t>00313</t>
  </si>
  <si>
    <t>729c78f3</t>
  </si>
  <si>
    <t>530381199501032713</t>
  </si>
  <si>
    <t>2042-08-22</t>
  </si>
  <si>
    <t>2015-07-01</t>
  </si>
  <si>
    <t>模具设计与制造</t>
  </si>
  <si>
    <t>周佼</t>
  </si>
  <si>
    <t>电气工程</t>
  </si>
  <si>
    <t>00447</t>
  </si>
  <si>
    <t>2018-11-05</t>
  </si>
  <si>
    <t>357c1555</t>
  </si>
  <si>
    <t>530381199210102136</t>
  </si>
  <si>
    <t>2027-02-03</t>
  </si>
  <si>
    <t>2011-09-01</t>
  </si>
  <si>
    <t>2015-06-25</t>
  </si>
  <si>
    <t>普少雄</t>
  </si>
  <si>
    <t>电气</t>
  </si>
  <si>
    <t>00444</t>
  </si>
  <si>
    <t>电气设计师</t>
  </si>
  <si>
    <t>642362e9</t>
  </si>
  <si>
    <t>530102199004031115</t>
  </si>
  <si>
    <t>2039-09-16</t>
  </si>
  <si>
    <t>昆明冶金高等专科学校</t>
  </si>
  <si>
    <t>2012-07-01</t>
  </si>
  <si>
    <t>给排水工程技术</t>
  </si>
  <si>
    <t>周金萍</t>
  </si>
  <si>
    <t>13330441867</t>
  </si>
  <si>
    <t>2025-01-06</t>
  </si>
  <si>
    <t>汪永寿</t>
  </si>
  <si>
    <t>00441</t>
  </si>
  <si>
    <t>42fg4c8c</t>
  </si>
  <si>
    <t>530322199209081016</t>
  </si>
  <si>
    <t>2042-05-09</t>
  </si>
  <si>
    <t>孟江文</t>
  </si>
  <si>
    <t>00440</t>
  </si>
  <si>
    <t>激光切割辅助工</t>
  </si>
  <si>
    <t>b9d74955</t>
  </si>
  <si>
    <t>530124199412030013</t>
  </si>
  <si>
    <t>2045-02-12</t>
  </si>
  <si>
    <t>永定中学</t>
  </si>
  <si>
    <t>颜修鹏</t>
  </si>
  <si>
    <t>湖北省襄阳市</t>
  </si>
  <si>
    <t>00438</t>
  </si>
  <si>
    <t>87gc1e1c</t>
  </si>
  <si>
    <t>532126198909212314</t>
  </si>
  <si>
    <t>2036-09-05</t>
  </si>
  <si>
    <t>南京理工大学</t>
  </si>
  <si>
    <t>2007-09-01</t>
  </si>
  <si>
    <t>2011-10-20</t>
  </si>
  <si>
    <t>武器系统与工程</t>
  </si>
  <si>
    <t>李建明</t>
  </si>
  <si>
    <t>00422</t>
  </si>
  <si>
    <t>ad8fbdec</t>
  </si>
  <si>
    <t>530124199604042617</t>
  </si>
  <si>
    <t>2027-02-14</t>
  </si>
  <si>
    <t>数控设备运用与维护</t>
  </si>
  <si>
    <t>李海</t>
  </si>
  <si>
    <t>00435</t>
  </si>
  <si>
    <t>4b63df42</t>
  </si>
  <si>
    <t>530324199512252116</t>
  </si>
  <si>
    <t>2029-08-02</t>
  </si>
  <si>
    <t>2015-08-30</t>
  </si>
  <si>
    <t>2016-06-30</t>
  </si>
  <si>
    <t>唐中辽</t>
  </si>
  <si>
    <t>381377341@qq.com</t>
  </si>
  <si>
    <t>云南省宣威市杨柳乡水塘村委会上洋洞村45号</t>
  </si>
  <si>
    <t>00415</t>
  </si>
  <si>
    <t>g3g3c772</t>
  </si>
  <si>
    <t>530381199512263330</t>
  </si>
  <si>
    <t>2045-08-16</t>
  </si>
  <si>
    <t>云南城市建设职业学院</t>
  </si>
  <si>
    <t>朱俊</t>
  </si>
  <si>
    <t>云南省昆明市西山区西园路船房小区</t>
  </si>
  <si>
    <t>00095</t>
  </si>
  <si>
    <t>5928f1cf</t>
  </si>
  <si>
    <t>530122199406181613</t>
  </si>
  <si>
    <t>机电一体化技术</t>
  </si>
  <si>
    <t>陈学文</t>
  </si>
  <si>
    <t>13698713366</t>
  </si>
  <si>
    <t>2023-04-01</t>
  </si>
  <si>
    <t>陈娥</t>
  </si>
  <si>
    <t>00434</t>
  </si>
  <si>
    <t>2018-06-05</t>
  </si>
  <si>
    <t>477469d3</t>
  </si>
  <si>
    <t>530124198910160027</t>
  </si>
  <si>
    <t>2039-05-27</t>
  </si>
  <si>
    <t>重庆工商大学</t>
  </si>
  <si>
    <t>2008-09-05</t>
  </si>
  <si>
    <t>2011-12-30</t>
  </si>
  <si>
    <t>秦杰开</t>
  </si>
  <si>
    <t>00433</t>
  </si>
  <si>
    <t>159e4a85</t>
  </si>
  <si>
    <t>532930198308191114</t>
  </si>
  <si>
    <t>2036-06-07</t>
  </si>
  <si>
    <t>2004-09-01</t>
  </si>
  <si>
    <t>2008-07-01</t>
  </si>
  <si>
    <t>熊利波</t>
  </si>
  <si>
    <t>00432</t>
  </si>
  <si>
    <t>484e7d6a</t>
  </si>
  <si>
    <t>530302199401070653</t>
  </si>
  <si>
    <t>2029-10-08</t>
  </si>
  <si>
    <t>2013-08-30</t>
  </si>
  <si>
    <t>2017-10-31</t>
  </si>
  <si>
    <t>李忠虎</t>
  </si>
  <si>
    <t>数控铣工</t>
  </si>
  <si>
    <t>00430</t>
  </si>
  <si>
    <t>2018-05-07</t>
  </si>
  <si>
    <t>e3c12447</t>
  </si>
  <si>
    <t>530326199403030357</t>
  </si>
  <si>
    <t>2043-02-09</t>
  </si>
  <si>
    <t>四川大学</t>
  </si>
  <si>
    <t>万里波</t>
  </si>
  <si>
    <t>00429</t>
  </si>
  <si>
    <t>2de62211</t>
  </si>
  <si>
    <t>532130198706150779</t>
  </si>
  <si>
    <t>2037-12-26</t>
  </si>
  <si>
    <t>西南林业大学</t>
  </si>
  <si>
    <t>梁贵龙</t>
  </si>
  <si>
    <t>1341478450@qq.com</t>
  </si>
  <si>
    <t>00420</t>
  </si>
  <si>
    <t>2017-11-13</t>
  </si>
  <si>
    <t>5a7cb4g8</t>
  </si>
  <si>
    <t>530128199410151837</t>
  </si>
  <si>
    <t>沈阳工业大学</t>
  </si>
  <si>
    <t>2016-07-10</t>
  </si>
  <si>
    <t>宋俊亮</t>
  </si>
  <si>
    <t>62500785@qq.com</t>
  </si>
  <si>
    <t>00414</t>
  </si>
  <si>
    <t>45gfga1d</t>
  </si>
  <si>
    <t>530421198911141933</t>
  </si>
  <si>
    <t>2041-05-11</t>
  </si>
  <si>
    <t>四川工程职业技术学院</t>
  </si>
  <si>
    <t>焊机设计与制造</t>
  </si>
  <si>
    <t>李易明</t>
  </si>
  <si>
    <t>昆明市禄劝县</t>
  </si>
  <si>
    <t>软件设计师</t>
  </si>
  <si>
    <t>00408</t>
  </si>
  <si>
    <t>信息技术部</t>
  </si>
  <si>
    <t>d2fb3131</t>
  </si>
  <si>
    <t>53012819950726001X</t>
  </si>
  <si>
    <t>2026-06-13</t>
  </si>
  <si>
    <t>2013-08-22</t>
  </si>
  <si>
    <t>张佳俊</t>
  </si>
  <si>
    <t>1638689739@qq.com</t>
  </si>
  <si>
    <t>00407</t>
  </si>
  <si>
    <t>dde39556</t>
  </si>
  <si>
    <t>530124199801092314</t>
  </si>
  <si>
    <t>2028-06-25</t>
  </si>
  <si>
    <t>昆明高级技工学校</t>
  </si>
  <si>
    <t>数控加工</t>
  </si>
  <si>
    <t>王瑞</t>
  </si>
  <si>
    <t>1285895402@qq.com</t>
  </si>
  <si>
    <t>00404</t>
  </si>
  <si>
    <t>9g7gf81f</t>
  </si>
  <si>
    <t>530424199411222028</t>
  </si>
  <si>
    <t>2043-12-15</t>
  </si>
  <si>
    <t>计算机科学与技术</t>
  </si>
  <si>
    <t>钟欢</t>
  </si>
  <si>
    <t>22554737@qq.com</t>
  </si>
  <si>
    <t>00030</t>
  </si>
  <si>
    <t>2017-04-24</t>
  </si>
  <si>
    <t>dd78b2a6</t>
  </si>
  <si>
    <t>530102198204260735</t>
  </si>
  <si>
    <t>2028-12-29</t>
  </si>
  <si>
    <t>昆明市铁路局第二职业中学</t>
  </si>
  <si>
    <t>2000-07-01</t>
  </si>
  <si>
    <t>旅游管理</t>
  </si>
  <si>
    <t>钟外铭</t>
  </si>
  <si>
    <t>15368097493</t>
  </si>
  <si>
    <t>张欢欢</t>
  </si>
  <si>
    <t>1577262856@qq.com</t>
  </si>
  <si>
    <t>00410</t>
  </si>
  <si>
    <t>鑫晟源会计主管</t>
  </si>
  <si>
    <t>4eaef862</t>
  </si>
  <si>
    <t>53012419910521172X</t>
  </si>
  <si>
    <t>2037-06-02</t>
  </si>
  <si>
    <t>青岛大学</t>
  </si>
  <si>
    <t>2014-06-25</t>
  </si>
  <si>
    <t>代学良</t>
  </si>
  <si>
    <t>安全工程/安全生产管理</t>
  </si>
  <si>
    <t>其他安全</t>
  </si>
  <si>
    <t>00409</t>
  </si>
  <si>
    <t>安全管理部</t>
  </si>
  <si>
    <t>2017-03-20</t>
  </si>
  <si>
    <t>ef32747g</t>
  </si>
  <si>
    <t>530128198402074216</t>
  </si>
  <si>
    <t>2037-04-02</t>
  </si>
  <si>
    <t>2018-03-01</t>
  </si>
  <si>
    <t>2020-12-21</t>
  </si>
  <si>
    <t>土木工程</t>
  </si>
  <si>
    <t>杨莲芬</t>
  </si>
  <si>
    <t>56</t>
  </si>
  <si>
    <t>经济管理</t>
  </si>
  <si>
    <t>00399</t>
  </si>
  <si>
    <t>运维工程师</t>
  </si>
  <si>
    <t>2016-09-20</t>
  </si>
  <si>
    <t>5be51389</t>
  </si>
  <si>
    <t>530111196909188726</t>
  </si>
  <si>
    <t>中共云南省委党校</t>
  </si>
  <si>
    <t>2001-09-01</t>
  </si>
  <si>
    <t>2004-06-21</t>
  </si>
  <si>
    <t>汪东辉</t>
  </si>
  <si>
    <t>00397</t>
  </si>
  <si>
    <t>2016-08-16</t>
  </si>
  <si>
    <t>698a5646</t>
  </si>
  <si>
    <t>530124199308120019</t>
  </si>
  <si>
    <t>2040-07-25</t>
  </si>
  <si>
    <t>上海理工大学</t>
  </si>
  <si>
    <t>马爱华</t>
  </si>
  <si>
    <t>13888707665</t>
  </si>
  <si>
    <t>张继心</t>
  </si>
  <si>
    <t>00395</t>
  </si>
  <si>
    <t>2016-08-02</t>
  </si>
  <si>
    <t>ecb2gb4a</t>
  </si>
  <si>
    <t>530124199307042020</t>
  </si>
  <si>
    <t>2028-09-25</t>
  </si>
  <si>
    <t>景德镇陶瓷大学</t>
  </si>
  <si>
    <t>2012-09-02</t>
  </si>
  <si>
    <t>李子英</t>
  </si>
  <si>
    <t>13888801374</t>
  </si>
  <si>
    <t>张家虎</t>
  </si>
  <si>
    <t>1146971567@qq.com</t>
  </si>
  <si>
    <t>云南省楚雄彝族自治州姚安县栋川镇蜻蛉村委会彭家冲二组58号</t>
  </si>
  <si>
    <t>00355</t>
  </si>
  <si>
    <t>392c82d6</t>
  </si>
  <si>
    <t>53232519940601071X</t>
  </si>
  <si>
    <t>2040-07-21</t>
  </si>
  <si>
    <t>焊接技术及自动化</t>
  </si>
  <si>
    <t>张文飞</t>
  </si>
  <si>
    <t>15987802858</t>
  </si>
  <si>
    <t>乐晨云</t>
  </si>
  <si>
    <t>1771257728@qq.com</t>
  </si>
  <si>
    <t>云南省红河哈尼族彝族自治州弥勒县竹园镇土桥村委会新街子村130号</t>
  </si>
  <si>
    <t>00359</t>
  </si>
  <si>
    <t>afc2de7a</t>
  </si>
  <si>
    <t>532526199311131110</t>
  </si>
  <si>
    <t>2040-04-29</t>
  </si>
  <si>
    <t>机械制造与自动化</t>
  </si>
  <si>
    <t>乐平生</t>
  </si>
  <si>
    <t>15126192938</t>
  </si>
  <si>
    <t>李嘉杰</t>
  </si>
  <si>
    <t>00338</t>
  </si>
  <si>
    <t>销售工程师</t>
  </si>
  <si>
    <t>235g5198</t>
  </si>
  <si>
    <t>530124199803130011</t>
  </si>
  <si>
    <t>2028-03-13</t>
  </si>
  <si>
    <t>云南技师学院</t>
  </si>
  <si>
    <t>机械设备装配与自动控制</t>
  </si>
  <si>
    <t>李自成</t>
  </si>
  <si>
    <t>13759190424</t>
  </si>
  <si>
    <t>张汝林</t>
  </si>
  <si>
    <t>00392</t>
  </si>
  <si>
    <t>维修工</t>
  </si>
  <si>
    <t>维修组</t>
  </si>
  <si>
    <t>a3821d8f</t>
  </si>
  <si>
    <t>530124197902011756</t>
  </si>
  <si>
    <t>2026-06-21</t>
  </si>
  <si>
    <t>不详</t>
  </si>
  <si>
    <t>1899-12-31</t>
  </si>
  <si>
    <t>张淑英</t>
  </si>
  <si>
    <t>13888421504</t>
  </si>
  <si>
    <t>左雪蓉</t>
  </si>
  <si>
    <t>1327380581@qq.com</t>
  </si>
  <si>
    <t>注册计量师</t>
  </si>
  <si>
    <t>00353</t>
  </si>
  <si>
    <t>15cg1ca3</t>
  </si>
  <si>
    <t>530322199409032243</t>
  </si>
  <si>
    <t>2045-06-30</t>
  </si>
  <si>
    <t>谭国坤</t>
  </si>
  <si>
    <t>傣族</t>
  </si>
  <si>
    <t>00390</t>
  </si>
  <si>
    <t>采购兼ERP信息员</t>
  </si>
  <si>
    <t>bb6g5b25</t>
  </si>
  <si>
    <t>530124199709150016</t>
  </si>
  <si>
    <t>2027-10-27</t>
  </si>
  <si>
    <t>2025-03-01</t>
  </si>
  <si>
    <t>罗晟</t>
  </si>
  <si>
    <t>lo_blade@163.com</t>
  </si>
  <si>
    <t>云南省昆明市西山区新闻路409号1幢1单元303号</t>
  </si>
  <si>
    <t>00386</t>
  </si>
  <si>
    <t>电气标准化工程师</t>
  </si>
  <si>
    <t>2016-05-25</t>
  </si>
  <si>
    <t>31bddc1b</t>
  </si>
  <si>
    <t>530102198706212717</t>
  </si>
  <si>
    <t>2043-02-27</t>
  </si>
  <si>
    <t>罗世军</t>
  </si>
  <si>
    <t>13698751826</t>
  </si>
  <si>
    <t>双建春</t>
  </si>
  <si>
    <t>云南省大理白族自治州宾川县力角镇大会村委会三宝庄村90号</t>
  </si>
  <si>
    <t>00370</t>
  </si>
  <si>
    <t>geafag51</t>
  </si>
  <si>
    <t>532924199012300518</t>
  </si>
  <si>
    <t>2037-07-31</t>
  </si>
  <si>
    <t>三明学院</t>
  </si>
  <si>
    <t>沈吉林</t>
  </si>
  <si>
    <t>sjljpy@163.com</t>
  </si>
  <si>
    <t>00372</t>
  </si>
  <si>
    <t>2016-03-04</t>
  </si>
  <si>
    <t>d7881ef3</t>
  </si>
  <si>
    <t>530322198412061956</t>
  </si>
  <si>
    <t>2040-08-20</t>
  </si>
  <si>
    <t>海南大学</t>
  </si>
  <si>
    <t>2007-07-01</t>
  </si>
  <si>
    <t>鲁绍尧</t>
  </si>
  <si>
    <t>542323269@qq.com</t>
  </si>
  <si>
    <t>39</t>
  </si>
  <si>
    <t>00371</t>
  </si>
  <si>
    <t>734a1636</t>
  </si>
  <si>
    <t>532128198703170350</t>
  </si>
  <si>
    <t>2037-06-29</t>
  </si>
  <si>
    <t>2013-07-01</t>
  </si>
  <si>
    <t>农业电气化与自动化</t>
  </si>
  <si>
    <t>杨渌涵</t>
  </si>
  <si>
    <t>00368</t>
  </si>
  <si>
    <t>总经理办公室主任</t>
  </si>
  <si>
    <t>2016-01-07</t>
  </si>
  <si>
    <t>f2g25d41</t>
  </si>
  <si>
    <t>530111199011154427</t>
  </si>
  <si>
    <t>2045-02-05</t>
  </si>
  <si>
    <t>云南工商学院</t>
  </si>
  <si>
    <t>艺术设计</t>
  </si>
  <si>
    <t>2027-02-28</t>
  </si>
  <si>
    <t>8</t>
  </si>
  <si>
    <t>李春梅</t>
  </si>
  <si>
    <t>00366</t>
  </si>
  <si>
    <t>厨工</t>
  </si>
  <si>
    <t>2016-01-04</t>
  </si>
  <si>
    <t>f8dd16bf</t>
  </si>
  <si>
    <t>530124197612301421</t>
  </si>
  <si>
    <t>2026-06-15</t>
  </si>
  <si>
    <t>李继华</t>
  </si>
  <si>
    <t>13987147729</t>
  </si>
  <si>
    <t>关瑾</t>
  </si>
  <si>
    <t>1104904767@qq.com</t>
  </si>
  <si>
    <t>云南省安宁市</t>
  </si>
  <si>
    <t>00360</t>
  </si>
  <si>
    <t>5g9fg792</t>
  </si>
  <si>
    <t>620111199010130521</t>
  </si>
  <si>
    <t>青岛工学院</t>
  </si>
  <si>
    <t>2025-08-17</t>
  </si>
  <si>
    <t>李茹意</t>
  </si>
  <si>
    <t>1570739334@qq.com</t>
  </si>
  <si>
    <t>00352</t>
  </si>
  <si>
    <t>2015-11-17</t>
  </si>
  <si>
    <t>dd48e1bg</t>
  </si>
  <si>
    <t>530124199107070027</t>
  </si>
  <si>
    <t>2041-12-10</t>
  </si>
  <si>
    <t>云南艺术学院文华学院</t>
  </si>
  <si>
    <t>公共事业管理</t>
  </si>
  <si>
    <t>李洪明</t>
  </si>
  <si>
    <t>13208894711</t>
  </si>
  <si>
    <t>黄大禹</t>
  </si>
  <si>
    <t>00350</t>
  </si>
  <si>
    <t>货车驾驶员</t>
  </si>
  <si>
    <t>生产制造综合管理办公室</t>
  </si>
  <si>
    <t>2015-10-08</t>
  </si>
  <si>
    <t>a48abdcc</t>
  </si>
  <si>
    <t>520202198210202818</t>
  </si>
  <si>
    <t>2036-09-27</t>
  </si>
  <si>
    <t>贵州省盘江煤电集团技工学校</t>
  </si>
  <si>
    <t>1996-03-01</t>
  </si>
  <si>
    <t>1999-10-01</t>
  </si>
  <si>
    <t>电修</t>
  </si>
  <si>
    <t>杨会莉</t>
  </si>
  <si>
    <t>云南省楚雄彝族自治州武定县</t>
  </si>
  <si>
    <t>信息安全工程师</t>
  </si>
  <si>
    <t>00346</t>
  </si>
  <si>
    <t>2015-09-16</t>
  </si>
  <si>
    <t>1gdbf1a2</t>
  </si>
  <si>
    <t>532329199108201927</t>
  </si>
  <si>
    <t>2042-07-14</t>
  </si>
  <si>
    <t>大理大学</t>
  </si>
  <si>
    <t>刘柳</t>
  </si>
  <si>
    <t>河北省遵化市</t>
  </si>
  <si>
    <t>河北省遵化市建明镇王庄村4排3号</t>
  </si>
  <si>
    <t>00340</t>
  </si>
  <si>
    <t>三行智造会计主管</t>
  </si>
  <si>
    <t>2f836385</t>
  </si>
  <si>
    <t>130281198710155344</t>
  </si>
  <si>
    <t>2040-08-10</t>
  </si>
  <si>
    <t>燕山大学</t>
  </si>
  <si>
    <t>2015-01-01</t>
  </si>
  <si>
    <t>经济学</t>
  </si>
  <si>
    <t>刘志新</t>
  </si>
  <si>
    <t>15887094952</t>
  </si>
  <si>
    <t>魏东海</t>
  </si>
  <si>
    <t>00337</t>
  </si>
  <si>
    <t>2015-08-05</t>
  </si>
  <si>
    <t>41462fca</t>
  </si>
  <si>
    <t>41282319890606643X</t>
  </si>
  <si>
    <t>2042-07-29</t>
  </si>
  <si>
    <t>华中科技大学</t>
  </si>
  <si>
    <t>2013-06-01</t>
  </si>
  <si>
    <t>苏继雄</t>
  </si>
  <si>
    <t>00336</t>
  </si>
  <si>
    <t>外协辅助员</t>
  </si>
  <si>
    <t>4f326192</t>
  </si>
  <si>
    <t>530124199609291719</t>
  </si>
  <si>
    <t>2027-03-16</t>
  </si>
  <si>
    <t>济南大学</t>
  </si>
  <si>
    <t>2015-06-01</t>
  </si>
  <si>
    <t>刘崇宏</t>
  </si>
  <si>
    <t>00332</t>
  </si>
  <si>
    <t>制造中心主任兼机加车间主任</t>
  </si>
  <si>
    <t>2f13bb95</t>
  </si>
  <si>
    <t>532125198209292118</t>
  </si>
  <si>
    <t>2036-08-10</t>
  </si>
  <si>
    <t>2011-03-01</t>
  </si>
  <si>
    <t>2014-01-01</t>
  </si>
  <si>
    <t>王嘉椿</t>
  </si>
  <si>
    <t>云南省丽江市</t>
  </si>
  <si>
    <t>工业自动化</t>
  </si>
  <si>
    <t>维修电工</t>
  </si>
  <si>
    <t>00330</t>
  </si>
  <si>
    <t>安调中心副主任</t>
  </si>
  <si>
    <t>b4ceeae6</t>
  </si>
  <si>
    <t>533222199212063617</t>
  </si>
  <si>
    <t>2045-04-30</t>
  </si>
  <si>
    <t>西南科技大学</t>
  </si>
  <si>
    <t>2013-01-10</t>
  </si>
  <si>
    <t>2015-12-30</t>
  </si>
  <si>
    <t>陆文先</t>
  </si>
  <si>
    <t>15912228735</t>
  </si>
  <si>
    <t>刘雪芹</t>
  </si>
  <si>
    <t>云南省楚雄彝族自治州牟定县共和镇代冲村委会代冲村113号</t>
  </si>
  <si>
    <t>00284</t>
  </si>
  <si>
    <t>1add4b41</t>
  </si>
  <si>
    <t>532323199312290041</t>
  </si>
  <si>
    <t>2040-02-09</t>
  </si>
  <si>
    <t>2015-06-28</t>
  </si>
  <si>
    <t>钱香源</t>
  </si>
  <si>
    <t>云南省弥勒市</t>
  </si>
  <si>
    <t>云南省红河哈尼族彝族自治州弥勒县弥阳镇新村村委会新村村364号</t>
  </si>
  <si>
    <t>00272</t>
  </si>
  <si>
    <t>94121c27</t>
  </si>
  <si>
    <t>532526199505300293</t>
  </si>
  <si>
    <t>2042-01-07</t>
  </si>
  <si>
    <t>牛楚明</t>
  </si>
  <si>
    <t>58</t>
  </si>
  <si>
    <t>昆明市高新区</t>
  </si>
  <si>
    <t>00326</t>
  </si>
  <si>
    <t>系统运维管理员</t>
  </si>
  <si>
    <t>82ddc8e2</t>
  </si>
  <si>
    <t>530102196803062432</t>
  </si>
  <si>
    <t>2027-11-20</t>
  </si>
  <si>
    <t>昆明市五华一中</t>
  </si>
  <si>
    <t>1983-09-01</t>
  </si>
  <si>
    <t>1986-07-01</t>
  </si>
  <si>
    <t>王祥</t>
  </si>
  <si>
    <t>923843243@qq.com</t>
  </si>
  <si>
    <t>云南省保山市施甸县万兴乡万兴村委会核桃寨二组055号</t>
  </si>
  <si>
    <t>00327</t>
  </si>
  <si>
    <t>2015-06-23</t>
  </si>
  <si>
    <t>gb4d78g9</t>
  </si>
  <si>
    <t>53302219881018101X</t>
  </si>
  <si>
    <t>2035-09-22</t>
  </si>
  <si>
    <t>杨诗林</t>
  </si>
  <si>
    <t>110688972@qq.com</t>
  </si>
  <si>
    <t>00324</t>
  </si>
  <si>
    <t>营销助理</t>
  </si>
  <si>
    <t>2015-06-16</t>
  </si>
  <si>
    <t>cg257593</t>
  </si>
  <si>
    <t>530124199009250518</t>
  </si>
  <si>
    <t>2041-04-02</t>
  </si>
  <si>
    <t>罗跃</t>
  </si>
  <si>
    <t>642192911@qq.com</t>
  </si>
  <si>
    <t>00323</t>
  </si>
  <si>
    <t>cg4bb83c</t>
  </si>
  <si>
    <t>532128198905140512</t>
  </si>
  <si>
    <t>2035-06-08</t>
  </si>
  <si>
    <t>天津理工大学</t>
  </si>
  <si>
    <t>2013-06-30</t>
  </si>
  <si>
    <t>刘兴勇</t>
  </si>
  <si>
    <t>中式烹调师</t>
  </si>
  <si>
    <t>00319</t>
  </si>
  <si>
    <t>食堂组长</t>
  </si>
  <si>
    <t>2015-05-13</t>
  </si>
  <si>
    <t>181b5a6d</t>
  </si>
  <si>
    <t>530124198407160011</t>
  </si>
  <si>
    <t>2036-07-29</t>
  </si>
  <si>
    <t>杨金秀</t>
  </si>
  <si>
    <t>15687763833</t>
  </si>
  <si>
    <t>谯承舰</t>
  </si>
  <si>
    <t>陕西省汉中市西乡县</t>
  </si>
  <si>
    <t>陕西省汉中市西乡县峡口镇圈腰村三组</t>
  </si>
  <si>
    <t>00315</t>
  </si>
  <si>
    <t>安全员兼制造中心设备管理专员</t>
  </si>
  <si>
    <t>52g781gd</t>
  </si>
  <si>
    <t>612324198704284013</t>
  </si>
  <si>
    <t>2038-03-02</t>
  </si>
  <si>
    <t>西安华西专修大学</t>
  </si>
  <si>
    <t>2010-06-15</t>
  </si>
  <si>
    <t>谯福德</t>
  </si>
  <si>
    <t>13474595358</t>
  </si>
  <si>
    <t>刘慧</t>
  </si>
  <si>
    <t>1192260242@qq.com</t>
  </si>
  <si>
    <t>重庆市南岸区</t>
  </si>
  <si>
    <t>00308</t>
  </si>
  <si>
    <t>2014-11-04</t>
  </si>
  <si>
    <t>b74bg1e9</t>
  </si>
  <si>
    <t>513901198704102342</t>
  </si>
  <si>
    <t>2035-09-29</t>
  </si>
  <si>
    <t>舒美萍</t>
  </si>
  <si>
    <t>00309</t>
  </si>
  <si>
    <t>f6cbecbb</t>
  </si>
  <si>
    <t>10年10个月</t>
  </si>
  <si>
    <t>530124197809101722</t>
  </si>
  <si>
    <t>昆明广播电视中等专业学校</t>
  </si>
  <si>
    <t>1995-09-04</t>
  </si>
  <si>
    <t>1998-06-04</t>
  </si>
  <si>
    <t>杨明祖</t>
  </si>
  <si>
    <t>00287</t>
  </si>
  <si>
    <t>机加车间数据统计员</t>
  </si>
  <si>
    <t>4f2acc6f</t>
  </si>
  <si>
    <t>530124199112030011</t>
  </si>
  <si>
    <t>2038-02-22</t>
  </si>
  <si>
    <t>云南科技信息职业学院</t>
  </si>
  <si>
    <t>余建辉</t>
  </si>
  <si>
    <t>achacker@163.com</t>
  </si>
  <si>
    <t>系统架构师</t>
  </si>
  <si>
    <t>00289</t>
  </si>
  <si>
    <t>c3gd5da3</t>
  </si>
  <si>
    <t>530124199010050038</t>
  </si>
  <si>
    <t>2038-10-22</t>
  </si>
  <si>
    <t>沈阳师范大学</t>
  </si>
  <si>
    <t>电子信息工程</t>
  </si>
  <si>
    <t>余正荣</t>
  </si>
  <si>
    <t>13987653565</t>
  </si>
  <si>
    <t>2014-07-31</t>
  </si>
  <si>
    <t>雷友玲</t>
  </si>
  <si>
    <t>00305</t>
  </si>
  <si>
    <t>出纳</t>
  </si>
  <si>
    <t>979a3d47</t>
  </si>
  <si>
    <t>532129199211120729</t>
  </si>
  <si>
    <t>2042-06-17</t>
  </si>
  <si>
    <t>雷邦雨</t>
  </si>
  <si>
    <t>13578079426</t>
  </si>
  <si>
    <t>张卜所</t>
  </si>
  <si>
    <t>云南省曲靖市沾益县菱角乡块所村委会块所村194号</t>
  </si>
  <si>
    <t>00227</t>
  </si>
  <si>
    <t>83d5352e</t>
  </si>
  <si>
    <t>530328199103013056</t>
  </si>
  <si>
    <t>2041-06-30</t>
  </si>
  <si>
    <t>张兴华</t>
  </si>
  <si>
    <t>15987445347</t>
  </si>
  <si>
    <t>丁伟</t>
  </si>
  <si>
    <t>云南省楚雄彝族自治州禄丰县勤丰镇高楼村委会大村20号</t>
  </si>
  <si>
    <t>00043</t>
  </si>
  <si>
    <t>c4aafa76</t>
  </si>
  <si>
    <t>532331199208152618</t>
  </si>
  <si>
    <t>2038-09-17</t>
  </si>
  <si>
    <t>2014-06-24</t>
  </si>
  <si>
    <t>丁绍兵</t>
  </si>
  <si>
    <t>15987853281</t>
  </si>
  <si>
    <t>魏孝波</t>
  </si>
  <si>
    <t>云南省昭通市镇雄县盐源乡温水村民委员会河边村民小组36号附1号</t>
  </si>
  <si>
    <t>00042</t>
  </si>
  <si>
    <t>1g54fdc6</t>
  </si>
  <si>
    <t>532128199102135319</t>
  </si>
  <si>
    <t>魏怀田</t>
  </si>
  <si>
    <t>18487620308</t>
  </si>
  <si>
    <t>孙江</t>
  </si>
  <si>
    <t>00223</t>
  </si>
  <si>
    <t>激光切割工兼钳工</t>
  </si>
  <si>
    <t>7d8c89af</t>
  </si>
  <si>
    <t>530328199202183018</t>
  </si>
  <si>
    <t>2039-10-08</t>
  </si>
  <si>
    <t>孙玉保</t>
  </si>
  <si>
    <t>13732799828</t>
  </si>
  <si>
    <t>赵天宇</t>
  </si>
  <si>
    <t>642773892@qq.com</t>
  </si>
  <si>
    <t>云南省昭通市永善县青胜乡青胜村委会青坪三社18号</t>
  </si>
  <si>
    <t>00278</t>
  </si>
  <si>
    <t>75c422ad</t>
  </si>
  <si>
    <t>532126199111013118</t>
  </si>
  <si>
    <t>2038-10-30</t>
  </si>
  <si>
    <t>赵华</t>
  </si>
  <si>
    <t>13408805884</t>
  </si>
  <si>
    <t>何文思</t>
  </si>
  <si>
    <t>云南省曲靖市麒麟区沿江乡四圩村委会龚家台子村54号</t>
  </si>
  <si>
    <t>00100</t>
  </si>
  <si>
    <t>c1563359</t>
  </si>
  <si>
    <t>53030219941129241X</t>
  </si>
  <si>
    <t>2018-01-31</t>
  </si>
  <si>
    <t>何吉飞</t>
  </si>
  <si>
    <t>15924704930</t>
  </si>
  <si>
    <t>常冲辉</t>
  </si>
  <si>
    <t>云南省曲靖市师宗县五龙乡得勒村委会小兴寨村46号</t>
  </si>
  <si>
    <t>00228</t>
  </si>
  <si>
    <t>99dacd6b</t>
  </si>
  <si>
    <t>530323199408061591</t>
  </si>
  <si>
    <t>2043-05-20</t>
  </si>
  <si>
    <t>常云飞</t>
  </si>
  <si>
    <t>13408718587</t>
  </si>
  <si>
    <t>刘杰</t>
  </si>
  <si>
    <t>云南省宣威市乐丰乡三联村委会景新村62号</t>
  </si>
  <si>
    <t>00226</t>
  </si>
  <si>
    <t>b4de3223</t>
  </si>
  <si>
    <t>530381199403124710</t>
  </si>
  <si>
    <t>2042-01-20</t>
  </si>
  <si>
    <t>2011-07-01</t>
  </si>
  <si>
    <t>杨汉全</t>
  </si>
  <si>
    <t>云南省大理白族自治州鹤庆县辛屯镇三合村民委员会三贝河村258号</t>
  </si>
  <si>
    <t>00281</t>
  </si>
  <si>
    <t>生产技术部主任</t>
  </si>
  <si>
    <t>ca3fdgcb</t>
  </si>
  <si>
    <t>532932199106200518</t>
  </si>
  <si>
    <t>2041-12-20</t>
  </si>
  <si>
    <t>杨银胜</t>
  </si>
  <si>
    <t>18677360925</t>
  </si>
  <si>
    <t>苏晓</t>
  </si>
  <si>
    <t>00229</t>
  </si>
  <si>
    <t>de6b12cd</t>
  </si>
  <si>
    <t>530423199211120610</t>
  </si>
  <si>
    <t>2039-08-24</t>
  </si>
  <si>
    <t>苏礼德</t>
  </si>
  <si>
    <t>15987299015</t>
  </si>
  <si>
    <t>张金如</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</si>
  <si>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</si>
  <si>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</si>
  <si>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</si>
  <si>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</si>
  <si>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</si>
  <si>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</si>
  <si>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</si>
  <si>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</si>
  <si>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</si>
  <si>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</si>
  <si>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</si>
  <si>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</si>
  <si>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</si>
  <si>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</si>
  <si>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</si>
  <si>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</si>
  <si>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</si>
  <si>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</si>
  <si>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</si>
  <si>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</si>
  <si>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00274</t>
  </si>
  <si>
    <t>2014-06-16</t>
  </si>
  <si>
    <t>f581g4a2</t>
  </si>
  <si>
    <t>530124198912040061</t>
  </si>
  <si>
    <t>2036-04-22</t>
  </si>
  <si>
    <t>2011-01-01</t>
  </si>
  <si>
    <t>2014-12-01</t>
  </si>
  <si>
    <t>黄丽芝</t>
  </si>
  <si>
    <t>13888327949</t>
  </si>
  <si>
    <t>邢俊美</t>
  </si>
  <si>
    <t>1005019650@qq.com</t>
  </si>
  <si>
    <t>云南省红河哈尼族彝族自治州泸西县旧城镇松鹤村一社</t>
  </si>
  <si>
    <t>00273</t>
  </si>
  <si>
    <t>2cbg62g5</t>
  </si>
  <si>
    <t>532527199010212327</t>
  </si>
  <si>
    <t>2043-04-14</t>
  </si>
  <si>
    <t>邢双才</t>
  </si>
  <si>
    <t>159747446784</t>
  </si>
  <si>
    <t>施雄</t>
  </si>
  <si>
    <t>云南省昆明市嵩明县嵩阳镇寺脚村60号</t>
  </si>
  <si>
    <t>00269</t>
  </si>
  <si>
    <t>产品技术部主任</t>
  </si>
  <si>
    <t>a1a4354b</t>
  </si>
  <si>
    <t>530127198604200018</t>
  </si>
  <si>
    <t>2042-02-07</t>
  </si>
  <si>
    <t>安阳工学院</t>
  </si>
  <si>
    <t>杨丽</t>
  </si>
  <si>
    <t>13529008995</t>
  </si>
  <si>
    <t>王登松</t>
  </si>
  <si>
    <t>firewind100@126.con</t>
  </si>
  <si>
    <t>00271</t>
  </si>
  <si>
    <t>4416bbca</t>
  </si>
  <si>
    <t>53212219871001223X</t>
  </si>
  <si>
    <t>2039-05-06</t>
  </si>
  <si>
    <t>王跃德</t>
  </si>
  <si>
    <t>0870-8474293</t>
  </si>
  <si>
    <t>杜洪文</t>
  </si>
  <si>
    <t>1993-09-01</t>
  </si>
  <si>
    <t>电气工程及自动化</t>
  </si>
  <si>
    <t>00267</t>
  </si>
  <si>
    <t>电气检验员</t>
  </si>
  <si>
    <t>2014-04-23</t>
  </si>
  <si>
    <t>9c5ggaad</t>
  </si>
  <si>
    <t>530124199309012634</t>
  </si>
  <si>
    <t>2044-05-16</t>
  </si>
  <si>
    <t>长沙理工大学</t>
  </si>
  <si>
    <t>2019-02-21</t>
  </si>
  <si>
    <t>杜迎春</t>
  </si>
  <si>
    <t>13808701309</t>
  </si>
  <si>
    <t>李鹏</t>
  </si>
  <si>
    <t>54</t>
  </si>
  <si>
    <t>印刷</t>
  </si>
  <si>
    <t>00262</t>
  </si>
  <si>
    <t>人力资本部总监</t>
  </si>
  <si>
    <t>2014-03-17</t>
  </si>
  <si>
    <t>4ea81b5c</t>
  </si>
  <si>
    <t>530102197203040314</t>
  </si>
  <si>
    <t>2026-11-20</t>
  </si>
  <si>
    <t>1991-09-01</t>
  </si>
  <si>
    <t>1995-08-01</t>
  </si>
  <si>
    <t>刘赵明</t>
  </si>
  <si>
    <t>liuzhaoming129@163.com</t>
  </si>
  <si>
    <t>00260</t>
  </si>
  <si>
    <t>生产技术部副主任</t>
  </si>
  <si>
    <t>6ac4a2f7</t>
  </si>
  <si>
    <t>532527198612010015</t>
  </si>
  <si>
    <t>2039-11-07</t>
  </si>
  <si>
    <t>2009-06-01</t>
  </si>
  <si>
    <t>尹四堂</t>
  </si>
  <si>
    <t>452291697@qq.com</t>
  </si>
  <si>
    <t>00254</t>
  </si>
  <si>
    <t>2014-03-03</t>
  </si>
  <si>
    <t>be15f6df</t>
  </si>
  <si>
    <t>532932199012181715</t>
  </si>
  <si>
    <t>2038-12-12</t>
  </si>
  <si>
    <t>尹淑贵</t>
  </si>
  <si>
    <t>15912670238</t>
  </si>
  <si>
    <t>文丽萍</t>
  </si>
  <si>
    <t>441392967@qq.com</t>
  </si>
  <si>
    <t>云南省昭通市绥江县南岸镇南岸村委会南岸十六组</t>
  </si>
  <si>
    <t>00263</t>
  </si>
  <si>
    <t>g4g9cefd</t>
  </si>
  <si>
    <t>532127198703101164</t>
  </si>
  <si>
    <t>2040-05-12</t>
  </si>
  <si>
    <t>陈跃</t>
  </si>
  <si>
    <t>13888932186</t>
  </si>
  <si>
    <t>郑艳</t>
  </si>
  <si>
    <t>00242</t>
  </si>
  <si>
    <t>保洁员</t>
  </si>
  <si>
    <t>保洁组</t>
  </si>
  <si>
    <t>2014-02-24</t>
  </si>
  <si>
    <t>d2ge11c7</t>
  </si>
  <si>
    <t>530124197806051424</t>
  </si>
  <si>
    <t>2026-07-14</t>
  </si>
  <si>
    <t>黄明彬</t>
  </si>
  <si>
    <t>18987120779</t>
  </si>
  <si>
    <t>陈攀</t>
  </si>
  <si>
    <t>00241</t>
  </si>
  <si>
    <t>933aec9d</t>
  </si>
  <si>
    <t>530128198302183626</t>
  </si>
  <si>
    <t>2036-07-27</t>
  </si>
  <si>
    <t>王文俊</t>
  </si>
  <si>
    <t>15974845092</t>
  </si>
  <si>
    <t>周天顺</t>
  </si>
  <si>
    <t>00182</t>
  </si>
  <si>
    <t>数控车工兼车床组组长</t>
  </si>
  <si>
    <t>4g61ba82</t>
  </si>
  <si>
    <t>530128198609194514</t>
  </si>
  <si>
    <t>2033-06-28</t>
  </si>
  <si>
    <t>云南省工业高级技工学校</t>
  </si>
  <si>
    <t>2002-09-01</t>
  </si>
  <si>
    <t>2005-07-01</t>
  </si>
  <si>
    <t>卢晓慧</t>
  </si>
  <si>
    <t>13698758493</t>
  </si>
  <si>
    <t>卢世贵</t>
  </si>
  <si>
    <t>00196</t>
  </si>
  <si>
    <t>下料工</t>
  </si>
  <si>
    <t>291e6d74</t>
  </si>
  <si>
    <t>530124197105010013</t>
  </si>
  <si>
    <t>李双琼</t>
  </si>
  <si>
    <t>18313757132</t>
  </si>
  <si>
    <t>顾睿</t>
  </si>
  <si>
    <t>1341395796@qq.com</t>
  </si>
  <si>
    <t>云南省昆明市昆明市富民县永定镇西邑村</t>
  </si>
  <si>
    <t>00109</t>
  </si>
  <si>
    <t>薪酬绩效专员</t>
  </si>
  <si>
    <t>2013-11-11</t>
  </si>
  <si>
    <t>645d79eg</t>
  </si>
  <si>
    <t>530124199111030028</t>
  </si>
  <si>
    <t>江西财经大学</t>
  </si>
  <si>
    <t>2016-02-01</t>
  </si>
  <si>
    <t>2019-01-01</t>
  </si>
  <si>
    <t>2026-03-01</t>
  </si>
  <si>
    <t>林丽红</t>
  </si>
  <si>
    <t>00108</t>
  </si>
  <si>
    <t>合同专员</t>
  </si>
  <si>
    <t>g189f756</t>
  </si>
  <si>
    <t>530124198602102028</t>
  </si>
  <si>
    <t>2036-06-12</t>
  </si>
  <si>
    <t>2022-01-01</t>
  </si>
  <si>
    <t>冯涛</t>
  </si>
  <si>
    <t>15887110522</t>
  </si>
  <si>
    <t>刘玉婷</t>
  </si>
  <si>
    <t>计算机操作员</t>
  </si>
  <si>
    <t>00107</t>
  </si>
  <si>
    <t>ERP信息员（内加工）</t>
  </si>
  <si>
    <t>a36c29cb</t>
  </si>
  <si>
    <t>530124199205070020</t>
  </si>
  <si>
    <t>2040-05-01</t>
  </si>
  <si>
    <t>护理</t>
  </si>
  <si>
    <t>刘金明</t>
  </si>
  <si>
    <t>13529224718</t>
  </si>
  <si>
    <t>山可平</t>
  </si>
  <si>
    <t>46</t>
  </si>
  <si>
    <t>云南省楚雄州禄丰县妥安乡硝井村10号</t>
  </si>
  <si>
    <t>00191</t>
  </si>
  <si>
    <t>冷作工兼焊工</t>
  </si>
  <si>
    <t>fd9aab23</t>
  </si>
  <si>
    <t>532331197906164019</t>
  </si>
  <si>
    <t>2037-07-17</t>
  </si>
  <si>
    <t>云南省禄丰县妥安乡中学</t>
  </si>
  <si>
    <t>1996-09-01</t>
  </si>
  <si>
    <t>高丽梅</t>
  </si>
  <si>
    <t>15877908514</t>
  </si>
  <si>
    <t>杨明</t>
  </si>
  <si>
    <t>50</t>
  </si>
  <si>
    <t>00118</t>
  </si>
  <si>
    <t>机加车间货车驾驶员兼维修电工</t>
  </si>
  <si>
    <t>3138bec2</t>
  </si>
  <si>
    <t>530124197509240018</t>
  </si>
  <si>
    <t>2026-08-09</t>
  </si>
  <si>
    <t>云南省轻工业技校</t>
  </si>
  <si>
    <t>1995-07-01</t>
  </si>
  <si>
    <t>机械维修</t>
  </si>
  <si>
    <t>屠玉萍</t>
  </si>
  <si>
    <t>13187843509</t>
  </si>
  <si>
    <t>2021-10-01</t>
  </si>
  <si>
    <t>高贤杰</t>
  </si>
  <si>
    <t>44</t>
  </si>
  <si>
    <t>江西省</t>
  </si>
  <si>
    <t>00063</t>
  </si>
  <si>
    <t>三行智造总经理</t>
  </si>
  <si>
    <t>1a41a7bd</t>
  </si>
  <si>
    <t>362132198201030377</t>
  </si>
  <si>
    <t>2030-03-26</t>
  </si>
  <si>
    <t>2000-09-01</t>
  </si>
  <si>
    <t>2004-07-01</t>
  </si>
  <si>
    <t>机械设计制造</t>
  </si>
  <si>
    <t>雷少刚</t>
  </si>
  <si>
    <t>00187</t>
  </si>
  <si>
    <t>dgbag1g8</t>
  </si>
  <si>
    <t>530124199406251418</t>
  </si>
  <si>
    <t>2040-12-11</t>
  </si>
  <si>
    <t>雷耿洪</t>
  </si>
  <si>
    <t>13608863478</t>
  </si>
  <si>
    <t>杨武</t>
  </si>
  <si>
    <t>57</t>
  </si>
  <si>
    <t>00222</t>
  </si>
  <si>
    <t>2d1ffc5c</t>
  </si>
  <si>
    <t>530103196805142934</t>
  </si>
  <si>
    <t>云南省职业技工学校</t>
  </si>
  <si>
    <t>赵兴年</t>
  </si>
  <si>
    <t>云南省保山市腾冲县固东镇河头村委会龙塘组89号</t>
  </si>
  <si>
    <t>00106</t>
  </si>
  <si>
    <t>采购员</t>
  </si>
  <si>
    <t>42cfd992</t>
  </si>
  <si>
    <t>533023199012091416</t>
  </si>
  <si>
    <t>2037-05-24</t>
  </si>
  <si>
    <t>2024-01-10</t>
  </si>
  <si>
    <t>刘加坤</t>
  </si>
  <si>
    <t>15094238184</t>
  </si>
  <si>
    <t>凤正学</t>
  </si>
  <si>
    <t>00183</t>
  </si>
  <si>
    <t>c3298976</t>
  </si>
  <si>
    <t>532331199111084014</t>
  </si>
  <si>
    <t>2038-08-01</t>
  </si>
  <si>
    <t>陈春林</t>
  </si>
  <si>
    <t>00172</t>
  </si>
  <si>
    <t>数控钻工</t>
  </si>
  <si>
    <t>2f7dc168</t>
  </si>
  <si>
    <t>530323199112212055</t>
  </si>
  <si>
    <t>2038-05-02</t>
  </si>
  <si>
    <t>陈冬花</t>
  </si>
  <si>
    <t>15887961518</t>
  </si>
  <si>
    <t>秦庆攒</t>
  </si>
  <si>
    <t>云南省宣威市倘塘镇旧堡村委会迤头田村17号</t>
  </si>
  <si>
    <t>00097</t>
  </si>
  <si>
    <t>53f79f9d</t>
  </si>
  <si>
    <t>530381199009103137</t>
  </si>
  <si>
    <t>2044-07-18</t>
  </si>
  <si>
    <t>秦本吉</t>
  </si>
  <si>
    <t>14736411316</t>
  </si>
  <si>
    <t>管剑</t>
  </si>
  <si>
    <t>云南省宣威市龙潭镇下格村委会管家村20号</t>
  </si>
  <si>
    <t>00220</t>
  </si>
  <si>
    <t>b46e2gf3</t>
  </si>
  <si>
    <t>530381199111132911</t>
  </si>
  <si>
    <t>2044-01-20</t>
  </si>
  <si>
    <t>李志兴</t>
  </si>
  <si>
    <t>00213</t>
  </si>
  <si>
    <t>4d234baf</t>
  </si>
  <si>
    <t>530124199407100857</t>
  </si>
  <si>
    <t>何小飞</t>
  </si>
  <si>
    <t>00171</t>
  </si>
  <si>
    <t>d4gc7466</t>
  </si>
  <si>
    <t>530328199010110930</t>
  </si>
  <si>
    <t>2038-04-20</t>
  </si>
  <si>
    <t>何凤香</t>
  </si>
  <si>
    <t>15287803871</t>
  </si>
  <si>
    <t>2022-10-01</t>
  </si>
  <si>
    <t>吕茜</t>
  </si>
  <si>
    <t>00096</t>
  </si>
  <si>
    <t>数据处理员</t>
  </si>
  <si>
    <t>f7b43aec</t>
  </si>
  <si>
    <t>53012419940303002X</t>
  </si>
  <si>
    <t>2026-07-13</t>
  </si>
  <si>
    <t>2018-01-15</t>
  </si>
  <si>
    <t>吕春亭</t>
  </si>
  <si>
    <t>13888091622</t>
  </si>
  <si>
    <t>杨家华</t>
  </si>
  <si>
    <t>00216</t>
  </si>
  <si>
    <t>ce8ab8g1</t>
  </si>
  <si>
    <t>532322199201250016</t>
  </si>
  <si>
    <t>2028-01-18</t>
  </si>
  <si>
    <t>2010-09-25</t>
  </si>
  <si>
    <t>2013-07-25</t>
  </si>
  <si>
    <t>字艳美</t>
  </si>
  <si>
    <t>大理州永平县厂街彝族乡炉塘村委会粉壁二组</t>
  </si>
  <si>
    <t>00105</t>
  </si>
  <si>
    <t>35983fa7</t>
  </si>
  <si>
    <t>532928199201110727</t>
  </si>
  <si>
    <t>2041-12-17</t>
  </si>
  <si>
    <t>字凤金</t>
  </si>
  <si>
    <t>18387271636</t>
  </si>
  <si>
    <t>吕皓</t>
  </si>
  <si>
    <t>00115</t>
  </si>
  <si>
    <t>机加车间副主任</t>
  </si>
  <si>
    <t>53e5g6g3</t>
  </si>
  <si>
    <t>530324199102052138</t>
  </si>
  <si>
    <t>2045-03-28</t>
  </si>
  <si>
    <t>吕加生</t>
  </si>
  <si>
    <t>15868803081</t>
  </si>
  <si>
    <t>张超</t>
  </si>
  <si>
    <t>云南省文山壮族苗族自治州西畴县新马街乡马街村民委烂泥小寨村8号</t>
  </si>
  <si>
    <t>00173</t>
  </si>
  <si>
    <t>8afd1aa5</t>
  </si>
  <si>
    <t>532623198905180915</t>
  </si>
  <si>
    <t>2043-10-20</t>
  </si>
  <si>
    <t>杨正勇</t>
  </si>
  <si>
    <t>布朗族</t>
  </si>
  <si>
    <t>云南省临沧市云县</t>
  </si>
  <si>
    <t>云南省临沧市云县爱华镇长坡岭村委会大平掌组</t>
  </si>
  <si>
    <t>00219</t>
  </si>
  <si>
    <t>机械研发技术员</t>
  </si>
  <si>
    <t>g31e7bcd</t>
  </si>
  <si>
    <t>533523199104210213</t>
  </si>
  <si>
    <t>2039-07-25</t>
  </si>
  <si>
    <t>李朝兵</t>
  </si>
  <si>
    <t>00082</t>
  </si>
  <si>
    <t>aeba22ag</t>
  </si>
  <si>
    <t>532101198610013030</t>
  </si>
  <si>
    <t>华北理工大学轻工学院</t>
  </si>
  <si>
    <t>王行锦</t>
  </si>
  <si>
    <t>15198974594</t>
  </si>
  <si>
    <t>徐玖鹏</t>
  </si>
  <si>
    <t>00090</t>
  </si>
  <si>
    <t>2013-05-20</t>
  </si>
  <si>
    <t>bc2f6a5g</t>
  </si>
  <si>
    <t>530322198905222834</t>
  </si>
  <si>
    <t>2035-09-24</t>
  </si>
  <si>
    <t>徐福生</t>
  </si>
  <si>
    <t>15087442772</t>
  </si>
  <si>
    <t>何贤励</t>
  </si>
  <si>
    <t>昆明市五华区科医路恒大名都小区</t>
  </si>
  <si>
    <t>00080</t>
  </si>
  <si>
    <t>828b2b63</t>
  </si>
  <si>
    <t>350181198709261911</t>
  </si>
  <si>
    <t>2035-05-14</t>
  </si>
  <si>
    <t>2019-12-04</t>
  </si>
  <si>
    <t>控制工程领域工程</t>
  </si>
  <si>
    <t>何玉宝</t>
  </si>
  <si>
    <t>13507501633</t>
  </si>
  <si>
    <t>杨保柱</t>
  </si>
  <si>
    <t>51</t>
  </si>
  <si>
    <t>00185</t>
  </si>
  <si>
    <t>钳工辅助工</t>
  </si>
  <si>
    <t>424gg9ga</t>
  </si>
  <si>
    <t>530124197404222315</t>
  </si>
  <si>
    <t>2028-12-12</t>
  </si>
  <si>
    <t>刘萍</t>
  </si>
  <si>
    <t>13668713622</t>
  </si>
  <si>
    <t>杨建兰</t>
  </si>
  <si>
    <t>00234</t>
  </si>
  <si>
    <t>2013-04-01</t>
  </si>
  <si>
    <t>8c23ffeb</t>
  </si>
  <si>
    <t>530124197505280047</t>
  </si>
  <si>
    <t>2026-09-19</t>
  </si>
  <si>
    <t>完蓉飘雪</t>
  </si>
  <si>
    <t>子女</t>
  </si>
  <si>
    <t>15687610420</t>
  </si>
  <si>
    <t>钟瑞</t>
  </si>
  <si>
    <t>00250</t>
  </si>
  <si>
    <t>2013-01-24</t>
  </si>
  <si>
    <t>g7f355fb</t>
  </si>
  <si>
    <t>530124198002202615</t>
  </si>
  <si>
    <t>2026-09-01</t>
  </si>
  <si>
    <t>纪艳清</t>
  </si>
  <si>
    <t>13888575349</t>
  </si>
  <si>
    <t>吴顺辉</t>
  </si>
  <si>
    <t>云南省昭通市彝良县龙安乡新街291号</t>
  </si>
  <si>
    <t>00066</t>
  </si>
  <si>
    <t>成本预算工程师</t>
  </si>
  <si>
    <t>2013-01-16</t>
  </si>
  <si>
    <t>a268ee86</t>
  </si>
  <si>
    <t>53010219740912373X</t>
  </si>
  <si>
    <t>2027-02-21</t>
  </si>
  <si>
    <t>1998-09-01</t>
  </si>
  <si>
    <t>2002-07-01</t>
  </si>
  <si>
    <t>李春国</t>
  </si>
  <si>
    <t>车工</t>
  </si>
  <si>
    <t>00148</t>
  </si>
  <si>
    <t>7e5g8669</t>
  </si>
  <si>
    <t>530124198612110013</t>
  </si>
  <si>
    <t>2041-12-14</t>
  </si>
  <si>
    <t>富民职高</t>
  </si>
  <si>
    <t>2006-07-01</t>
  </si>
  <si>
    <t>黄桂花</t>
  </si>
  <si>
    <t>15887290738</t>
  </si>
  <si>
    <t>夏昌俊</t>
  </si>
  <si>
    <t>昆明市寻甸回族彝族自治县</t>
  </si>
  <si>
    <t>00146</t>
  </si>
  <si>
    <t>磨工兼数控车工</t>
  </si>
  <si>
    <t>3b19b976</t>
  </si>
  <si>
    <t>530129199105131932</t>
  </si>
  <si>
    <t>2038-08-06</t>
  </si>
  <si>
    <t>农业经济管理</t>
  </si>
  <si>
    <t>夏志明</t>
  </si>
  <si>
    <t>18788123753</t>
  </si>
  <si>
    <t>罗雪松</t>
  </si>
  <si>
    <t>00249</t>
  </si>
  <si>
    <t>2012-11-28</t>
  </si>
  <si>
    <t>5af261a4</t>
  </si>
  <si>
    <t>530121197502191816</t>
  </si>
  <si>
    <t>2028-08-15</t>
  </si>
  <si>
    <t>彭泽超</t>
  </si>
  <si>
    <t>云南省昆明市盘龙区松花乡大摆村委会下大摆村</t>
  </si>
  <si>
    <t>00176</t>
  </si>
  <si>
    <t>8111f727</t>
  </si>
  <si>
    <t>530111198802255318</t>
  </si>
  <si>
    <t>2041-06-08</t>
  </si>
  <si>
    <t>双哨中学</t>
  </si>
  <si>
    <t>2003-07-01</t>
  </si>
  <si>
    <t>王聪仙</t>
  </si>
  <si>
    <t>15812070719</t>
  </si>
  <si>
    <t>念建</t>
  </si>
  <si>
    <t>云南省曲靖市陆良县马街镇郭家村村委会常家村186号</t>
  </si>
  <si>
    <t>00175</t>
  </si>
  <si>
    <t>数控车工</t>
  </si>
  <si>
    <t>bb2b4gb7</t>
  </si>
  <si>
    <t>530322198909222014</t>
  </si>
  <si>
    <t>2037-03-17</t>
  </si>
  <si>
    <t>念小国</t>
  </si>
  <si>
    <t>15891875460</t>
  </si>
  <si>
    <t>张春堂</t>
  </si>
  <si>
    <t>玉溪市新平彝族傣族自治县桂山镇古城村委会大啊秀20号</t>
  </si>
  <si>
    <t>生产控制与检测技术</t>
  </si>
  <si>
    <t>00040</t>
  </si>
  <si>
    <t>质量保证部副经理</t>
  </si>
  <si>
    <t>2012-10-22</t>
  </si>
  <si>
    <t>9546e468</t>
  </si>
  <si>
    <t>530427198608090035</t>
  </si>
  <si>
    <t>2036-06-11</t>
  </si>
  <si>
    <t>蔡学斌</t>
  </si>
  <si>
    <t>机械制造与维修</t>
  </si>
  <si>
    <t>00212</t>
  </si>
  <si>
    <t>交付业务部主任</t>
  </si>
  <si>
    <t>8279c49b</t>
  </si>
  <si>
    <t>532125198511231113</t>
  </si>
  <si>
    <t>2037-06-23</t>
  </si>
  <si>
    <t>刘照婷</t>
  </si>
  <si>
    <t>15969582602</t>
  </si>
  <si>
    <t>左义学</t>
  </si>
  <si>
    <t>傈僳族</t>
  </si>
  <si>
    <t>云南省楚雄彝族自治州武定县高桥镇庄良村委会马房箐村81号</t>
  </si>
  <si>
    <t>00207</t>
  </si>
  <si>
    <t>7184ad1f</t>
  </si>
  <si>
    <t>532329198903051732</t>
  </si>
  <si>
    <t>2042-01-04</t>
  </si>
  <si>
    <t>数控技术应用</t>
  </si>
  <si>
    <t>左菊芬</t>
  </si>
  <si>
    <t>15987247660</t>
  </si>
  <si>
    <t>肖宏伟</t>
  </si>
  <si>
    <t>铣工</t>
  </si>
  <si>
    <t>00210</t>
  </si>
  <si>
    <t>af547616</t>
  </si>
  <si>
    <t>530124199309111712</t>
  </si>
  <si>
    <t>2040-08-15</t>
  </si>
  <si>
    <t>肖雄</t>
  </si>
  <si>
    <t>18208749716</t>
  </si>
  <si>
    <t>张文栎</t>
  </si>
  <si>
    <t>00091</t>
  </si>
  <si>
    <t>ace31a6c</t>
  </si>
  <si>
    <t>532501198906172841</t>
  </si>
  <si>
    <t>2042-12-26</t>
  </si>
  <si>
    <t>浙江丽水学院</t>
  </si>
  <si>
    <t>张玉清</t>
  </si>
  <si>
    <t>15126426839</t>
  </si>
  <si>
    <t>吕华梅</t>
  </si>
  <si>
    <t>湖北省利川市</t>
  </si>
  <si>
    <t>湖北省恩施土家族苗族自治州利川市谋道镇光明村4号</t>
  </si>
  <si>
    <t>00104</t>
  </si>
  <si>
    <t>生产综合办公室主任</t>
  </si>
  <si>
    <t>dg73ff8a</t>
  </si>
  <si>
    <t>422802198906156849</t>
  </si>
  <si>
    <t>2040-12-18</t>
  </si>
  <si>
    <t>中南财经政法大学</t>
  </si>
  <si>
    <t>吕小娟</t>
  </si>
  <si>
    <t>18671826063</t>
  </si>
  <si>
    <t>保植</t>
  </si>
  <si>
    <t>00209</t>
  </si>
  <si>
    <t>2012-06-01</t>
  </si>
  <si>
    <t>6d124883</t>
  </si>
  <si>
    <t>530127199209150019</t>
  </si>
  <si>
    <t>2038-11-04</t>
  </si>
  <si>
    <t>2022-01-15</t>
  </si>
  <si>
    <t>数控技术与应用</t>
  </si>
  <si>
    <t>保爱民</t>
  </si>
  <si>
    <t>13577072038</t>
  </si>
  <si>
    <t>余明吕</t>
  </si>
  <si>
    <t>机修钳工</t>
  </si>
  <si>
    <t>00039</t>
  </si>
  <si>
    <t>钣金车间主任</t>
  </si>
  <si>
    <t>494542d8</t>
  </si>
  <si>
    <t>532625198801150335</t>
  </si>
  <si>
    <t>2038-08-14</t>
  </si>
  <si>
    <t>余文荣</t>
  </si>
  <si>
    <t>13887503235</t>
  </si>
  <si>
    <t>张跃成</t>
  </si>
  <si>
    <t>云南省红河哈尼族彝族自治州泸西县旧城镇三河村民委员会坝头起村</t>
  </si>
  <si>
    <t>00065</t>
  </si>
  <si>
    <t>工艺技术部主任</t>
  </si>
  <si>
    <t>91eg4b4c</t>
  </si>
  <si>
    <t>532527198209162377</t>
  </si>
  <si>
    <t>2034-12-30</t>
  </si>
  <si>
    <t>贵州师范大学</t>
  </si>
  <si>
    <t>张俊</t>
  </si>
  <si>
    <t>00061</t>
  </si>
  <si>
    <t>2012-03-12</t>
  </si>
  <si>
    <t>18526d96</t>
  </si>
  <si>
    <t>532128198202186354</t>
  </si>
  <si>
    <t>2038-08-25</t>
  </si>
  <si>
    <t>华侨大学</t>
  </si>
  <si>
    <t>张光富</t>
  </si>
  <si>
    <t>135780079849</t>
  </si>
  <si>
    <t>周自才</t>
  </si>
  <si>
    <t>工具钳工</t>
  </si>
  <si>
    <t>00093</t>
  </si>
  <si>
    <t>3dfa8f93</t>
  </si>
  <si>
    <t>532325198612210718</t>
  </si>
  <si>
    <t>2038-09-28</t>
  </si>
  <si>
    <t>楚雄自治州技工学校</t>
  </si>
  <si>
    <t>机电技术</t>
  </si>
  <si>
    <t>李国兰</t>
  </si>
  <si>
    <t>13529036553</t>
  </si>
  <si>
    <t>袁艳华</t>
  </si>
  <si>
    <t>湖北省荆门市</t>
  </si>
  <si>
    <t>注册职业采购经理（CPPM）</t>
  </si>
  <si>
    <t>00069</t>
  </si>
  <si>
    <t>采购部经理</t>
  </si>
  <si>
    <t>2012-02-20</t>
  </si>
  <si>
    <t>abg78c11</t>
  </si>
  <si>
    <t>420821198712044109</t>
  </si>
  <si>
    <t>2035-10-08</t>
  </si>
  <si>
    <t>吉林医药学院</t>
  </si>
  <si>
    <t>应用心理学</t>
  </si>
  <si>
    <t>袁清</t>
  </si>
  <si>
    <t>15972666051</t>
  </si>
  <si>
    <t>359874682@qq.com</t>
  </si>
  <si>
    <t>00072</t>
  </si>
  <si>
    <t>研发部主任</t>
  </si>
  <si>
    <t>中国大陆</t>
  </si>
  <si>
    <t>eede198d</t>
  </si>
  <si>
    <t>532128198707094754</t>
  </si>
  <si>
    <t>2037-11-15</t>
  </si>
  <si>
    <t>河北理工大学</t>
  </si>
  <si>
    <t>刘邦禄</t>
  </si>
  <si>
    <t>15987062874</t>
  </si>
  <si>
    <t>朱尤楷</t>
  </si>
  <si>
    <t>云南省宣威市双河乡梨树坪村委会月亮田村58号</t>
  </si>
  <si>
    <t>00129</t>
  </si>
  <si>
    <t>激光切割工件冷作车间组长</t>
  </si>
  <si>
    <t>cde2dc5c</t>
  </si>
  <si>
    <t>530381199012153514</t>
  </si>
  <si>
    <t>2043-06-28</t>
  </si>
  <si>
    <t>曲靖市麒麟职业技术学校</t>
  </si>
  <si>
    <t>朱启珍</t>
  </si>
  <si>
    <t>18388541283</t>
  </si>
  <si>
    <t>杨艳</t>
  </si>
  <si>
    <t>6231121@qq.com</t>
  </si>
  <si>
    <t>00060</t>
  </si>
  <si>
    <t>2358943d</t>
  </si>
  <si>
    <t>530113198110230024</t>
  </si>
  <si>
    <t>2036-03-30</t>
  </si>
  <si>
    <t>农业机械化工程</t>
  </si>
  <si>
    <t>王璟</t>
  </si>
  <si>
    <t>13888072706</t>
  </si>
  <si>
    <t>2025-01-05</t>
  </si>
  <si>
    <t>田璨</t>
  </si>
  <si>
    <t>895733010@qq.com</t>
  </si>
  <si>
    <t>00007</t>
  </si>
  <si>
    <t>成本会计</t>
  </si>
  <si>
    <t>2011-07-05</t>
  </si>
  <si>
    <t>fc2e115c</t>
  </si>
  <si>
    <t>530102198808021110</t>
  </si>
  <si>
    <t>2036-03-01</t>
  </si>
  <si>
    <t>王黛娅</t>
  </si>
  <si>
    <t>13698744623</t>
  </si>
  <si>
    <t>杨世芬</t>
  </si>
  <si>
    <t>00034</t>
  </si>
  <si>
    <t>1a78g357</t>
  </si>
  <si>
    <t>532123198509035348</t>
  </si>
  <si>
    <t>2034-07-02</t>
  </si>
  <si>
    <t>2011-01-02</t>
  </si>
  <si>
    <t>2013-01-02</t>
  </si>
  <si>
    <t>农林牧渔类农林管理类农林经济管理</t>
  </si>
  <si>
    <t>赵永</t>
  </si>
  <si>
    <t>13577159720</t>
  </si>
  <si>
    <t>段中令</t>
  </si>
  <si>
    <t>保山市施甸曲旺镇银川乡大南村3组</t>
  </si>
  <si>
    <t>00058</t>
  </si>
  <si>
    <t>营销部副总监</t>
  </si>
  <si>
    <t>2011-05-16</t>
  </si>
  <si>
    <t>77a63c5b</t>
  </si>
  <si>
    <t>533022198612062634</t>
  </si>
  <si>
    <t>2040-10-23</t>
  </si>
  <si>
    <t>甘肃农业大学</t>
  </si>
  <si>
    <t>2009-06-22</t>
  </si>
  <si>
    <t>向彬颖</t>
  </si>
  <si>
    <t>13759092778</t>
  </si>
  <si>
    <t>孔德帮</t>
  </si>
  <si>
    <t>45</t>
  </si>
  <si>
    <t>00074</t>
  </si>
  <si>
    <t>产品研发三部总监</t>
  </si>
  <si>
    <t>a4eaa3b7</t>
  </si>
  <si>
    <t>532224198010183319</t>
  </si>
  <si>
    <t>2032-06-20</t>
  </si>
  <si>
    <t>装备与控制工程</t>
  </si>
  <si>
    <t>2012-12-01</t>
  </si>
  <si>
    <t>张朝柱</t>
  </si>
  <si>
    <t>48</t>
  </si>
  <si>
    <t>云南省曲靖市师宗县龙庆乡龙庆村委会磨舍村</t>
  </si>
  <si>
    <t>机械设备操作工</t>
  </si>
  <si>
    <t>00151</t>
  </si>
  <si>
    <t>e8egd5f5</t>
  </si>
  <si>
    <t>530323197709021316</t>
  </si>
  <si>
    <t>2028-12-28</t>
  </si>
  <si>
    <t>曹松</t>
  </si>
  <si>
    <t>云南省昆明市五华区黑林铺街道经典双城C区</t>
  </si>
  <si>
    <t>00077</t>
  </si>
  <si>
    <t>c8143f45</t>
  </si>
  <si>
    <t>530421198506201912</t>
  </si>
  <si>
    <t>2038-08-10</t>
  </si>
  <si>
    <t>长春大学</t>
  </si>
  <si>
    <t>秦中艳</t>
  </si>
  <si>
    <t>15398654864</t>
  </si>
  <si>
    <t>王文韶</t>
  </si>
  <si>
    <t>云南省红河哈尼族彝族自治州个旧市锡行街48号1单元202号</t>
  </si>
  <si>
    <t>00206</t>
  </si>
  <si>
    <t>e67b8962</t>
  </si>
  <si>
    <t>532501199112131532</t>
  </si>
  <si>
    <t>庆来技工学校</t>
  </si>
  <si>
    <t>梁金艳</t>
  </si>
  <si>
    <t>13769382610</t>
  </si>
  <si>
    <t>李建忠</t>
  </si>
  <si>
    <t>00164</t>
  </si>
  <si>
    <t>转运员兼综合组组长</t>
  </si>
  <si>
    <t>ebcbfaed</t>
  </si>
  <si>
    <t>530124197104180037</t>
  </si>
  <si>
    <t>李祖仙</t>
  </si>
  <si>
    <t>13987694499</t>
  </si>
  <si>
    <t>范国友</t>
  </si>
  <si>
    <t>00124</t>
  </si>
  <si>
    <t>8b6d87e9</t>
  </si>
  <si>
    <t>530124198003272316</t>
  </si>
  <si>
    <t>2033-09-16</t>
  </si>
  <si>
    <t>杨荣</t>
  </si>
  <si>
    <t>00012</t>
  </si>
  <si>
    <t>仓库主管</t>
  </si>
  <si>
    <t>gcc46481</t>
  </si>
  <si>
    <t>530124199010012613</t>
  </si>
  <si>
    <t>2037-07-05</t>
  </si>
  <si>
    <t>云南师范大学</t>
  </si>
  <si>
    <t>2018-02-01</t>
  </si>
  <si>
    <t>工商企业管理</t>
  </si>
  <si>
    <t>彭登祥</t>
  </si>
  <si>
    <t>13648884860</t>
  </si>
  <si>
    <t>2011-11-10</t>
  </si>
  <si>
    <t>00086</t>
  </si>
  <si>
    <t>cd5e621b</t>
  </si>
  <si>
    <t>530326198701280819</t>
  </si>
  <si>
    <t>李家善</t>
  </si>
  <si>
    <t>13732725218</t>
  </si>
  <si>
    <t>陈铁昆</t>
  </si>
  <si>
    <t>云南省昆明市龙泉镇金刀营村116号</t>
  </si>
  <si>
    <t>00085</t>
  </si>
  <si>
    <t>d9b4a2a7</t>
  </si>
  <si>
    <t>532527198610012615</t>
  </si>
  <si>
    <t>2038-04-10</t>
  </si>
  <si>
    <t>天津大学</t>
  </si>
  <si>
    <t>陈小海</t>
  </si>
  <si>
    <t>15126322596</t>
  </si>
  <si>
    <t>殷红</t>
  </si>
  <si>
    <t>云南省红河哈尼族彝族自治州弥勒县弥阳镇占马村委会占马田村62号</t>
  </si>
  <si>
    <t>00139</t>
  </si>
  <si>
    <t>数控线切割工</t>
  </si>
  <si>
    <t>57216g98</t>
  </si>
  <si>
    <t>532526198505250236</t>
  </si>
  <si>
    <t>2036-04-05</t>
  </si>
  <si>
    <t>黄梅</t>
  </si>
  <si>
    <t>18760734709</t>
  </si>
  <si>
    <t>张天贵</t>
  </si>
  <si>
    <t>55</t>
  </si>
  <si>
    <t>00247</t>
  </si>
  <si>
    <t>2010-03-01</t>
  </si>
  <si>
    <t>ggcfccb7</t>
  </si>
  <si>
    <t>530124197012020036</t>
  </si>
  <si>
    <t>2026-09-29</t>
  </si>
  <si>
    <t>耿琼芝</t>
  </si>
  <si>
    <t>13099909447</t>
  </si>
  <si>
    <t>曾智</t>
  </si>
  <si>
    <t>00246</t>
  </si>
  <si>
    <t>2010-01-25</t>
  </si>
  <si>
    <t>fa623bbf</t>
  </si>
  <si>
    <t>530124198301110016</t>
  </si>
  <si>
    <t>2037-07-28</t>
  </si>
  <si>
    <t>李祖兰</t>
  </si>
  <si>
    <t>15208715276</t>
  </si>
  <si>
    <t>王红金</t>
  </si>
  <si>
    <t>00245</t>
  </si>
  <si>
    <t>445fbdfc</t>
  </si>
  <si>
    <t>53012419820527001X</t>
  </si>
  <si>
    <t>2038-02-23</t>
  </si>
  <si>
    <t>王晓丹</t>
  </si>
  <si>
    <t>13577144574</t>
  </si>
  <si>
    <t>张兴保</t>
  </si>
  <si>
    <t>数控机床操作工</t>
  </si>
  <si>
    <t>00144</t>
  </si>
  <si>
    <t>CNC编程员兼数控组长</t>
  </si>
  <si>
    <t>4e15ec3g</t>
  </si>
  <si>
    <t>530124198602071110</t>
  </si>
  <si>
    <t>2036-07-11</t>
  </si>
  <si>
    <t>2014-01-25</t>
  </si>
  <si>
    <t>戴娟</t>
  </si>
  <si>
    <t>13508892094</t>
  </si>
  <si>
    <t>王林</t>
  </si>
  <si>
    <t>云南省昆明市宜良县马街乡马街村委会龚家营村62号</t>
  </si>
  <si>
    <t>00145</t>
  </si>
  <si>
    <t>f91e41g1</t>
  </si>
  <si>
    <t>530125198502261335</t>
  </si>
  <si>
    <t>2036-09-13</t>
  </si>
  <si>
    <t>昆明市技工学校</t>
  </si>
  <si>
    <t>杨月静</t>
  </si>
  <si>
    <t>00237</t>
  </si>
  <si>
    <t>2009-11-13</t>
  </si>
  <si>
    <t>a93b26ba</t>
  </si>
  <si>
    <t>530124197609172323</t>
  </si>
  <si>
    <t>李生</t>
  </si>
  <si>
    <t>13529459742</t>
  </si>
  <si>
    <t>温红</t>
  </si>
  <si>
    <t>广西壮族自治区</t>
  </si>
  <si>
    <t>00051</t>
  </si>
  <si>
    <t>2009-08-12</t>
  </si>
  <si>
    <t>ged1g376</t>
  </si>
  <si>
    <t>450981198407182385</t>
  </si>
  <si>
    <t>2039-10-28</t>
  </si>
  <si>
    <t>黄绍斌</t>
  </si>
  <si>
    <t>13769103958</t>
  </si>
  <si>
    <t>刘世林</t>
  </si>
  <si>
    <t>00163</t>
  </si>
  <si>
    <t>797a169b</t>
  </si>
  <si>
    <t>530124197711080038</t>
  </si>
  <si>
    <t>2038-12-01</t>
  </si>
  <si>
    <t>昆明技工学校</t>
  </si>
  <si>
    <t>1994-09-01</t>
  </si>
  <si>
    <t>1997-07-01</t>
  </si>
  <si>
    <t>吴雪梅</t>
  </si>
  <si>
    <t>13669776892</t>
  </si>
  <si>
    <t>王奎</t>
  </si>
  <si>
    <t>00138</t>
  </si>
  <si>
    <t>77fce721</t>
  </si>
  <si>
    <t>530125198610211319</t>
  </si>
  <si>
    <t>城市轨道交通</t>
  </si>
  <si>
    <t>王保树</t>
  </si>
  <si>
    <t>13769185548</t>
  </si>
  <si>
    <t>罗继伟</t>
  </si>
  <si>
    <t>00117</t>
  </si>
  <si>
    <t>45445a2f</t>
  </si>
  <si>
    <t>530103197102082933</t>
  </si>
  <si>
    <t>2031-09-08</t>
  </si>
  <si>
    <t>富民中学</t>
  </si>
  <si>
    <t>1984-09-01</t>
  </si>
  <si>
    <t>张开发</t>
  </si>
  <si>
    <t>00162</t>
  </si>
  <si>
    <t>包装工</t>
  </si>
  <si>
    <t>efc9a475</t>
  </si>
  <si>
    <t>530124197609232015</t>
  </si>
  <si>
    <t>2026-11-14</t>
  </si>
  <si>
    <t>富民者北中学</t>
  </si>
  <si>
    <t>1989-09-01</t>
  </si>
  <si>
    <t>1992-07-01</t>
  </si>
  <si>
    <t>兰洁</t>
  </si>
  <si>
    <t>经济师（工商管理）</t>
  </si>
  <si>
    <t>00017</t>
  </si>
  <si>
    <t>综合办公室副主任</t>
  </si>
  <si>
    <t>e5b23f86</t>
  </si>
  <si>
    <t>510322198208120046</t>
  </si>
  <si>
    <t>2028-09-24</t>
  </si>
  <si>
    <t>茶学</t>
  </si>
  <si>
    <t>罗太群</t>
  </si>
  <si>
    <t>15288374858</t>
  </si>
  <si>
    <t>2020-02-19</t>
  </si>
  <si>
    <t>后翔</t>
  </si>
  <si>
    <t>云南省昆明市桂鑫园2-2-801</t>
  </si>
  <si>
    <t>00087</t>
  </si>
  <si>
    <t>信息技术部总监</t>
  </si>
  <si>
    <t>c8457g3a</t>
  </si>
  <si>
    <t>532502198212110319</t>
  </si>
  <si>
    <t>2038-03-28</t>
  </si>
  <si>
    <t>段林江</t>
  </si>
  <si>
    <t>13669757097</t>
  </si>
  <si>
    <t>周丽梅</t>
  </si>
  <si>
    <t>00194</t>
  </si>
  <si>
    <t>26277534</t>
  </si>
  <si>
    <t>530124198109020045</t>
  </si>
  <si>
    <t>2033-08-23</t>
  </si>
  <si>
    <t>杨皓翔</t>
  </si>
  <si>
    <t>18388166509</t>
  </si>
  <si>
    <t>龙绎冰</t>
  </si>
  <si>
    <t>云南省昆明市西山区大观路168号2幢B座9号</t>
  </si>
  <si>
    <t>00023</t>
  </si>
  <si>
    <t>59a4b24g</t>
  </si>
  <si>
    <t>530102197405231135</t>
  </si>
  <si>
    <t>2034-01-24</t>
  </si>
  <si>
    <t>昆明第八职业中学</t>
  </si>
  <si>
    <t>1990-09-01</t>
  </si>
  <si>
    <t>龙芳芳</t>
  </si>
  <si>
    <t>13708497133</t>
  </si>
  <si>
    <t>2008-11-01</t>
  </si>
  <si>
    <t>张明武</t>
  </si>
  <si>
    <t>云南省玉溪市江川县江城镇左卫村委会东街村96号</t>
  </si>
  <si>
    <t>00132</t>
  </si>
  <si>
    <t>立车工</t>
  </si>
  <si>
    <t>2008-03-07</t>
  </si>
  <si>
    <t>f6ff1b32</t>
  </si>
  <si>
    <t>530122197706013014</t>
  </si>
  <si>
    <t>2026-06-24</t>
  </si>
  <si>
    <t>褚艳芬</t>
  </si>
  <si>
    <t>15398325331</t>
  </si>
  <si>
    <t>云南省昆明市盘龙区龙泉路871号</t>
  </si>
  <si>
    <t>00133</t>
  </si>
  <si>
    <t>立车工兼大件组长</t>
  </si>
  <si>
    <t>b5877f43</t>
  </si>
  <si>
    <t>530124197510250010</t>
  </si>
  <si>
    <t>2027-09-21</t>
  </si>
  <si>
    <t>昆明重型机器厂技工学校</t>
  </si>
  <si>
    <t>冶炼</t>
  </si>
  <si>
    <t>施晓琼</t>
  </si>
  <si>
    <t>13888908363</t>
  </si>
  <si>
    <t>沈小聪</t>
  </si>
  <si>
    <t>广东省湛江市霞山区</t>
  </si>
  <si>
    <t>广东省湛江市霞山区青岛路2号6幢910房</t>
  </si>
  <si>
    <t>00027</t>
  </si>
  <si>
    <t>c8ef1gg8</t>
  </si>
  <si>
    <t>440803197903142939</t>
  </si>
  <si>
    <t>武汉科技学院</t>
  </si>
  <si>
    <t>2004-06-30</t>
  </si>
  <si>
    <t>2008-04-01</t>
  </si>
  <si>
    <t>王俊兰</t>
  </si>
  <si>
    <t>00239</t>
  </si>
  <si>
    <t>gd3aeadg</t>
  </si>
  <si>
    <t>532123198012122825</t>
  </si>
  <si>
    <t>2038-01-12</t>
  </si>
  <si>
    <t>小学</t>
  </si>
  <si>
    <t>康会忠</t>
  </si>
  <si>
    <t>150870541082</t>
  </si>
  <si>
    <t>2009-05-13</t>
  </si>
  <si>
    <t>许凤国</t>
  </si>
  <si>
    <t>00160</t>
  </si>
  <si>
    <t>机加车间转运员兼小件调度员</t>
  </si>
  <si>
    <t>fg8bc195</t>
  </si>
  <si>
    <t>53012419760206141X</t>
  </si>
  <si>
    <t>2026-10-25</t>
  </si>
  <si>
    <t>大营中学</t>
  </si>
  <si>
    <t>1993-07-01</t>
  </si>
  <si>
    <t>娄凤萍</t>
  </si>
  <si>
    <t>13529083834</t>
  </si>
  <si>
    <t>杨发林</t>
  </si>
  <si>
    <t>00141</t>
  </si>
  <si>
    <t>机加车间打标员兼仓库管理员</t>
  </si>
  <si>
    <t>89494216</t>
  </si>
  <si>
    <t>530124198212172311</t>
  </si>
  <si>
    <t>2036-08-11</t>
  </si>
  <si>
    <t>赵宗明</t>
  </si>
  <si>
    <t>13668731849</t>
  </si>
  <si>
    <t>黄贵金</t>
  </si>
  <si>
    <t>53</t>
  </si>
  <si>
    <t>00127</t>
  </si>
  <si>
    <t>31ecafb1</t>
  </si>
  <si>
    <t>530124197209290056</t>
  </si>
  <si>
    <t>富民一中</t>
  </si>
  <si>
    <t>林中强</t>
  </si>
  <si>
    <t>00152</t>
  </si>
  <si>
    <t>b3b44682</t>
  </si>
  <si>
    <t>530124198810020019</t>
  </si>
  <si>
    <t>2036-08-15</t>
  </si>
  <si>
    <t>2004-06-18</t>
  </si>
  <si>
    <t>2007-06-18</t>
  </si>
  <si>
    <t>13529343980</t>
  </si>
  <si>
    <t>肖杰</t>
  </si>
  <si>
    <t>阿昌族</t>
  </si>
  <si>
    <t>00103</t>
  </si>
  <si>
    <t>项目计划员</t>
  </si>
  <si>
    <t>72548e3g</t>
  </si>
  <si>
    <t>533123198712052080</t>
  </si>
  <si>
    <t>2044-11-27</t>
  </si>
  <si>
    <t>2010-03-24</t>
  </si>
  <si>
    <t>2007-11-01</t>
  </si>
  <si>
    <t>李四宣</t>
  </si>
  <si>
    <t>云南省昆明市五华区科锦路中联花园小区8幢1单元602室</t>
  </si>
  <si>
    <t>00053</t>
  </si>
  <si>
    <t>产品研发二部总监</t>
  </si>
  <si>
    <t>ae3b22fa</t>
  </si>
  <si>
    <t>532932198012210315</t>
  </si>
  <si>
    <t>2040-08-27</t>
  </si>
  <si>
    <t>热能与动力工程</t>
  </si>
  <si>
    <t>王慧</t>
  </si>
  <si>
    <t>15974819127</t>
  </si>
  <si>
    <t>2009-09-16</t>
  </si>
  <si>
    <t>王志高</t>
  </si>
  <si>
    <t>1980-01-19</t>
  </si>
  <si>
    <t>00119</t>
  </si>
  <si>
    <t>鑫晟源总经理</t>
  </si>
  <si>
    <t>e2gcc9ef</t>
  </si>
  <si>
    <t>430602198001197717</t>
  </si>
  <si>
    <t>2028-04-03</t>
  </si>
  <si>
    <t>2007-06-30</t>
  </si>
  <si>
    <t>化工机械</t>
  </si>
  <si>
    <t>王志江</t>
  </si>
  <si>
    <t>13077181483</t>
  </si>
  <si>
    <t>余坤</t>
  </si>
  <si>
    <t>00084</t>
  </si>
  <si>
    <t>729d6gdb</t>
  </si>
  <si>
    <t>530328198411052132</t>
  </si>
  <si>
    <t>2036-08-01</t>
  </si>
  <si>
    <t>电子科学与技术</t>
  </si>
  <si>
    <t>王娟</t>
  </si>
  <si>
    <t>15188035791</t>
  </si>
  <si>
    <t>关雪松</t>
  </si>
  <si>
    <t>00153</t>
  </si>
  <si>
    <t>a7ce6ged</t>
  </si>
  <si>
    <t>530124199005201110</t>
  </si>
  <si>
    <t>2007-07-08</t>
  </si>
  <si>
    <t>陈利超</t>
  </si>
  <si>
    <t>00131</t>
  </si>
  <si>
    <t>钻工</t>
  </si>
  <si>
    <t>ca58d6e1</t>
  </si>
  <si>
    <t>530124199006080015</t>
  </si>
  <si>
    <t>2036-09-07</t>
  </si>
  <si>
    <t>昆明市化工技校</t>
  </si>
  <si>
    <t>化工工艺</t>
  </si>
  <si>
    <t>陈天勇</t>
  </si>
  <si>
    <t>1821388085</t>
  </si>
  <si>
    <t>马云雷</t>
  </si>
  <si>
    <t>云南省玉溪市江川县江城镇云岩村委会江边村一社94号</t>
  </si>
  <si>
    <t>00149</t>
  </si>
  <si>
    <t>f3f98fe3</t>
  </si>
  <si>
    <t>532422197507190710</t>
  </si>
  <si>
    <t>张明兰</t>
  </si>
  <si>
    <t>18708778603</t>
  </si>
  <si>
    <t>王平富</t>
  </si>
  <si>
    <t>云南省昆明市五华区同心路41号</t>
  </si>
  <si>
    <t>00121</t>
  </si>
  <si>
    <t>2007-06-01</t>
  </si>
  <si>
    <t>g7cffd7e</t>
  </si>
  <si>
    <t>53232519710928001X</t>
  </si>
  <si>
    <t>东川区劳务局技工学校</t>
  </si>
  <si>
    <t>铸造</t>
  </si>
  <si>
    <t>李嵘</t>
  </si>
  <si>
    <t>00204</t>
  </si>
  <si>
    <t>b685ec8c</t>
  </si>
  <si>
    <t>53230119720925001X</t>
  </si>
  <si>
    <t>2037-09-04</t>
  </si>
  <si>
    <t>楚雄市第一职业中学</t>
  </si>
  <si>
    <t>1988-09-01</t>
  </si>
  <si>
    <t>舒红琼</t>
  </si>
  <si>
    <t>13888015978</t>
  </si>
  <si>
    <t>洪文</t>
  </si>
  <si>
    <t>云南省昆明市盘龙区龙泉街道办事处落索坡村643号</t>
  </si>
  <si>
    <t>00130</t>
  </si>
  <si>
    <t>检验组组长</t>
  </si>
  <si>
    <t>1be6edff</t>
  </si>
  <si>
    <t>530111197110092015</t>
  </si>
  <si>
    <t>2026-07-15</t>
  </si>
  <si>
    <t>赵林吉</t>
  </si>
  <si>
    <t>18725029023</t>
  </si>
  <si>
    <t>陈燕国</t>
  </si>
  <si>
    <t>云南省昆明市嵩明县牛栏江镇古城村委会古城村397号</t>
  </si>
  <si>
    <t>00150</t>
  </si>
  <si>
    <t>b88efagg</t>
  </si>
  <si>
    <t>530127198205283215</t>
  </si>
  <si>
    <t>2030-03-01</t>
  </si>
  <si>
    <t>昆明市机械技工学校</t>
  </si>
  <si>
    <t>机加工</t>
  </si>
  <si>
    <t>林培花</t>
  </si>
  <si>
    <t>18208811897</t>
  </si>
  <si>
    <t>昆明市石林彝族自治县</t>
  </si>
  <si>
    <t>云南省昆明市石林彝族自治县石林镇林口铺村委会大林口铺村191号</t>
  </si>
  <si>
    <t>00102</t>
  </si>
  <si>
    <t>945641a1</t>
  </si>
  <si>
    <t>530126198305101013</t>
  </si>
  <si>
    <t>2037-01-25</t>
  </si>
  <si>
    <t>2005-03-01</t>
  </si>
  <si>
    <t>2008-01-19</t>
  </si>
  <si>
    <t>冯夸生</t>
  </si>
  <si>
    <t>13808752417</t>
  </si>
  <si>
    <t>杨城</t>
  </si>
  <si>
    <t>云南省昆明市西山区海口国营西南仪器厂2幢1单元5号</t>
  </si>
  <si>
    <t>加工中心操作工</t>
  </si>
  <si>
    <t>00137</t>
  </si>
  <si>
    <t>435a5136</t>
  </si>
  <si>
    <t>530111198109290035</t>
  </si>
  <si>
    <t>2040-08-08</t>
  </si>
  <si>
    <t>云南省机械工业学校</t>
  </si>
  <si>
    <t>2001-06-30</t>
  </si>
  <si>
    <t>数控机床</t>
  </si>
  <si>
    <t>吴占丽</t>
  </si>
  <si>
    <t>15912445532</t>
  </si>
  <si>
    <t>毛凤梅</t>
  </si>
  <si>
    <t>00233</t>
  </si>
  <si>
    <t>gcc15e89</t>
  </si>
  <si>
    <t>530124198001042322</t>
  </si>
  <si>
    <t>2026-08-04</t>
  </si>
  <si>
    <t>李成</t>
  </si>
  <si>
    <t>13888774981</t>
  </si>
  <si>
    <t>陆贵飞</t>
  </si>
  <si>
    <t>云南省昆明市东华派出所</t>
  </si>
  <si>
    <t>00128</t>
  </si>
  <si>
    <t>28c88fe6</t>
  </si>
  <si>
    <t>530111197903170036</t>
  </si>
  <si>
    <t>2039-03-16</t>
  </si>
  <si>
    <t>云南省机械技工学校</t>
  </si>
  <si>
    <t>数控操作</t>
  </si>
  <si>
    <t>李银梅</t>
  </si>
  <si>
    <t>13518709706</t>
  </si>
  <si>
    <t>李若晶</t>
  </si>
  <si>
    <t>云南省昆明市盘龙区席子营粮机厂</t>
  </si>
  <si>
    <t>00006</t>
  </si>
  <si>
    <t>2006-08-04</t>
  </si>
  <si>
    <t>44141b5d</t>
  </si>
  <si>
    <t>530102196810150369</t>
  </si>
  <si>
    <t>2026-11-26</t>
  </si>
  <si>
    <t>云南财贸学院</t>
  </si>
  <si>
    <t>广告学</t>
  </si>
  <si>
    <t>田京平</t>
  </si>
  <si>
    <t>13888703966</t>
  </si>
  <si>
    <t>喻少荣</t>
  </si>
  <si>
    <t>云南省昆明市盘龙区龙泉路564号11栋1单元101室</t>
  </si>
  <si>
    <t>00203</t>
  </si>
  <si>
    <t>929a217a</t>
  </si>
  <si>
    <t>530111197107140012</t>
  </si>
  <si>
    <t>昆明冶金工业学校</t>
  </si>
  <si>
    <t>机械制造</t>
  </si>
  <si>
    <t>杨绍琼</t>
  </si>
  <si>
    <t>15911563524</t>
  </si>
  <si>
    <t>张春耀</t>
  </si>
  <si>
    <t>00050</t>
  </si>
  <si>
    <t>ccc5ag9d</t>
  </si>
  <si>
    <t>532930198209151512</t>
  </si>
  <si>
    <t>2037-08-29</t>
  </si>
  <si>
    <t>广西大学</t>
  </si>
  <si>
    <t>2005-06-30</t>
  </si>
  <si>
    <t>机械工程及其自动化</t>
  </si>
  <si>
    <t>2008-11-17</t>
  </si>
  <si>
    <t>张祖兴</t>
  </si>
  <si>
    <t>云南省昆明市五华区龙翔街</t>
  </si>
  <si>
    <t>00025</t>
  </si>
  <si>
    <t>海外营销部总监</t>
  </si>
  <si>
    <t>ca7b1892</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</si>
  <si>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</si>
  <si>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</si>
  <si>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</si>
  <si>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</si>
  <si>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</si>
  <si>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</si>
  <si>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</si>
  <si>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</si>
  <si>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</si>
  <si>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</si>
  <si>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</si>
  <si>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</si>
  <si>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6f8c2fe6</t>
  </si>
  <si>
    <t>652801197805291613</t>
  </si>
  <si>
    <t>2027-04-18</t>
  </si>
  <si>
    <t>新疆农业大学</t>
  </si>
  <si>
    <t>2001-07-01</t>
  </si>
  <si>
    <t>张成鸿</t>
  </si>
  <si>
    <t>云南省昆明市官渡区金马寺光安照明电器有限责任公司17幢105号</t>
  </si>
  <si>
    <t>00200</t>
  </si>
  <si>
    <t>售后技术工程师</t>
  </si>
  <si>
    <t>abg32a96</t>
  </si>
  <si>
    <t>530111197406222317</t>
  </si>
  <si>
    <t>云南轻工业技工学校</t>
  </si>
  <si>
    <t>1994-07-01</t>
  </si>
  <si>
    <t>杨兴凤</t>
  </si>
  <si>
    <t>13578374886</t>
  </si>
  <si>
    <t>王伟忠</t>
  </si>
  <si>
    <t>云南省昆明市盘龙区白塔新村万寿巷51号7单元6楼9号</t>
  </si>
  <si>
    <t>内燃机</t>
  </si>
  <si>
    <t>00046</t>
  </si>
  <si>
    <t>运营部总监</t>
  </si>
  <si>
    <t>677511bf</t>
  </si>
  <si>
    <t>532501196909100617</t>
  </si>
  <si>
    <t>2026-06-11</t>
  </si>
  <si>
    <t>1995-09-01</t>
  </si>
  <si>
    <t>管理工程</t>
  </si>
  <si>
    <t>孔黎</t>
  </si>
  <si>
    <t>13769133493</t>
  </si>
  <si>
    <t>2008-01-01</t>
  </si>
  <si>
    <t>杨海涛</t>
  </si>
  <si>
    <t>00199</t>
  </si>
  <si>
    <t>安调中心主任</t>
  </si>
  <si>
    <t>a26g91g1</t>
  </si>
  <si>
    <t>532801197506250312</t>
  </si>
  <si>
    <t>2033-04-11</t>
  </si>
  <si>
    <t>杨晓曼</t>
  </si>
  <si>
    <t>13518701801</t>
  </si>
  <si>
    <t>吕燕琼</t>
  </si>
  <si>
    <t>云南省昭通市巧家县老店镇阿尼长村</t>
  </si>
  <si>
    <t>00005</t>
  </si>
  <si>
    <t>89e3g8c8</t>
  </si>
  <si>
    <t>532123197903105047</t>
  </si>
  <si>
    <t>2026-06-02</t>
  </si>
  <si>
    <t>姚飞</t>
  </si>
  <si>
    <t>15969443089</t>
  </si>
  <si>
    <t>雷明钧</t>
  </si>
  <si>
    <t>60</t>
  </si>
  <si>
    <t>云南省昆明市盘龙区南强街94号</t>
  </si>
  <si>
    <t>00028</t>
  </si>
  <si>
    <t>4be986gd</t>
  </si>
  <si>
    <t>530103196511050911</t>
  </si>
  <si>
    <t>2028-03-17</t>
  </si>
  <si>
    <t>昆明第28中学</t>
  </si>
  <si>
    <t>1980-09-01</t>
  </si>
  <si>
    <t>1982-07-01</t>
  </si>
  <si>
    <t>马绍寿</t>
  </si>
  <si>
    <t>云南省昆明市盘龙区金沙小区金秋苑3幢1单元702号</t>
  </si>
  <si>
    <t>00201</t>
  </si>
  <si>
    <t>4d27b1cg</t>
  </si>
  <si>
    <t>532426196306131731</t>
  </si>
  <si>
    <t>易门矿务局中学</t>
  </si>
  <si>
    <t>1977-09-01</t>
  </si>
  <si>
    <t>1980-07-01</t>
  </si>
  <si>
    <t>李文莉</t>
  </si>
  <si>
    <t>13658804083</t>
  </si>
  <si>
    <t>罗蕊波</t>
  </si>
  <si>
    <t>云南省昆明市高新区锦兴街道棕榈泉花园</t>
  </si>
  <si>
    <t>00004</t>
  </si>
  <si>
    <t>销售会计</t>
  </si>
  <si>
    <t>bfabd86e</t>
  </si>
  <si>
    <t>530112197805290321</t>
  </si>
  <si>
    <t>2026-10-24</t>
  </si>
  <si>
    <t>林劲</t>
  </si>
  <si>
    <t>13888298806</t>
  </si>
  <si>
    <t>2018-10-18</t>
  </si>
  <si>
    <t>邓石芳</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</si>
  <si>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</si>
  <si>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</si>
  <si>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</si>
  <si>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</si>
  <si>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</si>
  <si>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</si>
  <si>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</si>
  <si>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</si>
  <si>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</si>
  <si>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</si>
  <si>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</si>
  <si>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</si>
  <si>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</si>
  <si>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云南省昆明市五华区海源北路280号</t>
  </si>
  <si>
    <t>经济师</t>
  </si>
  <si>
    <t>00016</t>
  </si>
  <si>
    <t>保障部总监</t>
  </si>
  <si>
    <t>fg118aae</t>
  </si>
  <si>
    <t>360402197110020052</t>
  </si>
  <si>
    <t>2026-08-10</t>
  </si>
  <si>
    <t>郑州大学</t>
  </si>
  <si>
    <t>卢艳</t>
  </si>
  <si>
    <t>13629629673</t>
  </si>
  <si>
    <t>周斌</t>
  </si>
  <si>
    <t>浙江省</t>
  </si>
  <si>
    <t>无线电</t>
  </si>
  <si>
    <t>00068</t>
  </si>
  <si>
    <t>副总经理</t>
  </si>
  <si>
    <t>64fe12ce</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</si>
  <si>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</si>
  <si>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</si>
  <si>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</si>
  <si>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</si>
  <si>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</si>
  <si>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</si>
  <si>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</si>
  <si>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</si>
  <si>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</si>
  <si>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</si>
  <si>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</si>
  <si>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</si>
  <si>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</si>
  <si>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</si>
  <si>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</si>
  <si>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</si>
  <si>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</si>
  <si>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</si>
  <si>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</si>
  <si>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</si>
  <si>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</si>
  <si>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</si>
  <si>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</si>
  <si>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</si>
  <si>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</si>
  <si>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</si>
  <si>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</si>
  <si>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</si>
  <si>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</si>
  <si>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</si>
  <si>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</si>
  <si>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</si>
  <si>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</si>
  <si>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</si>
  <si>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</si>
  <si>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</si>
  <si>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</si>
  <si>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</si>
  <si>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</si>
  <si>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</si>
  <si>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</si>
  <si>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</si>
  <si>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</si>
  <si>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</si>
  <si>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</si>
  <si>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</si>
  <si>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</si>
  <si>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</si>
  <si>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</si>
  <si>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</si>
  <si>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</si>
  <si>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</si>
  <si>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</si>
  <si>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</si>
  <si>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</si>
  <si>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</si>
  <si>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</si>
  <si>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</si>
  <si>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</si>
  <si>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</si>
  <si>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</si>
  <si>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</si>
  <si>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</si>
  <si>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</si>
  <si>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</si>
  <si>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</si>
  <si>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</si>
  <si>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</si>
  <si>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</si>
  <si>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</si>
  <si>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</si>
  <si>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</si>
  <si>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</si>
  <si>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</si>
  <si>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</si>
  <si>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</si>
  <si>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</si>
  <si>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</si>
  <si>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</si>
  <si>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</si>
  <si>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</si>
  <si>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</si>
  <si>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</si>
  <si>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</si>
  <si>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</si>
  <si>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</si>
  <si>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</si>
  <si>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</si>
  <si>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</si>
  <si>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</si>
  <si>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</si>
  <si>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</si>
  <si>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</si>
  <si>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</si>
  <si>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</si>
  <si>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</si>
  <si>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</si>
  <si>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</si>
  <si>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</si>
  <si>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</si>
  <si>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</si>
  <si>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</si>
  <si>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</si>
  <si>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</si>
  <si>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</si>
  <si>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</si>
  <si>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</si>
  <si>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</si>
  <si>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</si>
  <si>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</si>
  <si>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</si>
  <si>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</si>
  <si>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</si>
  <si>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</si>
  <si>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</si>
  <si>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</si>
  <si>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</si>
  <si>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</si>
  <si>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</si>
  <si>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</si>
  <si>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</si>
  <si>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</si>
  <si>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</si>
  <si>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</si>
  <si>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</si>
  <si>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</si>
  <si>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</si>
  <si>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</si>
  <si>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</si>
  <si>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</si>
  <si>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</si>
  <si>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</si>
  <si>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</si>
  <si>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</si>
  <si>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</si>
  <si>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</si>
  <si>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</si>
  <si>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</si>
  <si>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</si>
  <si>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</si>
  <si>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</si>
  <si>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</si>
  <si>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</si>
  <si>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</si>
  <si>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</si>
  <si>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</si>
  <si>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</si>
  <si>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</si>
  <si>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</si>
  <si>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</si>
  <si>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</si>
  <si>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</si>
  <si>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</si>
  <si>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</si>
  <si>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</si>
  <si>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</si>
  <si>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</si>
  <si>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</si>
  <si>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</si>
  <si>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</si>
  <si>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</si>
  <si>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</si>
  <si>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</si>
  <si>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</si>
  <si>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</si>
  <si>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</si>
  <si>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</si>
  <si>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</si>
  <si>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</si>
  <si>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</si>
  <si>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</si>
  <si>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</si>
  <si>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</si>
  <si>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</si>
  <si>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</si>
  <si>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</si>
  <si>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</si>
  <si>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</si>
  <si>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</si>
  <si>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</si>
  <si>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</si>
  <si>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</si>
  <si>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</si>
  <si>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</si>
  <si>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</si>
  <si>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</si>
  <si>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</si>
  <si>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</si>
  <si>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</si>
  <si>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</si>
  <si>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</si>
  <si>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</si>
  <si>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</si>
  <si>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</si>
  <si>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</si>
  <si>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</si>
  <si>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</si>
  <si>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</si>
  <si>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</si>
  <si>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</si>
  <si>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</si>
  <si>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</si>
  <si>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</si>
  <si>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</si>
  <si>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</si>
  <si>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</si>
  <si>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</si>
  <si>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</si>
  <si>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</si>
  <si>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</si>
  <si>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</si>
  <si>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</si>
  <si>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</si>
  <si>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</si>
  <si>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</si>
  <si>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</si>
  <si>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</si>
  <si>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</si>
  <si>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</si>
  <si>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31420251153014702500</t>
  </si>
  <si>
    <t>Y120243050251280256</t>
  </si>
  <si>
    <t>0124052210006</t>
  </si>
  <si>
    <t>Y120253050251280250</t>
  </si>
  <si>
    <t>2017-09-29</t>
  </si>
  <si>
    <t>01009102170009</t>
  </si>
  <si>
    <t>助理工程师</t>
  </si>
  <si>
    <t>云机11-075</t>
  </si>
  <si>
    <t>Y120223050251280183</t>
  </si>
  <si>
    <t>Y120223050251280153</t>
  </si>
  <si>
    <t>会计师</t>
  </si>
  <si>
    <t>11735015600072</t>
  </si>
  <si>
    <t>01009001180008</t>
  </si>
  <si>
    <t>高级工程师</t>
  </si>
  <si>
    <t>Y120224050240220061</t>
  </si>
  <si>
    <t>171039686</t>
  </si>
  <si>
    <t>31701220953015316618</t>
  </si>
  <si>
    <t>0124052210005</t>
  </si>
  <si>
    <t>011014520</t>
  </si>
  <si>
    <t>01009102170006</t>
  </si>
  <si>
    <t>31420221153010302654</t>
  </si>
  <si>
    <t>Y120224050240220057</t>
  </si>
  <si>
    <t>Y120254050240220079</t>
  </si>
  <si>
    <t>0101501102190091</t>
  </si>
  <si>
    <t>202004001</t>
  </si>
  <si>
    <t>0100901102200020</t>
  </si>
  <si>
    <t>171025668</t>
  </si>
  <si>
    <t>0100901102200021</t>
  </si>
  <si>
    <t>01009001180014</t>
  </si>
  <si>
    <t>Y120243050251280305</t>
  </si>
  <si>
    <t>201623</t>
  </si>
  <si>
    <t>Y120223050251280195</t>
  </si>
  <si>
    <t>01009001180007</t>
  </si>
  <si>
    <t>01009102170010</t>
  </si>
  <si>
    <t>01009001180009</t>
  </si>
  <si>
    <t>1710044692</t>
  </si>
  <si>
    <t>2024001065401716</t>
  </si>
  <si>
    <t>0124052210011</t>
  </si>
  <si>
    <t>Y120224050240220056</t>
  </si>
  <si>
    <t>Y120243050251280287</t>
  </si>
  <si>
    <t>1710044578</t>
  </si>
  <si>
    <t>Y220252050201240002</t>
  </si>
  <si>
    <t>01009001180005</t>
  </si>
  <si>
    <t>01009002180009</t>
  </si>
  <si>
    <t>1710066487</t>
  </si>
  <si>
    <t>200901026</t>
  </si>
  <si>
    <t>01009001180016</t>
  </si>
  <si>
    <t>0124052210009</t>
  </si>
  <si>
    <t>0124052210008</t>
  </si>
  <si>
    <t>Y120243050251280341</t>
  </si>
  <si>
    <t>Y120253050251280222</t>
  </si>
  <si>
    <t>01009002180010</t>
  </si>
  <si>
    <t>0100901102200022</t>
  </si>
  <si>
    <t>Y120253050251280302</t>
  </si>
  <si>
    <t>202005004</t>
  </si>
  <si>
    <t>162030133</t>
  </si>
  <si>
    <t>Y120243050251280118</t>
  </si>
  <si>
    <t>201615</t>
  </si>
  <si>
    <t>1710066482</t>
  </si>
  <si>
    <t>2018215530106279</t>
  </si>
  <si>
    <t>Y120224050240220058</t>
  </si>
  <si>
    <t>0124052210012</t>
  </si>
  <si>
    <t>Y120224050240220060</t>
  </si>
  <si>
    <t>11935045204100</t>
  </si>
  <si>
    <t>5321377</t>
  </si>
  <si>
    <t>Y120253050251280252</t>
  </si>
  <si>
    <t>420231468</t>
  </si>
  <si>
    <t>2016-09-10</t>
  </si>
  <si>
    <t>11635017625255</t>
  </si>
  <si>
    <t>0131052210034</t>
  </si>
  <si>
    <t>Y120254050240220027</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</si>
  <si>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</si>
  <si>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</si>
  <si>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</si>
  <si>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</si>
  <si>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</si>
  <si>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</si>
  <si>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</si>
  <si>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</si>
  <si>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</si>
  <si>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</si>
  <si>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</si>
  <si>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</si>
  <si>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</si>
  <si>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</si>
  <si>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</si>
  <si>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</si>
  <si>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</si>
  <si>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</si>
  <si>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</si>
  <si>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</si>
  <si>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</si>
  <si>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</si>
  <si>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</si>
  <si>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</si>
  <si>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</si>
  <si>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</si>
  <si>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</si>
  <si>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</si>
  <si>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</si>
  <si>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</si>
  <si>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</si>
  <si>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</si>
  <si>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</si>
  <si>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</si>
  <si>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</si>
  <si>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</si>
  <si>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</si>
  <si>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</si>
  <si>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</si>
  <si>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</si>
  <si>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</si>
  <si>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</si>
  <si>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</si>
  <si>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</si>
  <si>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</si>
  <si>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</si>
  <si>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</si>
  <si>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</si>
  <si>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</si>
  <si>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</si>
  <si>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</si>
  <si>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</si>
  <si>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</si>
  <si>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</si>
  <si>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</si>
  <si>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</si>
  <si>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</si>
  <si>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</si>
  <si>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</si>
  <si>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</si>
  <si>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</si>
  <si>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</si>
  <si>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</si>
  <si>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</si>
  <si>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</si>
  <si>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</si>
  <si>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</si>
  <si>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</si>
  <si>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</si>
  <si>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</si>
  <si>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</si>
  <si>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</si>
  <si>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</si>
  <si>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</si>
  <si>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</si>
  <si>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</si>
  <si>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</si>
  <si>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</si>
  <si>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</si>
  <si>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</si>
  <si>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</si>
  <si>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</si>
  <si>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</si>
  <si>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</si>
  <si>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</si>
  <si>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</si>
  <si>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</si>
  <si>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</si>
  <si>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</si>
  <si>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</si>
  <si>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</si>
  <si>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</si>
  <si>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</si>
  <si>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</si>
  <si>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</si>
  <si>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</si>
  <si>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</si>
  <si>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</si>
  <si>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</si>
  <si>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</si>
  <si>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</si>
  <si>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</si>
  <si>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</si>
  <si>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</si>
  <si>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</si>
  <si>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</si>
  <si>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</si>
  <si>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</si>
  <si>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</si>
  <si>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</si>
  <si>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</si>
  <si>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</si>
  <si>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</si>
  <si>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</si>
  <si>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</si>
  <si>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</si>
  <si>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</si>
  <si>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</si>
  <si>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</si>
  <si>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</si>
  <si>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</si>
  <si>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</si>
  <si>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</si>
  <si>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</si>
  <si>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</si>
  <si>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</si>
  <si>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</si>
  <si>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</si>
  <si>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</si>
  <si>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</si>
  <si>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</si>
  <si>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</si>
  <si>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</si>
  <si>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</si>
  <si>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</si>
  <si>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</si>
  <si>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</si>
  <si>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</si>
  <si>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</si>
  <si>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</si>
  <si>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</si>
  <si>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</si>
  <si>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</si>
  <si>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</si>
  <si>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</si>
  <si>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</si>
  <si>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</si>
  <si>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</si>
  <si>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</si>
  <si>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</si>
  <si>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</si>
  <si>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</si>
  <si>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</si>
  <si>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</si>
  <si>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</si>
  <si>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</si>
  <si>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</si>
  <si>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</si>
  <si>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</si>
  <si>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</si>
  <si>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</si>
  <si>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</si>
  <si>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</si>
  <si>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</si>
  <si>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</si>
  <si>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</si>
  <si>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</si>
  <si>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</si>
  <si>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</si>
  <si>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</si>
  <si>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</si>
  <si>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</si>
  <si>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</si>
  <si>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</si>
  <si>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</si>
  <si>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</si>
  <si>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</si>
  <si>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</si>
  <si>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</si>
  <si>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</si>
  <si>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</si>
  <si>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</si>
  <si>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</si>
  <si>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</si>
  <si>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</si>
  <si>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</si>
  <si>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</si>
  <si>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</si>
  <si>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</si>
  <si>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</si>
  <si>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</si>
  <si>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</si>
  <si>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</si>
  <si>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</si>
  <si>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</si>
  <si>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</si>
  <si>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</si>
  <si>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</si>
  <si>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</si>
  <si>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</si>
  <si>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</si>
  <si>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</si>
  <si>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</si>
  <si>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</si>
  <si>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</si>
  <si>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</si>
  <si>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</si>
  <si>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</si>
  <si>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</si>
  <si>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</si>
  <si>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</si>
  <si>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</si>
  <si>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</si>
  <si>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</si>
  <si>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</si>
  <si>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</si>
  <si>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</si>
  <si>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</si>
  <si>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</si>
  <si>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</si>
  <si>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</si>
  <si>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</si>
  <si>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</si>
  <si>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</si>
  <si>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</si>
  <si>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</si>
  <si>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</si>
  <si>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</si>
  <si>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</si>
  <si>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</si>
  <si>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</si>
  <si>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</si>
  <si>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</si>
  <si>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</si>
  <si>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</si>
  <si>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</si>
  <si>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</si>
  <si>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</si>
  <si>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</si>
  <si>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</si>
  <si>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</si>
  <si>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</si>
  <si>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</si>
  <si>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</si>
  <si>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</si>
  <si>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</si>
  <si>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</si>
  <si>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</si>
  <si>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</si>
  <si>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</si>
  <si>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</si>
  <si>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</si>
  <si>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</si>
  <si>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</si>
  <si>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</si>
  <si>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</si>
  <si>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</si>
  <si>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</si>
  <si>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</si>
  <si>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</si>
  <si>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</si>
  <si>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</si>
  <si>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</si>
  <si>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</si>
  <si>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</si>
  <si>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</si>
  <si>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</si>
  <si>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</si>
  <si>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</si>
  <si>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</si>
  <si>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</si>
  <si>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</si>
  <si>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</si>
  <si>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</si>
  <si>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</si>
  <si>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</si>
  <si>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</si>
  <si>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</si>
  <si>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</si>
  <si>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</si>
  <si>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</si>
  <si>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</si>
  <si>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</si>
  <si>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</si>
  <si>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</si>
  <si>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</si>
  <si>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</si>
  <si>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</si>
  <si>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</si>
  <si>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</si>
  <si>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</si>
  <si>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</si>
  <si>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</si>
  <si>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</si>
  <si>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</si>
  <si>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</si>
  <si>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</si>
  <si>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</si>
  <si>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</si>
  <si>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</si>
  <si>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</si>
  <si>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</si>
  <si>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</si>
  <si>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</si>
  <si>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</si>
  <si>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</si>
  <si>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</si>
  <si>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</si>
  <si>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</si>
  <si>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</si>
  <si>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</si>
  <si>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</si>
  <si>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</si>
  <si>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</si>
  <si>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</si>
  <si>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</si>
  <si>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</si>
  <si>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</si>
  <si>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</si>
  <si>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</si>
  <si>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</si>
  <si>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</si>
  <si>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</si>
  <si>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</si>
  <si>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</si>
  <si>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</si>
  <si>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</si>
  <si>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</si>
  <si>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</si>
  <si>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</si>
  <si>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</si>
  <si>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</si>
  <si>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</si>
  <si>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</si>
  <si>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</si>
  <si>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</si>
  <si>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</si>
  <si>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</si>
  <si>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</si>
  <si>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</si>
  <si>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</si>
  <si>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</si>
  <si>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</si>
  <si>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</si>
  <si>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</si>
  <si>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</si>
  <si>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</si>
  <si>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</si>
  <si>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</si>
  <si>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</si>
  <si>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</si>
  <si>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</si>
  <si>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</si>
  <si>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</si>
  <si>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</si>
  <si>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</si>
  <si>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</si>
  <si>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</si>
  <si>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</si>
  <si>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</si>
  <si>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</si>
  <si>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</si>
  <si>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</si>
  <si>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</si>
  <si>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</si>
  <si>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</si>
  <si>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</si>
  <si>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</si>
  <si>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</si>
  <si>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</si>
  <si>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</si>
  <si>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</si>
  <si>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</si>
  <si>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</si>
  <si>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</si>
  <si>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</si>
  <si>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</si>
  <si>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</si>
  <si>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</si>
  <si>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</si>
  <si>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</si>
  <si>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</si>
  <si>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</si>
  <si>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</si>
  <si>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</si>
  <si>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</si>
  <si>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</si>
  <si>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</si>
  <si>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</si>
  <si>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</si>
  <si>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</si>
  <si>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</si>
  <si>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</si>
  <si>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</si>
  <si>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</si>
  <si>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</si>
  <si>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</si>
  <si>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</si>
  <si>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</si>
  <si>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</si>
  <si>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</si>
  <si>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</si>
  <si>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</si>
  <si>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</si>
  <si>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</si>
  <si>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</si>
  <si>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</si>
  <si>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</si>
  <si>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</si>
  <si>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</si>
  <si>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</si>
  <si>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</si>
  <si>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</si>
  <si>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</si>
  <si>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</si>
  <si>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</si>
  <si>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</si>
  <si>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</si>
  <si>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</si>
  <si>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</si>
  <si>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</si>
  <si>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</si>
  <si>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</si>
  <si>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</si>
  <si>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</si>
  <si>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</si>
  <si>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</si>
  <si>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</si>
  <si>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</si>
  <si>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</si>
  <si>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</si>
  <si>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</si>
  <si>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</si>
  <si>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</si>
  <si>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</si>
  <si>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</si>
  <si>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</si>
  <si>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</si>
  <si>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</si>
  <si>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</si>
  <si>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</si>
  <si>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</si>
  <si>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</si>
  <si>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</si>
  <si>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</si>
  <si>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</si>
  <si>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</si>
  <si>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</si>
  <si>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</si>
  <si>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</si>
  <si>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</si>
  <si>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</si>
  <si>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</si>
  <si>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</si>
  <si>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</si>
  <si>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</si>
  <si>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</si>
  <si>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</si>
  <si>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</si>
  <si>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</si>
  <si>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</si>
  <si>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</si>
  <si>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</si>
  <si>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</si>
  <si>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</si>
  <si>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</si>
  <si>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</si>
  <si>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</si>
  <si>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</si>
  <si>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</si>
  <si>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</si>
  <si>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</si>
  <si>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</si>
  <si>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</si>
  <si>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</si>
  <si>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</si>
  <si>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</si>
  <si>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</si>
  <si>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</si>
  <si>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</si>
  <si>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</si>
  <si>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</si>
  <si>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</si>
  <si>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</si>
  <si>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</si>
  <si>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</si>
  <si>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</si>
  <si>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</si>
  <si>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</si>
  <si>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</si>
  <si>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</si>
  <si>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</si>
  <si>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</si>
  <si>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</si>
  <si>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</si>
  <si>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</si>
  <si>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</si>
  <si>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</si>
  <si>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</si>
  <si>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</si>
  <si>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</si>
  <si>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</si>
  <si>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</si>
  <si>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</si>
  <si>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</si>
  <si>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</si>
  <si>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</si>
  <si>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</si>
  <si>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</si>
  <si>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</si>
  <si>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</si>
  <si>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</si>
  <si>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</si>
  <si>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</si>
  <si>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</si>
  <si>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</si>
  <si>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</si>
  <si>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</si>
  <si>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</si>
  <si>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</si>
  <si>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</si>
  <si>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</si>
  <si>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</si>
  <si>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</si>
  <si>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</si>
  <si>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</si>
  <si>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</si>
  <si>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</si>
  <si>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</si>
  <si>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</si>
  <si>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</si>
  <si>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</si>
  <si>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</si>
  <si>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</si>
  <si>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</si>
  <si>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</si>
  <si>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</si>
  <si>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</si>
  <si>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</si>
  <si>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</si>
  <si>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</si>
  <si>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</si>
  <si>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</si>
  <si>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</si>
  <si>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</si>
  <si>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</si>
  <si>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</si>
  <si>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</si>
  <si>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</si>
  <si>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</si>
  <si>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</si>
  <si>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</si>
  <si>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</si>
  <si>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</si>
  <si>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</si>
  <si>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</si>
  <si>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</si>
  <si>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</si>
  <si>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</si>
  <si>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</si>
  <si>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</si>
  <si>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</si>
  <si>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</si>
  <si>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</si>
  <si>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</si>
  <si>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</si>
  <si>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</si>
  <si>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</si>
  <si>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</si>
  <si>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</si>
  <si>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</si>
  <si>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</si>
  <si>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</si>
  <si>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</si>
  <si>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</si>
  <si>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</si>
  <si>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</si>
  <si>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</si>
  <si>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</si>
  <si>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</si>
  <si>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</si>
  <si>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</si>
  <si>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</si>
  <si>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</si>
  <si>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</si>
  <si>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</si>
  <si>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</si>
  <si>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</si>
  <si>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</si>
  <si>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</si>
  <si>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</si>
  <si>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</si>
  <si>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</si>
  <si>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</si>
  <si>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</si>
  <si>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</si>
  <si>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</si>
  <si>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</si>
  <si>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</si>
  <si>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</si>
  <si>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</si>
  <si>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</si>
  <si>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</si>
  <si>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</si>
  <si>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</si>
  <si>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</si>
  <si>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</si>
  <si>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</si>
  <si>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</si>
  <si>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</si>
  <si>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</si>
  <si>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</si>
  <si>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</si>
  <si>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</si>
  <si>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</si>
  <si>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</si>
  <si>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</si>
  <si>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</si>
  <si>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</si>
  <si>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</si>
  <si>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</si>
  <si>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</si>
  <si>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</si>
  <si>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</si>
  <si>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</si>
  <si>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</si>
  <si>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</si>
  <si>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</si>
  <si>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</si>
  <si>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</si>
  <si>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</si>
  <si>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</si>
  <si>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</si>
  <si>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</si>
  <si>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</si>
  <si>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</si>
  <si>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</si>
  <si>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</si>
  <si>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</si>
  <si>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</si>
  <si>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</si>
  <si>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</si>
  <si>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</si>
  <si>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</si>
  <si>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</si>
  <si>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</si>
  <si>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</si>
  <si>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</si>
  <si>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</si>
  <si>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</si>
  <si>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</si>
  <si>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</si>
  <si>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</si>
  <si>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</si>
  <si>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</si>
  <si>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</si>
  <si>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</si>
  <si>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</si>
  <si>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</si>
  <si>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</si>
  <si>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</si>
  <si>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</si>
  <si>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</si>
  <si>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</si>
  <si>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</si>
  <si>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</si>
  <si>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</si>
  <si>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</si>
  <si>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</si>
  <si>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</si>
  <si>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</si>
  <si>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</si>
  <si>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</si>
  <si>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</si>
  <si>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</si>
  <si>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</si>
  <si>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</si>
  <si>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</si>
  <si>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</si>
  <si>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</si>
  <si>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</si>
  <si>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</si>
  <si>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</si>
  <si>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</si>
  <si>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</si>
  <si>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</si>
  <si>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</si>
  <si>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</si>
  <si>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</si>
  <si>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</si>
  <si>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</si>
  <si>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</si>
  <si>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</si>
  <si>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</si>
  <si>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</si>
  <si>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</si>
  <si>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</si>
  <si>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</si>
  <si>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</si>
  <si>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</si>
  <si>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</si>
  <si>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</si>
  <si>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</si>
  <si>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</si>
  <si>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</si>
  <si>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</si>
  <si>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</si>
  <si>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</si>
  <si>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</si>
  <si>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</si>
  <si>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</si>
  <si>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</si>
  <si>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</si>
  <si>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</si>
  <si>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</si>
  <si>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</si>
  <si>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</si>
  <si>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</si>
  <si>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</si>
  <si>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</si>
  <si>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</si>
  <si>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</si>
  <si>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</si>
  <si>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</si>
  <si>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</si>
  <si>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</si>
  <si>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</si>
  <si>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</si>
  <si>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</si>
  <si>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</si>
  <si>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</si>
  <si>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</si>
  <si>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</si>
  <si>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</si>
  <si>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</si>
  <si>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</si>
  <si>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</si>
  <si>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</si>
  <si>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</si>
  <si>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</si>
  <si>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</si>
  <si>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</si>
  <si>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</si>
  <si>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</si>
  <si>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</si>
  <si>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</si>
  <si>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</si>
  <si>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</si>
  <si>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</si>
  <si>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</si>
  <si>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</si>
  <si>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</si>
  <si>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</si>
  <si>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</si>
  <si>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</si>
  <si>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</si>
  <si>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</si>
  <si>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</si>
  <si>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</si>
  <si>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</si>
  <si>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</si>
  <si>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</si>
  <si>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</si>
  <si>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</si>
  <si>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</si>
  <si>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</si>
  <si>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</si>
  <si>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</si>
  <si>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</si>
  <si>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</si>
  <si>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</si>
  <si>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</si>
  <si>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</si>
  <si>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</si>
  <si>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</si>
  <si>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</si>
  <si>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</si>
  <si>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</si>
  <si>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</si>
  <si>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</si>
  <si>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</si>
  <si>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</si>
  <si>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</si>
  <si>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</si>
  <si>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</si>
  <si>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</si>
  <si>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</si>
  <si>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</si>
  <si>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</si>
  <si>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</si>
  <si>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</si>
  <si>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</si>
  <si>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</si>
  <si>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</si>
  <si>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</si>
  <si>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</si>
  <si>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</si>
  <si>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</si>
  <si>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</si>
  <si>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</si>
  <si>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</si>
  <si>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</si>
  <si>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</si>
  <si>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</si>
  <si>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</si>
  <si>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</si>
  <si>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</si>
  <si>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</si>
  <si>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</si>
  <si>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</si>
  <si>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</si>
  <si>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</si>
  <si>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</si>
  <si>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</si>
  <si>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</si>
  <si>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</si>
  <si>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</si>
  <si>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</si>
  <si>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</si>
  <si>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</si>
  <si>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</si>
  <si>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</si>
  <si>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</si>
  <si>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</si>
  <si>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</si>
  <si>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</si>
  <si>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</si>
  <si>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</si>
  <si>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</si>
  <si>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</si>
  <si>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</si>
  <si>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</si>
  <si>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</si>
  <si>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</si>
  <si>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</si>
  <si>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</si>
  <si>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</si>
  <si>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</si>
  <si>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</si>
  <si>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</si>
  <si>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</si>
  <si>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</si>
  <si>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</si>
  <si>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</si>
  <si>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</si>
  <si>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</si>
  <si>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</si>
  <si>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</si>
  <si>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</si>
  <si>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</si>
  <si>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</si>
  <si>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</si>
  <si>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</si>
  <si>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</si>
  <si>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</si>
  <si>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</si>
  <si>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</si>
  <si>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</si>
  <si>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</si>
  <si>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</si>
  <si>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</si>
  <si>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</si>
  <si>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</si>
  <si>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</si>
  <si>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</si>
  <si>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</si>
  <si>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</si>
  <si>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</si>
  <si>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</si>
  <si>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</si>
  <si>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</si>
  <si>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</si>
  <si>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</si>
  <si>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</si>
  <si>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</si>
  <si>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</si>
  <si>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</si>
  <si>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</si>
  <si>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</si>
  <si>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</si>
  <si>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</si>
  <si>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</si>
  <si>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</si>
  <si>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</si>
  <si>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</si>
  <si>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</si>
  <si>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</si>
  <si>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</si>
  <si>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</si>
  <si>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</si>
  <si>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</si>
  <si>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</si>
  <si>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</si>
  <si>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</si>
  <si>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</si>
  <si>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</si>
  <si>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</si>
  <si>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</si>
  <si>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</si>
  <si>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</si>
  <si>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</si>
  <si>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</si>
  <si>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</si>
  <si>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</si>
  <si>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</si>
  <si>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</si>
  <si>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</si>
  <si>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</si>
  <si>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</si>
  <si>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</si>
  <si>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</si>
  <si>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</si>
  <si>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</si>
  <si>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</si>
  <si>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</si>
  <si>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</si>
  <si>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</si>
  <si>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</si>
  <si>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</si>
  <si>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</si>
  <si>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</si>
  <si>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</si>
  <si>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</si>
  <si>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</si>
  <si>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</si>
  <si>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</si>
  <si>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</si>
  <si>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</si>
  <si>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</si>
  <si>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</si>
  <si>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</si>
  <si>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</si>
  <si>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</si>
  <si>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</si>
  <si>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</si>
  <si>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</si>
  <si>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</si>
  <si>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</si>
  <si>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</si>
  <si>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</si>
  <si>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</si>
  <si>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</si>
  <si>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</si>
  <si>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</si>
  <si>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</si>
  <si>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</si>
  <si>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</si>
  <si>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</si>
  <si>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</si>
  <si>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</si>
  <si>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</si>
  <si>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</si>
  <si>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</si>
  <si>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</si>
  <si>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</si>
  <si>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</si>
  <si>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</si>
  <si>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</si>
  <si>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</si>
  <si>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</si>
  <si>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</si>
  <si>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</si>
  <si>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</si>
  <si>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</si>
  <si>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</si>
  <si>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</si>
  <si>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</si>
  <si>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</si>
  <si>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</si>
  <si>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</si>
  <si>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</si>
  <si>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</si>
  <si>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</si>
  <si>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</si>
  <si>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</si>
  <si>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</si>
  <si>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</si>
  <si>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</si>
  <si>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</si>
  <si>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</si>
  <si>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</si>
  <si>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</si>
  <si>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</si>
  <si>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</si>
  <si>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</si>
  <si>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</si>
  <si>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</si>
  <si>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</si>
  <si>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</si>
  <si>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</si>
  <si>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</si>
  <si>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</si>
  <si>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</si>
  <si>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</si>
  <si>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</si>
  <si>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</si>
  <si>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</si>
  <si>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</si>
  <si>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</si>
  <si>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</si>
  <si>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</si>
  <si>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</si>
  <si>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</si>
  <si>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</si>
  <si>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</si>
  <si>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</si>
  <si>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</si>
  <si>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</si>
  <si>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</si>
  <si>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</si>
  <si>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</si>
  <si>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</si>
  <si>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</si>
  <si>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</si>
  <si>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</si>
  <si>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</si>
  <si>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</si>
  <si>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</si>
  <si>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</si>
  <si>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</si>
  <si>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</si>
  <si>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</si>
  <si>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</si>
  <si>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</si>
  <si>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</si>
  <si>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</si>
  <si>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</si>
  <si>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</si>
  <si>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</si>
  <si>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</si>
  <si>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</si>
  <si>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</si>
  <si>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</si>
  <si>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</si>
  <si>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</si>
  <si>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</si>
  <si>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</si>
  <si>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</si>
  <si>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</si>
  <si>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</si>
  <si>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</si>
  <si>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</si>
  <si>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</si>
  <si>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</si>
  <si>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</si>
  <si>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</si>
  <si>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</si>
  <si>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</si>
  <si>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</si>
  <si>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</si>
  <si>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</si>
  <si>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</si>
  <si>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</si>
  <si>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</si>
  <si>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</si>
  <si>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</si>
  <si>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</si>
  <si>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</si>
  <si>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</si>
  <si>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</si>
  <si>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</si>
  <si>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</si>
  <si>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</si>
  <si>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</si>
  <si>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</si>
  <si>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</si>
  <si>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</si>
  <si>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</si>
  <si>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</si>
  <si>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</si>
  <si>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</si>
  <si>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</si>
  <si>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</si>
  <si>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</si>
  <si>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</si>
  <si>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</si>
  <si>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</si>
  <si>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</si>
  <si>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</si>
  <si>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</si>
  <si>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</si>
  <si>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</si>
  <si>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</si>
  <si>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</si>
  <si>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</si>
  <si>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</si>
  <si>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</si>
  <si>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</si>
  <si>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</si>
  <si>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</si>
  <si>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</si>
  <si>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</si>
  <si>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</si>
  <si>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</si>
  <si>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</si>
  <si>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</si>
  <si>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</si>
  <si>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</si>
  <si>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</si>
  <si>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</si>
  <si>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</si>
  <si>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</si>
  <si>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</si>
  <si>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</si>
  <si>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</si>
  <si>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</si>
  <si>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</si>
  <si>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</si>
  <si>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</si>
  <si>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</si>
  <si>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</si>
  <si>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</si>
  <si>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</si>
  <si>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</si>
  <si>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</si>
  <si>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</si>
  <si>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</si>
  <si>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</si>
  <si>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</si>
  <si>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</si>
  <si>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</si>
  <si>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</si>
  <si>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</si>
  <si>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</si>
  <si>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</si>
  <si>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</si>
  <si>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</si>
  <si>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</si>
  <si>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</si>
  <si>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</si>
  <si>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</si>
  <si>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</si>
  <si>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</si>
  <si>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</si>
  <si>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</si>
  <si>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</si>
  <si>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</si>
  <si>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</si>
  <si>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</si>
  <si>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</si>
  <si>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</si>
  <si>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</si>
  <si>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</si>
  <si>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</si>
  <si>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</si>
  <si>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</si>
  <si>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</si>
  <si>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</si>
  <si>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</si>
  <si>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</si>
  <si>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</si>
  <si>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</si>
  <si>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</si>
  <si>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</si>
  <si>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</si>
  <si>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</si>
  <si>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</si>
  <si>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</si>
  <si>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</si>
  <si>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</si>
  <si>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</si>
  <si>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</si>
  <si>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</si>
  <si>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</si>
  <si>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</si>
  <si>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</si>
  <si>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</si>
  <si>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</si>
  <si>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</si>
  <si>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</si>
  <si>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</si>
  <si>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</si>
  <si>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</si>
  <si>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</si>
  <si>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</si>
  <si>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</si>
  <si>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</si>
  <si>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</si>
  <si>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</si>
  <si>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</si>
  <si>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</si>
  <si>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</si>
  <si>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</si>
  <si>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</si>
  <si>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</si>
  <si>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</si>
  <si>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</si>
  <si>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</si>
  <si>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</si>
  <si>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</si>
  <si>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</si>
  <si>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</si>
  <si>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</si>
  <si>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</si>
  <si>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</si>
  <si>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</si>
  <si>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</si>
  <si>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</si>
  <si>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</si>
  <si>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</si>
  <si>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</si>
  <si>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</si>
  <si>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</si>
  <si>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</si>
  <si>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</si>
  <si>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</si>
  <si>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</si>
  <si>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</si>
  <si>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</si>
  <si>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</si>
  <si>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</si>
  <si>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</si>
  <si>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</si>
  <si>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</si>
  <si>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</si>
  <si>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</si>
  <si>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</si>
  <si>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</si>
  <si>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</si>
  <si>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</si>
  <si>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</si>
  <si>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</si>
  <si>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</si>
  <si>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</si>
  <si>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</si>
  <si>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</si>
  <si>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</si>
  <si>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</si>
  <si>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</si>
  <si>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</si>
  <si>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</si>
  <si>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</si>
  <si>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</si>
  <si>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</si>
  <si>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</si>
  <si>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</si>
  <si>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</si>
  <si>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</si>
  <si>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</si>
  <si>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</si>
  <si>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</si>
  <si>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</si>
  <si>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</si>
  <si>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</si>
  <si>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</si>
  <si>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</si>
  <si>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</si>
  <si>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</si>
  <si>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</si>
  <si>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</si>
  <si>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</si>
  <si>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</si>
  <si>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</si>
  <si>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</si>
  <si>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</si>
  <si>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</si>
  <si>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</si>
  <si>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</si>
  <si>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</si>
  <si>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</si>
  <si>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</si>
  <si>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</si>
  <si>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</si>
  <si>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</si>
  <si>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</si>
  <si>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</si>
  <si>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</si>
  <si>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</si>
  <si>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</si>
  <si>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</si>
  <si>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</si>
  <si>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</si>
  <si>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</si>
  <si>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</si>
  <si>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</si>
  <si>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</si>
  <si>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</si>
  <si>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</si>
  <si>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</si>
  <si>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</si>
  <si>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</si>
  <si>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</si>
  <si>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</si>
  <si>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</si>
  <si>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</si>
  <si>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</si>
  <si>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</si>
  <si>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</si>
  <si>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</si>
  <si>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</si>
  <si>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</si>
  <si>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</si>
  <si>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</si>
  <si>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</si>
  <si>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</si>
  <si>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</si>
  <si>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</si>
  <si>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</si>
  <si>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</si>
  <si>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</si>
  <si>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</si>
  <si>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</si>
  <si>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</si>
  <si>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</si>
  <si>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</si>
  <si>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</si>
  <si>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</si>
  <si>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</si>
  <si>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</si>
  <si>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</si>
  <si>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</si>
  <si>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</si>
  <si>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</si>
  <si>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</si>
  <si>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</si>
  <si>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</si>
  <si>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</si>
  <si>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</si>
  <si>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</si>
  <si>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</si>
  <si>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</si>
  <si>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</si>
  <si>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</si>
  <si>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</si>
  <si>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</si>
  <si>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</si>
  <si>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</si>
  <si>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</si>
  <si>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</si>
  <si>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</si>
  <si>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</si>
  <si>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</si>
  <si>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</si>
  <si>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</si>
  <si>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</si>
  <si>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</si>
  <si>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</si>
  <si>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</si>
  <si>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</si>
  <si>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</si>
  <si>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</si>
  <si>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</si>
  <si>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</si>
  <si>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</si>
  <si>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</si>
  <si>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</si>
  <si>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</si>
  <si>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</si>
  <si>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</si>
  <si>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</si>
  <si>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</si>
  <si>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</si>
  <si>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</si>
  <si>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</si>
  <si>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</si>
  <si>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</si>
  <si>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</si>
  <si>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</si>
  <si>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</si>
  <si>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</si>
  <si>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</si>
  <si>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</si>
  <si>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</si>
  <si>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</si>
  <si>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</si>
  <si>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</si>
  <si>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</si>
  <si>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</si>
  <si>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</si>
  <si>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</si>
  <si>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</si>
  <si>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</si>
  <si>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</si>
  <si>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</si>
  <si>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</si>
  <si>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</si>
  <si>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</si>
  <si>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</si>
  <si>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</si>
  <si>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</si>
  <si>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</si>
  <si>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</si>
  <si>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</si>
  <si>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</si>
  <si>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</si>
  <si>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</si>
  <si>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</si>
  <si>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</si>
  <si>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</si>
  <si>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</si>
  <si>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</si>
  <si>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</si>
  <si>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</si>
  <si>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</si>
  <si>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</si>
  <si>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</si>
  <si>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</si>
  <si>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</si>
  <si>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</si>
  <si>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</si>
  <si>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</si>
  <si>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</si>
  <si>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</si>
  <si>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</si>
  <si>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</si>
  <si>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</si>
  <si>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</si>
  <si>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</si>
  <si>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</si>
  <si>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</si>
  <si>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</si>
  <si>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</si>
  <si>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</si>
  <si>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</si>
  <si>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</si>
  <si>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</si>
  <si>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</si>
  <si>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</si>
  <si>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</si>
  <si>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</si>
  <si>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</si>
  <si>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</si>
  <si>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</si>
  <si>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</si>
  <si>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</si>
  <si>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</si>
  <si>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</si>
  <si>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</si>
  <si>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</si>
  <si>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</si>
  <si>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</si>
  <si>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</si>
  <si>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</si>
  <si>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</si>
  <si>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</si>
  <si>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</si>
  <si>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</si>
  <si>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</si>
  <si>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</si>
  <si>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</si>
  <si>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</si>
  <si>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</si>
  <si>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</si>
  <si>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</si>
  <si>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</si>
  <si>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</si>
  <si>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</si>
  <si>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</si>
  <si>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</si>
  <si>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</si>
  <si>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</si>
  <si>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</si>
  <si>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</si>
  <si>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</si>
  <si>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</si>
  <si>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</si>
  <si>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</si>
  <si>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</si>
  <si>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</si>
  <si>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</si>
  <si>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</si>
  <si>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</si>
  <si>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</si>
  <si>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</si>
  <si>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</si>
  <si>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</si>
  <si>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</si>
  <si>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</si>
  <si>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</si>
  <si>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</si>
  <si>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</si>
  <si>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</si>
  <si>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</si>
  <si>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</si>
  <si>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</si>
  <si>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</si>
  <si>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</si>
  <si>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</si>
  <si>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</si>
  <si>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</si>
  <si>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</si>
  <si>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</si>
  <si>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</si>
  <si>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</si>
  <si>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</si>
  <si>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</si>
  <si>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</si>
  <si>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</si>
  <si>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</si>
  <si>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</si>
  <si>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</si>
  <si>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</si>
  <si>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</si>
  <si>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</si>
  <si>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</si>
  <si>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</si>
  <si>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</si>
  <si>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</si>
  <si>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</si>
  <si>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</si>
  <si>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</si>
  <si>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</si>
  <si>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</si>
  <si>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</si>
  <si>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</si>
  <si>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</si>
  <si>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</si>
  <si>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</si>
  <si>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</si>
  <si>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</si>
  <si>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</si>
  <si>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</si>
  <si>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</si>
  <si>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</si>
  <si>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</si>
  <si>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</si>
  <si>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</si>
  <si>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</si>
  <si>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</si>
  <si>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</si>
  <si>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</si>
  <si>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</si>
  <si>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</si>
  <si>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</si>
  <si>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</si>
  <si>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</si>
  <si>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</si>
  <si>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</si>
  <si>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</si>
  <si>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</si>
  <si>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</si>
  <si>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</si>
  <si>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</si>
  <si>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</si>
  <si>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</si>
  <si>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</si>
  <si>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</si>
  <si>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</si>
  <si>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</si>
  <si>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</si>
  <si>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</si>
  <si>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</si>
  <si>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</si>
  <si>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</si>
  <si>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</si>
  <si>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</si>
  <si>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</si>
  <si>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</si>
  <si>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</si>
  <si>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</si>
  <si>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</si>
  <si>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</si>
  <si>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</si>
  <si>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</si>
  <si>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</si>
  <si>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</si>
  <si>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</si>
  <si>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</si>
  <si>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</si>
  <si>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</si>
  <si>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</si>
  <si>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</si>
  <si>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</si>
  <si>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</si>
  <si>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</si>
  <si>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</si>
  <si>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</si>
  <si>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</si>
  <si>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</si>
  <si>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</si>
  <si>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</si>
  <si>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</si>
  <si>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</si>
  <si>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</si>
  <si>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</si>
  <si>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</si>
  <si>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</si>
  <si>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</si>
  <si>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</si>
  <si>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</si>
  <si>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</si>
  <si>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</si>
  <si>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</si>
  <si>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</si>
  <si>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</si>
  <si>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</si>
  <si>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</si>
  <si>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</si>
  <si>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</si>
  <si>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</si>
  <si>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</si>
  <si>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</si>
  <si>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</si>
  <si>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</si>
  <si>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</si>
  <si>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</si>
  <si>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</si>
  <si>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</si>
  <si>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</si>
  <si>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</si>
  <si>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</si>
  <si>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</si>
  <si>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</si>
  <si>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</si>
  <si>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</si>
  <si>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</si>
  <si>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</si>
  <si>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</si>
  <si>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</si>
  <si>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</si>
  <si>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</si>
  <si>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</si>
  <si>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</si>
  <si>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</si>
  <si>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</si>
  <si>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</si>
  <si>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</si>
  <si>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</si>
  <si>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</si>
  <si>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</si>
  <si>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</si>
  <si>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</si>
  <si>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</si>
  <si>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</si>
  <si>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</si>
  <si>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</si>
  <si>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</si>
  <si>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</si>
  <si>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</si>
  <si>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</si>
  <si>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</si>
  <si>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</si>
  <si>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</si>
  <si>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</si>
  <si>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</si>
  <si>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</si>
  <si>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</si>
  <si>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</si>
  <si>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</si>
  <si>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</si>
  <si>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</si>
  <si>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</si>
  <si>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</si>
  <si>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</si>
  <si>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</si>
  <si>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</si>
  <si>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</si>
  <si>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</si>
  <si>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</si>
  <si>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</si>
  <si>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</si>
  <si>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</si>
  <si>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</si>
  <si>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</si>
  <si>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</si>
  <si>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</si>
  <si>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</si>
  <si>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</si>
  <si>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</si>
  <si>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</si>
  <si>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</si>
  <si>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</si>
  <si>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</si>
  <si>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</si>
  <si>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</si>
  <si>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</si>
  <si>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</si>
  <si>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</si>
  <si>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</si>
  <si>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</si>
  <si>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</si>
  <si>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</si>
  <si>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</si>
  <si>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</si>
  <si>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</si>
  <si>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</si>
  <si>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</si>
  <si>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</si>
  <si>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</si>
  <si>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</si>
  <si>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</si>
  <si>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</si>
  <si>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</si>
  <si>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</si>
  <si>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</si>
  <si>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</si>
  <si>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</si>
  <si>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</si>
  <si>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</si>
  <si>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</si>
  <si>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</si>
  <si>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</si>
  <si>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</si>
  <si>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</si>
  <si>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</si>
  <si>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</si>
  <si>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</si>
  <si>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</si>
  <si>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</si>
  <si>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</si>
  <si>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</si>
  <si>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</si>
  <si>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</si>
  <si>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</si>
  <si>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</si>
  <si>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</si>
  <si>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</si>
  <si>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</si>
  <si>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</si>
  <si>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</si>
  <si>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</si>
  <si>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</si>
  <si>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</si>
  <si>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</si>
  <si>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</si>
  <si>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</si>
  <si>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</si>
  <si>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</si>
  <si>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</si>
  <si>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</si>
  <si>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</si>
  <si>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</si>
  <si>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</si>
  <si>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</si>
  <si>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</si>
  <si>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</si>
  <si>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</si>
  <si>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</si>
  <si>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</si>
  <si>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</si>
  <si>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</si>
  <si>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</si>
  <si>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</si>
  <si>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</si>
  <si>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</si>
  <si>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</si>
  <si>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</si>
  <si>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</si>
  <si>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</si>
  <si>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</si>
  <si>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</si>
  <si>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</si>
  <si>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</si>
  <si>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</si>
  <si>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</si>
  <si>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</si>
  <si>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</si>
  <si>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</si>
  <si>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</si>
  <si>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</si>
  <si>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</si>
  <si>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</si>
  <si>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</si>
  <si>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</si>
  <si>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</si>
  <si>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</si>
  <si>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</si>
  <si>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</si>
  <si>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</si>
  <si>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</si>
  <si>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</si>
  <si>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</si>
  <si>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</si>
  <si>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</si>
  <si>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</si>
  <si>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</si>
  <si>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</si>
  <si>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</si>
  <si>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</si>
  <si>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</si>
  <si>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</si>
  <si>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</si>
  <si>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</si>
  <si>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</si>
  <si>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</si>
  <si>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</si>
  <si>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</si>
  <si>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</si>
  <si>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</si>
  <si>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</si>
  <si>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</si>
  <si>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</si>
  <si>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</si>
  <si>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</si>
  <si>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</si>
  <si>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</si>
  <si>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</si>
  <si>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</si>
  <si>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</si>
  <si>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</si>
  <si>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</si>
  <si>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</si>
  <si>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</si>
  <si>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</si>
  <si>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</si>
  <si>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</si>
  <si>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</si>
  <si>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</si>
  <si>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</si>
  <si>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</si>
  <si>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</si>
  <si>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</si>
  <si>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</si>
  <si>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</si>
  <si>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</si>
  <si>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</si>
  <si>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</si>
  <si>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</si>
  <si>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</si>
  <si>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</si>
  <si>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</si>
  <si>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</si>
  <si>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</si>
  <si>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</si>
  <si>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</si>
  <si>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</si>
  <si>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</si>
  <si>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</si>
  <si>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</si>
  <si>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</si>
  <si>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</si>
  <si>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</si>
  <si>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</si>
  <si>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</si>
  <si>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</si>
  <si>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</si>
  <si>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</si>
  <si>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</si>
  <si>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</si>
  <si>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</si>
  <si>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</si>
  <si>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</si>
  <si>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</si>
  <si>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</si>
  <si>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</si>
  <si>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</si>
  <si>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</si>
  <si>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</si>
  <si>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</si>
  <si>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</si>
  <si>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</si>
  <si>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</si>
  <si>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</si>
  <si>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</si>
  <si>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</si>
  <si>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</si>
  <si>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</si>
  <si>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</si>
  <si>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</si>
  <si>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</si>
  <si>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</si>
  <si>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</si>
  <si>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</si>
  <si>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</si>
  <si>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</si>
  <si>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</si>
  <si>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</si>
  <si>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</si>
  <si>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</si>
  <si>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</si>
  <si>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</si>
  <si>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</si>
  <si>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</si>
  <si>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</si>
  <si>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</si>
  <si>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</si>
  <si>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</si>
  <si>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</si>
  <si>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</si>
  <si>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</si>
  <si>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</si>
  <si>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</si>
  <si>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</si>
  <si>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</si>
  <si>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</si>
  <si>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</si>
  <si>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</si>
  <si>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</si>
  <si>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</si>
  <si>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</si>
  <si>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</si>
  <si>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</si>
  <si>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</si>
  <si>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</si>
  <si>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</si>
  <si>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</si>
  <si>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</si>
  <si>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</si>
  <si>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</si>
  <si>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</si>
  <si>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</si>
  <si>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</si>
  <si>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</si>
  <si>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</si>
  <si>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</si>
  <si>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</si>
  <si>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</si>
  <si>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</si>
  <si>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</si>
  <si>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</si>
  <si>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</si>
  <si>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</si>
  <si>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</si>
  <si>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</si>
  <si>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</si>
  <si>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</si>
  <si>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</si>
  <si>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</si>
  <si>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</si>
  <si>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</si>
  <si>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</si>
  <si>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</si>
  <si>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</si>
  <si>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</si>
  <si>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</si>
  <si>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</si>
  <si>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</si>
  <si>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</si>
  <si>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</si>
  <si>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</si>
  <si>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</si>
  <si>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</si>
  <si>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</si>
  <si>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</si>
  <si>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</si>
  <si>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</si>
  <si>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</si>
  <si>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</si>
  <si>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</si>
  <si>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</si>
  <si>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</si>
  <si>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</si>
  <si>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</si>
  <si>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</si>
  <si>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</si>
  <si>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</si>
  <si>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</si>
  <si>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</si>
  <si>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</si>
  <si>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</si>
  <si>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</si>
  <si>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</si>
  <si>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</si>
  <si>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</si>
  <si>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</si>
  <si>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</si>
  <si>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</si>
  <si>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</si>
  <si>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</si>
  <si>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</si>
  <si>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</si>
  <si>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</si>
  <si>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</si>
  <si>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</si>
  <si>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</si>
  <si>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</si>
  <si>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</si>
  <si>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</si>
  <si>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</si>
  <si>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</si>
  <si>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</si>
  <si>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</si>
  <si>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</si>
  <si>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</si>
  <si>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</si>
  <si>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</si>
  <si>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</si>
  <si>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</si>
  <si>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</si>
  <si>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</si>
  <si>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</si>
  <si>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</si>
  <si>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</si>
  <si>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</si>
  <si>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</si>
  <si>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</si>
  <si>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</si>
  <si>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</si>
  <si>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</si>
  <si>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</si>
  <si>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</si>
  <si>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</si>
  <si>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</si>
  <si>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</si>
  <si>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</si>
  <si>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</si>
  <si>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</si>
  <si>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</si>
  <si>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</si>
  <si>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</si>
  <si>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</si>
  <si>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</si>
  <si>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</si>
  <si>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</si>
  <si>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</si>
  <si>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</si>
  <si>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</si>
  <si>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</si>
  <si>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</si>
  <si>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</si>
  <si>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</si>
  <si>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</si>
  <si>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</si>
  <si>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</si>
  <si>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</si>
  <si>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</si>
  <si>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</si>
  <si>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</si>
  <si>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</si>
  <si>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</si>
  <si>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</si>
  <si>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</si>
  <si>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</si>
  <si>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</si>
  <si>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</si>
  <si>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</si>
  <si>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</si>
  <si>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</si>
  <si>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</si>
  <si>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</si>
  <si>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</si>
  <si>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</si>
  <si>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</si>
  <si>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</si>
  <si>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</si>
  <si>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</si>
  <si>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</si>
  <si>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</si>
  <si>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</si>
  <si>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</si>
  <si>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</si>
  <si>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</si>
  <si>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</si>
  <si>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</si>
  <si>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</si>
  <si>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</si>
  <si>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</si>
  <si>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</si>
  <si>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</si>
  <si>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</si>
  <si>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</si>
  <si>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</si>
  <si>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</si>
  <si>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</si>
  <si>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</si>
  <si>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</si>
  <si>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</si>
  <si>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</si>
  <si>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</si>
  <si>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</si>
  <si>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</si>
  <si>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</si>
  <si>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</si>
  <si>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</si>
  <si>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</si>
  <si>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</si>
  <si>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</si>
  <si>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</si>
  <si>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</si>
  <si>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</si>
  <si>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</si>
  <si>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</si>
  <si>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</si>
  <si>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</si>
  <si>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</si>
  <si>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</si>
  <si>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</si>
  <si>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</si>
  <si>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</si>
  <si>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</si>
  <si>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</si>
  <si>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</si>
  <si>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</si>
  <si>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</si>
  <si>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</si>
  <si>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</si>
  <si>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</si>
  <si>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</si>
  <si>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</si>
  <si>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</si>
  <si>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</si>
  <si>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</si>
  <si>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</si>
  <si>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</si>
  <si>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</si>
  <si>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</si>
  <si>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</si>
  <si>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</si>
  <si>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</si>
  <si>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</si>
  <si>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</si>
  <si>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</si>
  <si>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</si>
  <si>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</si>
  <si>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</si>
  <si>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</si>
  <si>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</si>
  <si>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</si>
  <si>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</si>
  <si>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</si>
  <si>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</si>
  <si>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</si>
  <si>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</si>
  <si>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</si>
  <si>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</si>
  <si>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</si>
  <si>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</si>
  <si>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</si>
  <si>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</si>
  <si>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</si>
  <si>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</si>
  <si>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</si>
  <si>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</si>
  <si>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</si>
  <si>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</si>
  <si>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</si>
  <si>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</si>
  <si>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</si>
  <si>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</si>
  <si>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</si>
  <si>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</si>
  <si>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</si>
  <si>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</si>
  <si>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</si>
  <si>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</si>
  <si>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</si>
  <si>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</si>
  <si>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</si>
  <si>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</si>
  <si>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</si>
  <si>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</si>
  <si>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</si>
  <si>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</si>
  <si>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</si>
  <si>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</si>
  <si>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</si>
  <si>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</si>
  <si>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</si>
  <si>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</si>
  <si>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</si>
  <si>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</si>
  <si>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</si>
  <si>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</si>
  <si>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</si>
  <si>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</si>
  <si>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</si>
  <si>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</si>
  <si>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</si>
  <si>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</si>
  <si>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</si>
  <si>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</si>
  <si>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</si>
  <si>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</si>
  <si>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</si>
  <si>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</si>
  <si>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</si>
  <si>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</si>
  <si>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</si>
  <si>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</si>
  <si>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</si>
  <si>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</si>
  <si>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</si>
  <si>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</si>
  <si>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</si>
  <si>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</si>
  <si>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</si>
  <si>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</si>
  <si>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</si>
  <si>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</si>
  <si>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</si>
  <si>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</si>
  <si>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</si>
  <si>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</si>
  <si>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</si>
  <si>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</si>
  <si>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</si>
  <si>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</si>
  <si>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</si>
  <si>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</si>
  <si>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</si>
  <si>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</si>
  <si>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</si>
  <si>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</si>
  <si>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</si>
  <si>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</si>
  <si>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</si>
  <si>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</si>
  <si>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</si>
  <si>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</si>
  <si>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</si>
  <si>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</si>
  <si>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</si>
  <si>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</si>
  <si>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</si>
  <si>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</si>
  <si>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</si>
  <si>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</si>
  <si>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</si>
  <si>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</si>
  <si>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</si>
  <si>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</si>
  <si>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</si>
  <si>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</si>
  <si>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</si>
  <si>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</si>
  <si>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</si>
  <si>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</si>
  <si>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</si>
  <si>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</si>
  <si>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</si>
  <si>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</si>
  <si>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</si>
  <si>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</si>
  <si>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</si>
  <si>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</si>
  <si>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</si>
  <si>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</si>
  <si>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</si>
  <si>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</si>
  <si>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</si>
  <si>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</si>
  <si>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</si>
  <si>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</si>
  <si>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</si>
  <si>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</si>
  <si>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</si>
  <si>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</si>
  <si>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</si>
  <si>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</si>
  <si>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</si>
  <si>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</si>
  <si>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</si>
  <si>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</si>
  <si>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</si>
  <si>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</si>
  <si>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</si>
  <si>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</si>
  <si>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</si>
  <si>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</si>
  <si>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</si>
  <si>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</si>
  <si>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</si>
  <si>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</si>
  <si>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</si>
  <si>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</si>
  <si>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</si>
  <si>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</si>
  <si>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</si>
  <si>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</si>
  <si>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</si>
  <si>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</si>
  <si>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</si>
  <si>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</si>
  <si>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</si>
  <si>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</si>
  <si>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</si>
  <si>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</si>
  <si>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</si>
  <si>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</si>
  <si>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</si>
  <si>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</si>
  <si>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</si>
  <si>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</si>
  <si>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</si>
  <si>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</si>
  <si>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</si>
  <si>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</si>
  <si>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</si>
  <si>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</si>
  <si>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</si>
  <si>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</si>
  <si>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</si>
  <si>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</si>
  <si>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</si>
  <si>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</si>
  <si>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</si>
  <si>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</si>
  <si>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</si>
  <si>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</si>
  <si>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</si>
  <si>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</si>
  <si>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</si>
  <si>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</si>
  <si>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</si>
  <si>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</si>
  <si>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</si>
  <si>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</si>
  <si>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</si>
  <si>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</si>
  <si>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</si>
  <si>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</si>
  <si>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</si>
  <si>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</si>
  <si>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</si>
  <si>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</si>
  <si>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</si>
  <si>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</si>
  <si>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</si>
  <si>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</si>
  <si>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</si>
  <si>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</si>
  <si>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</si>
  <si>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</si>
  <si>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</si>
  <si>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</si>
  <si>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</si>
  <si>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</si>
  <si>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</si>
  <si>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</si>
  <si>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</si>
  <si>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</si>
  <si>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</si>
  <si>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</si>
  <si>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</si>
  <si>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</si>
  <si>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</si>
  <si>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</si>
  <si>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</si>
  <si>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</si>
  <si>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</si>
  <si>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</si>
  <si>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</si>
  <si>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</si>
  <si>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</si>
  <si>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</si>
  <si>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</si>
  <si>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</si>
  <si>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</si>
  <si>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</si>
  <si>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</si>
  <si>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</si>
  <si>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</si>
  <si>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</si>
  <si>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</si>
  <si>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</si>
  <si>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</si>
  <si>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</si>
  <si>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</si>
  <si>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</si>
  <si>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</si>
  <si>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</si>
  <si>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</si>
  <si>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</si>
  <si>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</si>
  <si>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</si>
  <si>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</si>
  <si>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</si>
  <si>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</si>
  <si>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</si>
  <si>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</si>
  <si>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</si>
  <si>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</si>
  <si>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</si>
  <si>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</si>
  <si>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</si>
  <si>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</si>
  <si>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</si>
  <si>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</si>
  <si>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</si>
  <si>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</si>
  <si>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</si>
  <si>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</si>
  <si>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</si>
  <si>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</si>
  <si>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</si>
  <si>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</si>
  <si>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</si>
  <si>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</si>
  <si>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</si>
  <si>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</si>
  <si>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</si>
  <si>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</si>
  <si>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</si>
  <si>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</si>
  <si>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</si>
  <si>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</si>
  <si>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</si>
  <si>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</si>
  <si>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</si>
  <si>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</si>
  <si>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</si>
  <si>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</si>
  <si>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</si>
  <si>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</si>
  <si>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</si>
  <si>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</si>
  <si>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</si>
  <si>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</si>
  <si>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</si>
  <si>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</si>
  <si>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</si>
  <si>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</si>
  <si>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</si>
  <si>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</si>
  <si>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</si>
  <si>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</si>
  <si>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</si>
  <si>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</si>
  <si>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</si>
  <si>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</si>
  <si>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</si>
  <si>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</si>
  <si>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</si>
  <si>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</si>
  <si>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</si>
  <si>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</si>
  <si>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</si>
  <si>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</si>
  <si>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</si>
  <si>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</si>
  <si>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</si>
  <si>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</si>
  <si>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</si>
  <si>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</si>
  <si>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</si>
  <si>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</si>
  <si>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</si>
  <si>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</si>
  <si>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</si>
  <si>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</si>
  <si>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</si>
  <si>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</si>
  <si>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</si>
  <si>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</si>
  <si>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</si>
  <si>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</si>
  <si>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</si>
  <si>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</si>
  <si>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</si>
  <si>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</si>
  <si>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</si>
  <si>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</si>
  <si>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</si>
  <si>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</si>
  <si>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</si>
  <si>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</si>
  <si>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</si>
  <si>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</si>
  <si>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</si>
  <si>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</si>
  <si>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</si>
  <si>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</si>
  <si>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</si>
  <si>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</si>
  <si>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</si>
  <si>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</si>
  <si>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</si>
  <si>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</si>
  <si>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</si>
  <si>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</si>
  <si>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</si>
  <si>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</si>
  <si>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</si>
  <si>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</si>
  <si>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</si>
  <si>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</si>
  <si>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</si>
  <si>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</si>
  <si>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</si>
  <si>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</si>
  <si>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</si>
  <si>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</si>
  <si>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</si>
  <si>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</si>
  <si>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</si>
  <si>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</si>
  <si>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</si>
  <si>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</si>
  <si>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</si>
  <si>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</si>
  <si>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</si>
  <si>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</si>
  <si>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</si>
  <si>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</si>
  <si>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</si>
  <si>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</si>
  <si>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</si>
  <si>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</si>
  <si>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</si>
  <si>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</si>
  <si>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</si>
  <si>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</si>
  <si>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</si>
  <si>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</si>
  <si>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</si>
  <si>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</si>
  <si>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</si>
  <si>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</si>
  <si>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</si>
  <si>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</si>
  <si>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</si>
  <si>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</si>
  <si>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</si>
  <si>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</si>
  <si>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</si>
  <si>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</si>
  <si>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</si>
  <si>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</si>
  <si>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</si>
  <si>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</si>
  <si>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</si>
  <si>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</si>
  <si>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</si>
  <si>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</si>
  <si>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</si>
  <si>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</si>
  <si>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</si>
  <si>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</si>
  <si>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</si>
  <si>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</si>
  <si>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</si>
  <si>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</si>
  <si>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</si>
  <si>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</si>
  <si>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</si>
  <si>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</si>
  <si>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</si>
  <si>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</si>
  <si>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</si>
  <si>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</si>
  <si>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</si>
  <si>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</si>
  <si>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</si>
  <si>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</si>
  <si>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</si>
  <si>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</si>
  <si>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</si>
  <si>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</si>
  <si>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</si>
  <si>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</si>
  <si>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</si>
  <si>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</si>
  <si>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</si>
  <si>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</si>
  <si>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</si>
  <si>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</si>
  <si>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</si>
  <si>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</si>
  <si>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</si>
  <si>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</si>
  <si>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</si>
  <si>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</si>
  <si>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</si>
  <si>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</si>
  <si>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</si>
  <si>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</si>
  <si>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</si>
  <si>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</si>
  <si>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</si>
  <si>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</si>
  <si>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</si>
  <si>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</si>
  <si>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</si>
  <si>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</si>
  <si>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</si>
  <si>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</si>
  <si>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</si>
  <si>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</si>
  <si>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</si>
  <si>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</si>
  <si>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</si>
  <si>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</si>
  <si>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</si>
  <si>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</si>
  <si>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</si>
  <si>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</si>
  <si>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</si>
  <si>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</si>
  <si>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</si>
  <si>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</si>
  <si>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</si>
  <si>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</si>
  <si>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</si>
  <si>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</si>
  <si>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</si>
  <si>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</si>
  <si>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</si>
  <si>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</si>
  <si>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</si>
  <si>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</si>
  <si>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</si>
  <si>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</si>
  <si>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</si>
  <si>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</si>
  <si>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</si>
  <si>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</si>
  <si>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</si>
  <si>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</si>
  <si>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</si>
  <si>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</si>
  <si>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</si>
  <si>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</si>
  <si>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</si>
  <si>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</si>
  <si>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</si>
  <si>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</si>
  <si>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</si>
  <si>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</si>
  <si>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</si>
  <si>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</si>
  <si>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</si>
  <si>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</si>
  <si>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</si>
  <si>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</si>
  <si>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</si>
  <si>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</si>
  <si>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</si>
  <si>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</si>
  <si>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</si>
  <si>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</si>
  <si>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</si>
  <si>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</si>
  <si>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</si>
  <si>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</si>
  <si>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</si>
  <si>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</si>
  <si>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</si>
  <si>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</si>
  <si>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</si>
  <si>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</si>
  <si>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</si>
  <si>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</si>
  <si>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</si>
  <si>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</si>
  <si>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</si>
  <si>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</si>
  <si>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</si>
  <si>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</si>
  <si>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</si>
  <si>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</si>
  <si>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</si>
  <si>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</si>
  <si>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</si>
  <si>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</si>
  <si>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</si>
  <si>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</si>
  <si>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</si>
  <si>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</si>
  <si>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</si>
  <si>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</si>
  <si>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</si>
  <si>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</si>
  <si>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</si>
  <si>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</si>
  <si>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</si>
  <si>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</si>
  <si>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</si>
  <si>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</si>
  <si>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</si>
  <si>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</si>
  <si>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</si>
  <si>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</si>
  <si>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</si>
  <si>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</si>
  <si>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</si>
  <si>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</si>
  <si>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</si>
  <si>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</si>
  <si>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</si>
  <si>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</si>
  <si>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</si>
  <si>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</si>
  <si>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</si>
  <si>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</si>
  <si>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</si>
  <si>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</si>
  <si>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</si>
  <si>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</si>
  <si>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</si>
  <si>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</si>
  <si>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</si>
  <si>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</si>
  <si>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</si>
  <si>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</si>
  <si>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</si>
  <si>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</si>
  <si>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</si>
  <si>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</si>
  <si>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</si>
  <si>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</si>
  <si>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</si>
  <si>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</si>
  <si>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</si>
  <si>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</si>
  <si>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</si>
  <si>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</si>
  <si>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</si>
  <si>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</si>
  <si>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</si>
  <si>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</si>
  <si>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</si>
  <si>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</si>
  <si>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</si>
  <si>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</si>
  <si>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</si>
  <si>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</si>
  <si>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</si>
  <si>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</si>
  <si>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</si>
  <si>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</si>
  <si>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</si>
  <si>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</si>
  <si>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</si>
  <si>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</si>
  <si>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</si>
  <si>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</si>
  <si>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</si>
  <si>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</si>
  <si>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</si>
  <si>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</si>
  <si>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</si>
  <si>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</si>
  <si>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</si>
  <si>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</si>
  <si>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</si>
  <si>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</si>
  <si>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</si>
  <si>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</si>
  <si>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</si>
  <si>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</si>
  <si>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</si>
  <si>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</si>
  <si>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</si>
  <si>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</si>
  <si>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</si>
  <si>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</si>
  <si>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</si>
  <si>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</si>
  <si>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</si>
  <si>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</si>
  <si>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</si>
  <si>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</si>
  <si>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</si>
  <si>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</si>
  <si>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</si>
  <si>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</si>
  <si>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</si>
  <si>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</si>
  <si>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</si>
  <si>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</si>
  <si>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</si>
  <si>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</si>
  <si>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</si>
  <si>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</si>
  <si>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</si>
  <si>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</si>
  <si>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</si>
  <si>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</si>
  <si>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</si>
  <si>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</si>
  <si>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</si>
  <si>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</si>
  <si>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</si>
  <si>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</si>
  <si>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</si>
  <si>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</si>
  <si>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</si>
  <si>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</si>
  <si>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</si>
  <si>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</si>
  <si>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</si>
  <si>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</si>
  <si>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</si>
  <si>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</si>
  <si>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</si>
  <si>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</si>
  <si>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</si>
  <si>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</si>
  <si>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</si>
  <si>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</si>
  <si>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</si>
  <si>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</si>
  <si>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</si>
  <si>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</si>
  <si>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</si>
  <si>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</si>
  <si>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</si>
  <si>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</si>
  <si>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</si>
  <si>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</si>
  <si>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</si>
  <si>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</si>
  <si>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</si>
  <si>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</si>
  <si>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</si>
  <si>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</si>
  <si>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</si>
  <si>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</si>
  <si>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</si>
  <si>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</si>
  <si>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</si>
  <si>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</si>
  <si>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</si>
  <si>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</si>
  <si>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</si>
  <si>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</si>
  <si>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</si>
  <si>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</si>
  <si>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</si>
  <si>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</si>
  <si>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</si>
  <si>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</si>
  <si>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</si>
  <si>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</si>
  <si>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</si>
  <si>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</si>
  <si>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</si>
  <si>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</si>
  <si>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</si>
  <si>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</si>
  <si>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</si>
  <si>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</si>
  <si>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</si>
  <si>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</si>
  <si>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</si>
  <si>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</si>
  <si>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</si>
  <si>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</si>
  <si>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</si>
  <si>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</si>
  <si>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</si>
  <si>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</si>
  <si>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</si>
  <si>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</si>
  <si>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</si>
  <si>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</si>
  <si>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</si>
  <si>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</si>
  <si>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</si>
  <si>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</si>
  <si>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</si>
  <si>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</si>
  <si>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</si>
  <si>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</si>
  <si>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</si>
  <si>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</si>
  <si>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</si>
  <si>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</si>
  <si>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</si>
  <si>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</si>
  <si>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</si>
  <si>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</si>
  <si>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</si>
  <si>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</si>
  <si>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</si>
  <si>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</si>
  <si>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</si>
  <si>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</si>
  <si>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</si>
  <si>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</si>
  <si>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</si>
  <si>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</si>
  <si>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</si>
  <si>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</si>
  <si>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</si>
  <si>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</si>
  <si>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</si>
  <si>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</si>
  <si>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</si>
  <si>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</si>
  <si>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</si>
  <si>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</si>
  <si>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</si>
  <si>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</si>
  <si>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</si>
  <si>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</si>
  <si>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</si>
  <si>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</si>
  <si>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</si>
  <si>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</si>
  <si>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</si>
  <si>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</si>
  <si>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</si>
  <si>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</si>
  <si>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</si>
  <si>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</si>
  <si>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</si>
  <si>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</si>
  <si>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</si>
  <si>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</si>
  <si>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</si>
  <si>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</si>
  <si>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</si>
  <si>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</si>
  <si>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</si>
  <si>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</si>
  <si>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</si>
  <si>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</si>
  <si>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</si>
  <si>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</si>
  <si>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</si>
  <si>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</si>
  <si>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</si>
  <si>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</si>
  <si>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</si>
  <si>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</si>
  <si>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</si>
  <si>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</si>
  <si>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</si>
  <si>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</si>
  <si>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</si>
  <si>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</si>
  <si>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</si>
  <si>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</si>
  <si>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</si>
  <si>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</si>
  <si>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</si>
  <si>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</si>
  <si>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</si>
  <si>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</si>
  <si>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</si>
  <si>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</si>
  <si>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</si>
  <si>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</si>
  <si>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</si>
  <si>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</si>
  <si>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</si>
  <si>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</si>
  <si>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</si>
  <si>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</si>
  <si>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</si>
  <si>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</si>
  <si>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</si>
  <si>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</si>
  <si>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</si>
  <si>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</si>
  <si>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</si>
  <si>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</si>
  <si>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</si>
  <si>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</si>
  <si>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</si>
  <si>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</si>
  <si>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</si>
  <si>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</si>
  <si>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</si>
  <si>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</si>
  <si>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</si>
  <si>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</si>
  <si>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</si>
  <si>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</si>
  <si>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</si>
  <si>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</si>
  <si>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</si>
  <si>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</si>
  <si>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</si>
  <si>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</si>
  <si>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</si>
  <si>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</si>
  <si>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</si>
  <si>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</si>
  <si>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</si>
  <si>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</si>
  <si>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</si>
  <si>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</si>
  <si>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</si>
  <si>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</si>
  <si>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</si>
  <si>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</si>
  <si>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</si>
  <si>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2024-01-15</t>
  </si>
  <si>
    <t>3.0</t>
  </si>
  <si>
    <t>函授</t>
  </si>
  <si>
    <t>普通全日制</t>
  </si>
  <si>
    <t>1993-07-10</t>
  </si>
  <si>
    <t>富民县大营中学</t>
  </si>
  <si>
    <t>0.0</t>
  </si>
  <si>
    <t>柯渡中学</t>
  </si>
  <si>
    <t>2000-09-19</t>
  </si>
  <si>
    <t>盏西民族中学</t>
  </si>
  <si>
    <t>1989-07-18</t>
  </si>
  <si>
    <t>1992-06-18</t>
  </si>
  <si>
    <t xml:space="preserve">昆明市轻工业学校		</t>
  </si>
  <si>
    <t>机电技术应用</t>
  </si>
  <si>
    <t xml:space="preserve">昆明市化工技工学校		</t>
  </si>
  <si>
    <t>生物化工</t>
  </si>
  <si>
    <t>东北财经大学</t>
  </si>
  <si>
    <t>工程质量监督与管理</t>
  </si>
  <si>
    <t>2.5</t>
  </si>
  <si>
    <t>电气自动化设备安装与维修</t>
  </si>
  <si>
    <t>大学本科</t>
  </si>
  <si>
    <t>106745202205000225</t>
  </si>
  <si>
    <t>自考</t>
  </si>
  <si>
    <t>4.0</t>
  </si>
  <si>
    <t>安徽工学院</t>
  </si>
  <si>
    <t>2.0</t>
  </si>
  <si>
    <t>在职不脱产</t>
  </si>
  <si>
    <t>远程教育</t>
  </si>
  <si>
    <t>机械设计及自动化</t>
  </si>
  <si>
    <t>65530111133003343</t>
  </si>
  <si>
    <t>对外经济贸易大学</t>
  </si>
  <si>
    <t>金融学</t>
  </si>
  <si>
    <t>郑州轻工业学院</t>
  </si>
  <si>
    <t>开放教育</t>
  </si>
  <si>
    <t>大专和专科毕业</t>
  </si>
  <si>
    <t>2011-07-30</t>
  </si>
  <si>
    <t xml:space="preserve">云南国防工业职业技术学院		</t>
  </si>
  <si>
    <t>137571201306000418</t>
  </si>
  <si>
    <t>137561201506001020</t>
  </si>
  <si>
    <t>电气自动化技术（焊机设计与制造）</t>
  </si>
  <si>
    <t>2011-07-10</t>
  </si>
  <si>
    <t>云南经济管理职业学院</t>
  </si>
  <si>
    <t>2014-03-01</t>
  </si>
  <si>
    <t>会计电算化</t>
  </si>
  <si>
    <t>夜大</t>
  </si>
  <si>
    <t>511618201606844258</t>
  </si>
  <si>
    <t>145841202006206137</t>
  </si>
  <si>
    <t>137571202006000812</t>
  </si>
  <si>
    <t>106631200606001024</t>
  </si>
  <si>
    <t>137561201706000689</t>
  </si>
  <si>
    <t>5.0</t>
  </si>
  <si>
    <t>123931202006001488</t>
  </si>
  <si>
    <t>2011-06-01</t>
  </si>
  <si>
    <t>荆州理工职业学院</t>
  </si>
  <si>
    <t>模具制造与设计</t>
  </si>
  <si>
    <t>计算机网络与信息管理</t>
  </si>
  <si>
    <t>115571201206001547</t>
  </si>
  <si>
    <t>2012-09-13</t>
  </si>
  <si>
    <t>142125202306000161</t>
  </si>
  <si>
    <t>成人高等教育</t>
  </si>
  <si>
    <t>汽车检修与维修技术</t>
  </si>
  <si>
    <t>513578202206015944</t>
  </si>
  <si>
    <t>142121202206005418</t>
  </si>
  <si>
    <t>2020-07-03</t>
  </si>
  <si>
    <t>工程机械运用技术</t>
  </si>
  <si>
    <t>函大专科毕业</t>
  </si>
  <si>
    <t>农林牧渔类农林管理类农业经济管理</t>
  </si>
  <si>
    <t>106895201306004474</t>
  </si>
  <si>
    <t>夜大专科毕业</t>
  </si>
  <si>
    <t>云南广播电视大学</t>
  </si>
  <si>
    <t>大学专科毕业</t>
  </si>
  <si>
    <t>513571201106006685</t>
  </si>
  <si>
    <t>2025-06-25</t>
  </si>
  <si>
    <t>电工类</t>
  </si>
  <si>
    <t>1992-06-01</t>
  </si>
  <si>
    <t>九江船舶工业学校</t>
  </si>
  <si>
    <t>电子技术</t>
  </si>
  <si>
    <t>昆明市轻工业学校</t>
  </si>
  <si>
    <t>广饶综合高级中学</t>
  </si>
  <si>
    <t>计算机及应用</t>
  </si>
  <si>
    <t>盘江煤电集团技工学校</t>
  </si>
  <si>
    <t>机械制造与控制</t>
  </si>
  <si>
    <t xml:space="preserve">云南省轻工业技工学校		</t>
  </si>
  <si>
    <t>昆明现代科技学校</t>
  </si>
  <si>
    <t>计算机应用</t>
  </si>
  <si>
    <t>云南省经济管理学院</t>
  </si>
  <si>
    <t>1991-06-01</t>
  </si>
  <si>
    <t>钳焊</t>
  </si>
  <si>
    <t xml:space="preserve">曲靖市麒麟区职业技术学校		</t>
  </si>
  <si>
    <t>西南仪器厂技工学校</t>
  </si>
  <si>
    <t>数控机床操作</t>
  </si>
  <si>
    <t>炼铁</t>
  </si>
  <si>
    <t>技校毕业</t>
  </si>
  <si>
    <t>云南交通技师学院</t>
  </si>
  <si>
    <t>汽车钣金与涂装</t>
  </si>
  <si>
    <t>旅游管理与服务教育</t>
  </si>
  <si>
    <t>职高毕业</t>
  </si>
  <si>
    <t>初中毕业</t>
  </si>
  <si>
    <t>函大本科毕业</t>
  </si>
  <si>
    <t>105365202405000854</t>
  </si>
  <si>
    <t>106895201605000346</t>
  </si>
  <si>
    <t>2020-03-01</t>
  </si>
  <si>
    <t>2025-01-15</t>
  </si>
  <si>
    <t>自学考试本科毕业</t>
  </si>
  <si>
    <t>65500100113210489</t>
  </si>
  <si>
    <t>区域经济学</t>
  </si>
  <si>
    <t>硕士研究生</t>
  </si>
  <si>
    <t>经济学硕士</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</si>
  <si>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</si>
  <si>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</si>
  <si>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</si>
  <si>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</si>
  <si>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</si>
  <si>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</si>
  <si>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</si>
  <si>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</si>
  <si>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</si>
  <si>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</si>
  <si>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</si>
  <si>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</si>
  <si>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化工过程机械</t>
  </si>
  <si>
    <t>工程硕士</t>
  </si>
  <si>
    <t>无硕士研究生毕业证</t>
  </si>
  <si>
    <t>2025-03-15</t>
  </si>
  <si>
    <t>机械硕士</t>
  </si>
  <si>
    <t>河北工业大学</t>
  </si>
  <si>
    <t>经济学学士</t>
  </si>
  <si>
    <t>2016-06-21</t>
  </si>
  <si>
    <t>统计学（风险管理与精算）</t>
  </si>
  <si>
    <t>大学本科毕业</t>
  </si>
  <si>
    <t>文学学士</t>
  </si>
  <si>
    <t>2017-02-01</t>
  </si>
  <si>
    <t>英国伍尔弗汉普顿大学</t>
  </si>
  <si>
    <t>国际商务交流</t>
  </si>
  <si>
    <t>1390942014900008</t>
  </si>
  <si>
    <t>理学学士</t>
  </si>
  <si>
    <t>1061042016004270</t>
  </si>
  <si>
    <t>工学学士</t>
  </si>
  <si>
    <t>113111201405001512</t>
  </si>
  <si>
    <t>104031201705000219</t>
  </si>
  <si>
    <t>华南热带农业大学</t>
  </si>
  <si>
    <t>106741201205003729</t>
  </si>
  <si>
    <t>安阳工业学院</t>
  </si>
  <si>
    <t>1067642022005646</t>
  </si>
  <si>
    <t>106761202205005646</t>
  </si>
  <si>
    <t>106741201305016914</t>
  </si>
  <si>
    <t>1067442013904956</t>
  </si>
  <si>
    <t>106791201405002493</t>
  </si>
  <si>
    <t>天津工业大学</t>
  </si>
  <si>
    <t>印刷机械制造与维修</t>
  </si>
  <si>
    <t>95266</t>
  </si>
  <si>
    <t>2019-06-27</t>
  </si>
  <si>
    <t>2018-08-31</t>
  </si>
  <si>
    <t>2020-06-12</t>
  </si>
  <si>
    <t>大连理工大学</t>
  </si>
  <si>
    <t>2013-08-31</t>
  </si>
  <si>
    <t>2017-07-03</t>
  </si>
  <si>
    <t>1067642024005280</t>
  </si>
  <si>
    <t>2025-07-15</t>
  </si>
  <si>
    <t>2024-06-22</t>
  </si>
  <si>
    <t>2022-06-17</t>
  </si>
  <si>
    <t>1256042023901394</t>
  </si>
  <si>
    <t>2023-06-20</t>
  </si>
  <si>
    <t>2020-06-16</t>
  </si>
  <si>
    <t>2014-08-30</t>
  </si>
  <si>
    <t>2018-07-06</t>
  </si>
  <si>
    <t>2025-06-22</t>
  </si>
  <si>
    <t>华中农业大学</t>
  </si>
  <si>
    <t>植物保护</t>
  </si>
  <si>
    <t>农学学士</t>
  </si>
  <si>
    <t>武汉大学（辅修）</t>
  </si>
  <si>
    <t>管理学学士</t>
  </si>
  <si>
    <t>133331201505000799</t>
  </si>
  <si>
    <t>2015-07-16</t>
  </si>
  <si>
    <t>大学本科结业</t>
  </si>
  <si>
    <t>无学士学位</t>
  </si>
  <si>
    <t>数字媒体艺术</t>
  </si>
  <si>
    <t>艺术学学士</t>
  </si>
  <si>
    <t>1389642021000757</t>
  </si>
  <si>
    <t>湖南大学（设计艺术学院）</t>
  </si>
  <si>
    <t>刘坤</t>
    <phoneticPr fontId="6" type="noConversion"/>
  </si>
  <si>
    <t>530124200004300016</t>
    <phoneticPr fontId="6" type="noConversion"/>
  </si>
  <si>
    <t>532128198707094754</t>
    <phoneticPr fontId="6" type="noConversion"/>
  </si>
  <si>
    <t>中专和中技</t>
  </si>
  <si>
    <t>紧急电话_emergency_contact_phone</t>
    <phoneticPr fontId="6" type="noConversion"/>
  </si>
  <si>
    <t>王雅婷</t>
  </si>
  <si>
    <t>13529411132</t>
  </si>
  <si>
    <t>盛廷瑛</t>
  </si>
  <si>
    <t>陈雪琴</t>
  </si>
  <si>
    <t>13888107967</t>
  </si>
  <si>
    <t>熊文香</t>
  </si>
  <si>
    <t>18787824906</t>
  </si>
  <si>
    <t>15125779439</t>
  </si>
  <si>
    <t>吴正海</t>
  </si>
  <si>
    <t>13908869366</t>
  </si>
  <si>
    <t>王敏</t>
  </si>
  <si>
    <t>俞红分</t>
  </si>
  <si>
    <t>左金双</t>
  </si>
  <si>
    <t>杨正明</t>
  </si>
  <si>
    <t>15184805497</t>
  </si>
  <si>
    <t>张新华</t>
  </si>
  <si>
    <t>严琼芬</t>
  </si>
  <si>
    <t>15911930257</t>
  </si>
  <si>
    <t>赵明霞</t>
  </si>
  <si>
    <t>赵宏生</t>
  </si>
  <si>
    <t>肖开颇</t>
  </si>
  <si>
    <t>15184840095</t>
  </si>
  <si>
    <t>董爱萍</t>
  </si>
  <si>
    <t>15974966212</t>
  </si>
  <si>
    <t>李太兰</t>
  </si>
  <si>
    <t>18388564705</t>
  </si>
  <si>
    <t>赵明珍</t>
  </si>
  <si>
    <t>13759492358</t>
  </si>
  <si>
    <t>李茂珍</t>
  </si>
  <si>
    <t>15987650184</t>
  </si>
  <si>
    <t>13577671997</t>
  </si>
  <si>
    <t>李有兰</t>
  </si>
  <si>
    <t>牛荣贤</t>
  </si>
  <si>
    <t>孔文安</t>
  </si>
  <si>
    <t>15758573402</t>
  </si>
  <si>
    <t>周银秀</t>
  </si>
  <si>
    <t>15125754027</t>
  </si>
  <si>
    <t>孔学林</t>
  </si>
  <si>
    <t>15288558723</t>
  </si>
  <si>
    <t>曾利明</t>
  </si>
  <si>
    <t>刘国建</t>
  </si>
  <si>
    <t>13888048361</t>
  </si>
  <si>
    <t>李南</t>
  </si>
  <si>
    <t>郑琼芬</t>
  </si>
  <si>
    <t>王炜</t>
  </si>
  <si>
    <t>张爱容</t>
  </si>
  <si>
    <t>2015-05-14</t>
  </si>
  <si>
    <t>2022-01-27</t>
  </si>
  <si>
    <t>2006-08-10</t>
  </si>
  <si>
    <t>2010-03-26</t>
  </si>
  <si>
    <t>2019-01-28</t>
  </si>
  <si>
    <t>2022-07-29</t>
  </si>
  <si>
    <t>2023-09-07</t>
  </si>
  <si>
    <t>2022-10-13</t>
  </si>
  <si>
    <t>2020-12-18</t>
  </si>
  <si>
    <t>2008-04-03</t>
  </si>
  <si>
    <t>2006-12-11</t>
  </si>
  <si>
    <t>2025-08-05</t>
  </si>
  <si>
    <t>2019-10-28</t>
  </si>
  <si>
    <t>2018-09-12</t>
  </si>
  <si>
    <t>2008-09-24</t>
  </si>
  <si>
    <t>2017-12-21</t>
  </si>
  <si>
    <t>2015-09-29</t>
  </si>
  <si>
    <t>2016-09-27</t>
  </si>
  <si>
    <t>2019-01-18</t>
  </si>
  <si>
    <t>2007-11-20</t>
  </si>
  <si>
    <t>2006-11-26</t>
  </si>
  <si>
    <t>2006-11-20</t>
  </si>
  <si>
    <t>2014-01-24</t>
  </si>
  <si>
    <t>2007-02-21</t>
  </si>
  <si>
    <t>2008-12-29</t>
  </si>
  <si>
    <t>2023-02-27</t>
  </si>
  <si>
    <t>2016-03-01</t>
  </si>
  <si>
    <t>2019-09-16</t>
  </si>
  <si>
    <t>2009-02-18</t>
  </si>
  <si>
    <t>2008-03-17</t>
  </si>
  <si>
    <t>2026-03-19</t>
  </si>
  <si>
    <t>2011-09-08</t>
  </si>
  <si>
    <t>2008-02-04</t>
  </si>
  <si>
    <t>2019-01-23</t>
  </si>
  <si>
    <t>2006-07-15</t>
  </si>
  <si>
    <t>2006-10-15</t>
  </si>
  <si>
    <t>2019-03-16</t>
  </si>
  <si>
    <t>2020-08-08</t>
  </si>
  <si>
    <t>2021-06-08</t>
  </si>
  <si>
    <t>2021-04-29</t>
  </si>
  <si>
    <t>2006-07-31</t>
  </si>
  <si>
    <t>2006-10-24</t>
  </si>
  <si>
    <t>2016-03-30</t>
  </si>
  <si>
    <t>2008-08-15</t>
  </si>
  <si>
    <t>2016-08-17</t>
  </si>
  <si>
    <t>2006-06-24</t>
  </si>
  <si>
    <t>2020-06-01</t>
  </si>
  <si>
    <t>2019-06-26</t>
  </si>
  <si>
    <t>2006-09-29</t>
  </si>
  <si>
    <t>2024-12-23</t>
  </si>
  <si>
    <t>2017-05-24</t>
  </si>
  <si>
    <t>2008-12-12</t>
  </si>
  <si>
    <t>2006-09-19</t>
  </si>
  <si>
    <t>2006-08-09</t>
  </si>
  <si>
    <t>2007-09-21</t>
  </si>
  <si>
    <t>2006-10-25</t>
  </si>
  <si>
    <t>2006-07-12</t>
  </si>
  <si>
    <t>2006-11-14</t>
  </si>
  <si>
    <t>2006-06-15</t>
  </si>
  <si>
    <t>2018-12-01</t>
  </si>
  <si>
    <t>2006-07-14</t>
  </si>
  <si>
    <t>2026-02-13</t>
  </si>
  <si>
    <t>2006-06-21</t>
  </si>
  <si>
    <t>2013-09-16</t>
  </si>
  <si>
    <t>2013-08-23</t>
  </si>
  <si>
    <t>2018-02-23</t>
  </si>
  <si>
    <t>2009-02-04</t>
  </si>
  <si>
    <t>2016-08-11</t>
  </si>
  <si>
    <t>2017-07-28</t>
  </si>
  <si>
    <t>2016-07-29</t>
  </si>
  <si>
    <t>2016-07-11</t>
  </si>
  <si>
    <t>2016-06-12</t>
  </si>
  <si>
    <t>2021-12-14</t>
  </si>
  <si>
    <t>2016-09-21</t>
  </si>
  <si>
    <t>2016-08-15</t>
  </si>
  <si>
    <t>2019-05-27</t>
  </si>
  <si>
    <t>2016-04-25</t>
  </si>
  <si>
    <t>2016-04-22</t>
  </si>
  <si>
    <t>2020-05-01</t>
  </si>
  <si>
    <t>2016-09-07</t>
  </si>
  <si>
    <t>2021-04-02</t>
  </si>
  <si>
    <t>2017-07-05</t>
  </si>
  <si>
    <t>2018-10-22</t>
  </si>
  <si>
    <t>2023-11-14</t>
  </si>
  <si>
    <t>2024-07-02</t>
  </si>
  <si>
    <t>2017-06-02</t>
  </si>
  <si>
    <t>2021-12-10</t>
  </si>
  <si>
    <t>2018-02-22</t>
  </si>
  <si>
    <t>2018-09-25</t>
  </si>
  <si>
    <t>2020-07-25</t>
  </si>
  <si>
    <t>2024-05-16</t>
  </si>
  <si>
    <t>2020-08-15</t>
  </si>
  <si>
    <t>2016-07-13</t>
  </si>
  <si>
    <t>2020-12-11</t>
  </si>
  <si>
    <t>2017-10-03</t>
  </si>
  <si>
    <t>2021-01-29</t>
  </si>
  <si>
    <t>2025-02-12</t>
  </si>
  <si>
    <t>2022-01-28</t>
  </si>
  <si>
    <t>2017-02-14</t>
  </si>
  <si>
    <t>2017-03-16</t>
  </si>
  <si>
    <t>2025-04-01</t>
  </si>
  <si>
    <t>2024-03-19</t>
  </si>
  <si>
    <t>2018-02-06</t>
  </si>
  <si>
    <t>2017-10-27</t>
  </si>
  <si>
    <t>2018-07-11</t>
  </si>
  <si>
    <t>2018-03-13</t>
  </si>
  <si>
    <t>2019-01-21</t>
  </si>
  <si>
    <t>2020-01-02</t>
  </si>
  <si>
    <t>2019-02-27</t>
  </si>
  <si>
    <t>2018-04-19</t>
  </si>
  <si>
    <t>2021-03-22</t>
  </si>
  <si>
    <t>2020-08-05</t>
  </si>
  <si>
    <t>2023-10-09</t>
  </si>
  <si>
    <t>2020-02-22</t>
  </si>
  <si>
    <t>2021-01-21</t>
  </si>
  <si>
    <t>2022-01-04</t>
  </si>
  <si>
    <t>2020-08-13</t>
  </si>
  <si>
    <t>2016-09-13</t>
  </si>
  <si>
    <t>2020-11-23</t>
  </si>
  <si>
    <t>2017-01-25</t>
  </si>
  <si>
    <t>2022-02-07</t>
  </si>
  <si>
    <t>2018-11-04</t>
  </si>
  <si>
    <t>2020-10-14</t>
  </si>
  <si>
    <t>2016-07-27</t>
  </si>
  <si>
    <t>2017-04-02</t>
  </si>
  <si>
    <t>2013-06-28</t>
  </si>
  <si>
    <t>2016-02-02</t>
  </si>
  <si>
    <t>2016-06-13</t>
  </si>
  <si>
    <t>2020-08-27</t>
  </si>
  <si>
    <t>2018-08-06</t>
  </si>
  <si>
    <t>2019-10-08</t>
  </si>
  <si>
    <t>2020-08-24</t>
  </si>
  <si>
    <t>2026-03-13</t>
  </si>
  <si>
    <t>2020-08-20</t>
  </si>
  <si>
    <t>2015-09-24</t>
  </si>
  <si>
    <t>2017-03-17</t>
  </si>
  <si>
    <t>2022-05-09</t>
  </si>
  <si>
    <t>2016-11-30</t>
  </si>
  <si>
    <t>2017-07-16</t>
  </si>
  <si>
    <t>2017-07-24</t>
  </si>
  <si>
    <t>2019-02-13</t>
  </si>
  <si>
    <t>2008-12-28</t>
  </si>
  <si>
    <t>2018-05-02</t>
  </si>
  <si>
    <t>2023-05-20</t>
  </si>
  <si>
    <t>2018-02-02</t>
  </si>
  <si>
    <t>2017-01-20</t>
  </si>
  <si>
    <t>2020-07-27</t>
  </si>
  <si>
    <t>2025-03-28</t>
  </si>
  <si>
    <t>2019-08-02</t>
  </si>
  <si>
    <t>2024-01-18</t>
  </si>
  <si>
    <t>2021-08-19</t>
  </si>
  <si>
    <t>2016-08-10</t>
  </si>
  <si>
    <t>2021-04-17</t>
  </si>
  <si>
    <t>2023-02-09</t>
  </si>
  <si>
    <t>2024-02-22</t>
  </si>
  <si>
    <t>2018-01-24</t>
  </si>
  <si>
    <t>2018-08-24</t>
  </si>
  <si>
    <t>2023-03-29</t>
  </si>
  <si>
    <t>2022-12-30</t>
  </si>
  <si>
    <t>2016-08-01</t>
  </si>
  <si>
    <t>2018-04-20</t>
  </si>
  <si>
    <t>2019-08-08</t>
  </si>
  <si>
    <t>2024-07-18</t>
  </si>
  <si>
    <t>2023-06-28</t>
  </si>
  <si>
    <t>2024-01-20</t>
  </si>
  <si>
    <t>2020-01-21</t>
  </si>
  <si>
    <t>2017-02-03</t>
  </si>
  <si>
    <t>2022-01-20</t>
  </si>
  <si>
    <t>2022-08-22</t>
  </si>
  <si>
    <t>2025-08-16</t>
  </si>
  <si>
    <t>2018-08-19</t>
  </si>
  <si>
    <t>2021-01-19</t>
  </si>
  <si>
    <t>2022-12-20</t>
  </si>
  <si>
    <t>2019-12-08</t>
  </si>
  <si>
    <t>2020-11-27</t>
  </si>
  <si>
    <t>2021-12-31</t>
  </si>
  <si>
    <t>2019-06-28</t>
  </si>
  <si>
    <t>2024-06-05</t>
  </si>
  <si>
    <t>2022-04-26</t>
  </si>
  <si>
    <t>2018-08-10</t>
  </si>
  <si>
    <t>2021-05-11</t>
  </si>
  <si>
    <t>2018-07-04</t>
  </si>
  <si>
    <t>2019-08-24</t>
  </si>
  <si>
    <t>2023-12-15</t>
  </si>
  <si>
    <t>2018-04-06</t>
  </si>
  <si>
    <t>2018-03-25</t>
  </si>
  <si>
    <t>2016-06-11</t>
  </si>
  <si>
    <t>2021-07-13</t>
  </si>
  <si>
    <t>2023-02-07</t>
  </si>
  <si>
    <t>2019-05-06</t>
  </si>
  <si>
    <t>2006-06-02</t>
  </si>
  <si>
    <t>2018-01-12</t>
  </si>
  <si>
    <t>2014-07-02</t>
  </si>
  <si>
    <t>2021-01-16</t>
  </si>
  <si>
    <t>2017-06-23</t>
  </si>
  <si>
    <t>2016-09-05</t>
  </si>
  <si>
    <t>2018-10-30</t>
  </si>
  <si>
    <t>2020-05-12</t>
  </si>
  <si>
    <t>2018-08-25</t>
  </si>
  <si>
    <t>2017-06-29</t>
  </si>
  <si>
    <t>2017-11-15</t>
  </si>
  <si>
    <t>2015-06-08</t>
  </si>
  <si>
    <t>2025-12-26</t>
  </si>
  <si>
    <t>2018-02-05</t>
  </si>
  <si>
    <t>2017-12-26</t>
  </si>
  <si>
    <t>2022-10-25</t>
  </si>
  <si>
    <t>2012-06-20</t>
  </si>
  <si>
    <t>2016-07-12</t>
  </si>
  <si>
    <t>2008-12-04</t>
  </si>
  <si>
    <t>2017-09-04</t>
  </si>
  <si>
    <t>2018-01-18</t>
  </si>
  <si>
    <t>2020-02-09</t>
  </si>
  <si>
    <t>2022-08-25</t>
  </si>
  <si>
    <t>2026-01-19</t>
  </si>
  <si>
    <t>2018-09-28</t>
  </si>
  <si>
    <t>2020-07-21</t>
  </si>
  <si>
    <t>2024-11-15</t>
  </si>
  <si>
    <t>2018-08-13</t>
  </si>
  <si>
    <t>2022-07-14</t>
  </si>
  <si>
    <t>2021-01-18</t>
  </si>
  <si>
    <t>2017-07-17</t>
  </si>
  <si>
    <t>2018-09-17</t>
  </si>
  <si>
    <t>2006-07-06</t>
  </si>
  <si>
    <t>2009-12-11</t>
  </si>
  <si>
    <t>2006-06-11</t>
  </si>
  <si>
    <t>2022-12-26</t>
  </si>
  <si>
    <t>2018-03-28</t>
  </si>
  <si>
    <t>2016-04-05</t>
  </si>
  <si>
    <t>2020-04-29</t>
  </si>
  <si>
    <t>2022-01-07</t>
  </si>
  <si>
    <t>2014-12-30</t>
  </si>
  <si>
    <t>2018-04-10</t>
  </si>
  <si>
    <t>2019-11-07</t>
  </si>
  <si>
    <t>2023-04-14</t>
  </si>
  <si>
    <t>2019-05-08</t>
  </si>
  <si>
    <t>2024-11-08</t>
  </si>
  <si>
    <t>2022-07-01</t>
  </si>
  <si>
    <t>2023-10-20</t>
  </si>
  <si>
    <t>2018-08-14</t>
  </si>
  <si>
    <t>2013-12-13</t>
  </si>
  <si>
    <t>2013-04-11</t>
  </si>
  <si>
    <t>2023-04-27</t>
  </si>
  <si>
    <t>2021-05-27</t>
  </si>
  <si>
    <t>2018-10-06</t>
  </si>
  <si>
    <t>2021-01-15</t>
  </si>
  <si>
    <t>2018-07-30</t>
  </si>
  <si>
    <t>2017-07-31</t>
  </si>
  <si>
    <t>2018-06-22</t>
  </si>
  <si>
    <t>2021-12-17</t>
  </si>
  <si>
    <t>2017-08-29</t>
  </si>
  <si>
    <t>2016-06-07</t>
  </si>
  <si>
    <t>2018-02-12</t>
  </si>
  <si>
    <t>2017-08-25</t>
  </si>
  <si>
    <t>2025-07-13</t>
  </si>
  <si>
    <t>2018-12-12</t>
  </si>
  <si>
    <t>2021-12-20</t>
  </si>
  <si>
    <t>2021-04-04</t>
  </si>
  <si>
    <t>2016-02-03</t>
  </si>
  <si>
    <t>2024-10-13</t>
  </si>
  <si>
    <t>2020-10-23</t>
  </si>
  <si>
    <t>2015-09-22</t>
  </si>
  <si>
    <t>2020-07-22</t>
  </si>
  <si>
    <t>2019-11-20</t>
  </si>
  <si>
    <t>2024-11-27</t>
  </si>
  <si>
    <t>2025-04-30</t>
  </si>
  <si>
    <t>2018-05-27</t>
  </si>
  <si>
    <t>2025-04-09</t>
  </si>
  <si>
    <t>2019-07-25</t>
  </si>
  <si>
    <t>2021-07-24</t>
  </si>
  <si>
    <t>2018-03-02</t>
  </si>
  <si>
    <t>2021-11-08</t>
  </si>
  <si>
    <t>2007-04-18</t>
  </si>
  <si>
    <t>2020-08-10</t>
    <phoneticPr fontId="6" type="noConversion"/>
  </si>
  <si>
    <t>2045-04-01</t>
  </si>
  <si>
    <t>2046-01-06</t>
  </si>
  <si>
    <t>2046-03-13</t>
  </si>
  <si>
    <t>2045-12-26</t>
  </si>
  <si>
    <t>2031-01-18</t>
  </si>
  <si>
    <t>2045-12-22</t>
  </si>
  <si>
    <t>2041-11-08</t>
  </si>
  <si>
    <t>陈娥</t>
    <phoneticPr fontId="6" type="noConversion"/>
  </si>
  <si>
    <t>陈顺忠</t>
    <phoneticPr fontId="6" type="noConversion"/>
  </si>
  <si>
    <t>100581201005001455</t>
    <phoneticPr fontId="6" type="noConversion"/>
  </si>
  <si>
    <t>昆明铁路机械学校</t>
    <phoneticPr fontId="6" type="noConversion"/>
  </si>
  <si>
    <t>昆明机械技工学校</t>
  </si>
  <si>
    <t>云南省机械技工学校</t>
    <phoneticPr fontId="6" type="noConversion"/>
  </si>
  <si>
    <t>东川劳务局技工学校</t>
  </si>
  <si>
    <t>大理大学</t>
    <phoneticPr fontId="6" type="noConversion"/>
  </si>
  <si>
    <t xml:space="preserve">昆明工业职业技术学院		</t>
    <phoneticPr fontId="6" type="noConversion"/>
  </si>
  <si>
    <t>昆明铁路技校学校</t>
    <phoneticPr fontId="6" type="noConversion"/>
  </si>
  <si>
    <t>楚雄州高级技工学校</t>
  </si>
  <si>
    <t>106915202405001838</t>
  </si>
  <si>
    <t>137561201306001716</t>
  </si>
  <si>
    <t>106761202405004906</t>
  </si>
  <si>
    <t>102201202205001351</t>
  </si>
  <si>
    <t>137571202406001087</t>
  </si>
  <si>
    <t>104597201905511660</t>
  </si>
  <si>
    <t>N0.P00070576</t>
  </si>
  <si>
    <t>137561201406000938</t>
  </si>
  <si>
    <t>103501202005003392</t>
  </si>
  <si>
    <t>101121201905000343</t>
  </si>
  <si>
    <t>139951201405001441</t>
  </si>
  <si>
    <t>105611201905000027</t>
  </si>
  <si>
    <t>106741202305004415</t>
  </si>
  <si>
    <t>137571202406000226</t>
  </si>
  <si>
    <t>93000012</t>
  </si>
  <si>
    <t>137571202006003282</t>
  </si>
  <si>
    <t>123571202406005788</t>
  </si>
  <si>
    <t>123571202406005790</t>
  </si>
  <si>
    <t>10145122005003973</t>
  </si>
  <si>
    <t>106761200605000348</t>
  </si>
  <si>
    <t>1375711201806001244</t>
  </si>
  <si>
    <t>106741202305006441</t>
  </si>
  <si>
    <t>10287120220505136</t>
  </si>
  <si>
    <t>137571202506003082</t>
  </si>
  <si>
    <t>511615201606969362</t>
  </si>
  <si>
    <t>123571202506006035</t>
  </si>
  <si>
    <t>102131202005001666</t>
  </si>
  <si>
    <t>145841202506120221</t>
  </si>
  <si>
    <t>104331202205204825</t>
  </si>
  <si>
    <t>125601202105709456</t>
  </si>
  <si>
    <t>104231202205001961</t>
  </si>
  <si>
    <t>123571202506006034</t>
  </si>
  <si>
    <t>123571202506006440</t>
  </si>
  <si>
    <t>137571202406003224</t>
  </si>
  <si>
    <t>106731201605000731</t>
  </si>
  <si>
    <t>20135301023003301131</t>
  </si>
  <si>
    <t>106891202405000451</t>
  </si>
  <si>
    <t>1375752011060000013</t>
  </si>
  <si>
    <t>101431202505001156</t>
  </si>
  <si>
    <t>137571202406000208</t>
  </si>
  <si>
    <t>103071202105000904</t>
  </si>
  <si>
    <t>9982203</t>
  </si>
  <si>
    <t>137571202006000025</t>
  </si>
  <si>
    <t>103591202005000554</t>
  </si>
  <si>
    <t>结业证106141202205004455</t>
  </si>
  <si>
    <t>105321202105002080</t>
  </si>
  <si>
    <t>13571202406000623</t>
  </si>
  <si>
    <t>10287120105050284</t>
  </si>
  <si>
    <t>106741201605004446</t>
  </si>
  <si>
    <t>320210004878</t>
  </si>
  <si>
    <t>137571202406001068</t>
  </si>
  <si>
    <t>103451202205001499</t>
  </si>
  <si>
    <t>5300112016301160023</t>
  </si>
  <si>
    <t>105321202305005765</t>
  </si>
  <si>
    <t>106181201705001755</t>
  </si>
  <si>
    <t>92202</t>
  </si>
  <si>
    <t>97033</t>
  </si>
  <si>
    <t>10641202505000917</t>
  </si>
  <si>
    <t>106761202405005280</t>
  </si>
  <si>
    <t>137571202506002639</t>
  </si>
  <si>
    <t>106775202405004007</t>
  </si>
  <si>
    <t>137571202406000686</t>
  </si>
  <si>
    <t>106741202005001260</t>
  </si>
  <si>
    <t>102871202305030166</t>
  </si>
  <si>
    <t>123571202506006071</t>
  </si>
  <si>
    <t>中技证字第91536号</t>
  </si>
  <si>
    <t>146211202506003981</t>
  </si>
  <si>
    <t>95080</t>
  </si>
  <si>
    <t>104911202405344526</t>
  </si>
  <si>
    <t>123931201306001741</t>
  </si>
  <si>
    <t>123571202506006444</t>
  </si>
  <si>
    <t>102871202405050476</t>
  </si>
  <si>
    <t>106741202005003946</t>
  </si>
  <si>
    <t>20193653000107300575</t>
  </si>
  <si>
    <t>中技证字第91549号</t>
  </si>
  <si>
    <t>102871202502101574</t>
  </si>
  <si>
    <t>5331122017301060051</t>
  </si>
  <si>
    <t>137571202506001535</t>
  </si>
  <si>
    <t>65500105162002190</t>
  </si>
  <si>
    <t>125601202305661647</t>
  </si>
  <si>
    <t>161286168</t>
  </si>
  <si>
    <t>101831201005005755</t>
  </si>
  <si>
    <t>107001202102300839</t>
  </si>
  <si>
    <t>106131201905008679</t>
  </si>
  <si>
    <t>106741201802000368</t>
  </si>
  <si>
    <t>106111202405001710</t>
  </si>
  <si>
    <t>8941272</t>
  </si>
  <si>
    <t>102981202205000764</t>
  </si>
  <si>
    <t>102911202305003257</t>
  </si>
  <si>
    <t>9050005486</t>
  </si>
  <si>
    <t>20115303029001705325</t>
  </si>
  <si>
    <t>104971202105572639</t>
  </si>
  <si>
    <t>137571202506002799</t>
  </si>
  <si>
    <t>137561201306000453</t>
  </si>
  <si>
    <t>104911202105271833</t>
  </si>
  <si>
    <t>137571201006000633</t>
    <phoneticPr fontId="6" type="noConversion"/>
  </si>
  <si>
    <t>137561201406000428</t>
    <phoneticPr fontId="6" type="noConversion"/>
  </si>
  <si>
    <t>1067642024004906</t>
  </si>
  <si>
    <t>1022042022001351</t>
  </si>
  <si>
    <t>1011242019010343</t>
  </si>
  <si>
    <t>104034043917</t>
  </si>
  <si>
    <t>1399542014000596</t>
  </si>
  <si>
    <t>1056142019000027</t>
  </si>
  <si>
    <t>1040342017000216</t>
  </si>
  <si>
    <t>1067442023104415</t>
  </si>
  <si>
    <t>英语四级未过，未取得学位证</t>
  </si>
  <si>
    <t>1014542020004158</t>
  </si>
  <si>
    <t>1028742022050136</t>
  </si>
  <si>
    <t>1021342020001666</t>
  </si>
  <si>
    <t>1043342022822845</t>
  </si>
  <si>
    <t>1256042021900414</t>
  </si>
  <si>
    <t>1042342022001961</t>
  </si>
  <si>
    <t>1067342016908595</t>
  </si>
  <si>
    <t>1068942024900451</t>
  </si>
  <si>
    <t>1014342025101156</t>
  </si>
  <si>
    <t>1030742021000904</t>
  </si>
  <si>
    <t>1053242021000386</t>
  </si>
  <si>
    <t>1028742019050284</t>
  </si>
  <si>
    <t>00052509</t>
  </si>
  <si>
    <t>1034542022001499</t>
  </si>
  <si>
    <t>1131142014001899</t>
  </si>
  <si>
    <t>1053242023005896</t>
  </si>
  <si>
    <t>1003642014004022</t>
  </si>
  <si>
    <t>1061442025000917</t>
  </si>
  <si>
    <t>1067432007000685</t>
  </si>
  <si>
    <t>1067442020101260</t>
  </si>
  <si>
    <t>1028742023030166</t>
  </si>
  <si>
    <t>1049142024080613</t>
  </si>
  <si>
    <t>1028742024050476</t>
  </si>
  <si>
    <t>1028732025100953</t>
  </si>
  <si>
    <t>120230247306</t>
  </si>
  <si>
    <t>1040842016001399</t>
  </si>
  <si>
    <t>1018342011P12793</t>
  </si>
  <si>
    <t>1070032021000973</t>
  </si>
  <si>
    <t>1051142024241710</t>
  </si>
  <si>
    <t>1029842022000764</t>
  </si>
  <si>
    <t>1049742021039008</t>
  </si>
  <si>
    <t>10288902</t>
  </si>
  <si>
    <t>1049142021027115</t>
  </si>
  <si>
    <t>985、211</t>
    <phoneticPr fontId="6" type="noConversion"/>
  </si>
  <si>
    <t>2006-11-15</t>
  </si>
  <si>
    <t>2014-05-05</t>
  </si>
  <si>
    <t>2011-06-08</t>
  </si>
  <si>
    <t>2023-08-17</t>
  </si>
  <si>
    <t>2022-03-16</t>
  </si>
  <si>
    <t>2023-01-05</t>
  </si>
  <si>
    <t>2022-08-05</t>
  </si>
  <si>
    <t>2018-08-04</t>
  </si>
  <si>
    <t>2024-10-06</t>
  </si>
  <si>
    <t>2015-02-20</t>
  </si>
  <si>
    <t>2025-01-02</t>
  </si>
  <si>
    <t>2025-11-20</t>
  </si>
  <si>
    <t>2010-08-11</t>
  </si>
  <si>
    <t>2024-07-31</t>
  </si>
  <si>
    <t>2021-12-21</t>
  </si>
  <si>
    <t>2016-07-31</t>
  </si>
  <si>
    <t>2015-03-16</t>
  </si>
  <si>
    <t>2010-11-01</t>
  </si>
  <si>
    <t>2014-01-15</t>
  </si>
  <si>
    <t>2022-04-23</t>
  </si>
  <si>
    <t>2014-07-04</t>
  </si>
  <si>
    <t>工作任务完成时</t>
  </si>
  <si>
    <t>2017-09-19</t>
  </si>
  <si>
    <t>2017-01-06</t>
  </si>
  <si>
    <t>2013-11-27</t>
  </si>
  <si>
    <t>2024-08-20</t>
  </si>
  <si>
    <t>2011-02-28</t>
  </si>
  <si>
    <t>2015-03-31</t>
  </si>
  <si>
    <t>2010-11-06</t>
  </si>
  <si>
    <t>2017-01-03</t>
  </si>
  <si>
    <t>2015-02-23</t>
  </si>
  <si>
    <t>2016-04-30</t>
  </si>
  <si>
    <t>2012-05-12</t>
  </si>
  <si>
    <t>2014-01-23</t>
  </si>
  <si>
    <t>2011-01-24</t>
  </si>
  <si>
    <t>2019-06-04</t>
  </si>
  <si>
    <t>2020-03-17</t>
  </si>
  <si>
    <t>2013-11-09</t>
  </si>
  <si>
    <t>2015-07-31</t>
  </si>
  <si>
    <t>2027-03-15</t>
  </si>
  <si>
    <t>2018-11-16</t>
  </si>
  <si>
    <t>2014-11-10</t>
  </si>
  <si>
    <t>2019-08-01</t>
  </si>
  <si>
    <t>2019-08-15</t>
  </si>
  <si>
    <t>2015-04-23</t>
  </si>
  <si>
    <t>2020-03-05</t>
  </si>
  <si>
    <t>2025-04-22</t>
  </si>
  <si>
    <t>2022-07-05</t>
  </si>
  <si>
    <t>2018-07-31</t>
  </si>
  <si>
    <t>2024-06-24</t>
  </si>
  <si>
    <t>2020-03-20</t>
  </si>
  <si>
    <t>2024-08-07</t>
  </si>
  <si>
    <t>2025-05-12</t>
  </si>
  <si>
    <t>2024-09-20</t>
  </si>
  <si>
    <t>2013-05-31</t>
  </si>
  <si>
    <t>2018-03-19</t>
  </si>
  <si>
    <t>2018-11-12</t>
  </si>
  <si>
    <t>2022-04-18</t>
  </si>
  <si>
    <t>2024-01-05</t>
  </si>
  <si>
    <t>2016-05-19</t>
  </si>
  <si>
    <t>2025-03-17</t>
  </si>
  <si>
    <t>2021-01-05</t>
  </si>
  <si>
    <t>2020-07-09</t>
  </si>
  <si>
    <t>2024-04-30</t>
  </si>
  <si>
    <t>2019-11-04</t>
  </si>
  <si>
    <t>2025-05-05</t>
  </si>
  <si>
    <t>2024-12-06</t>
  </si>
  <si>
    <t>2023-04-06</t>
  </si>
  <si>
    <t>2025-10-13</t>
  </si>
  <si>
    <t>2013-10-22</t>
  </si>
  <si>
    <t>2015-05-04</t>
  </si>
  <si>
    <t>2013-06-07</t>
  </si>
  <si>
    <t>2020-10-22</t>
  </si>
  <si>
    <t>2019-07-31</t>
  </si>
  <si>
    <t>2015-03-03</t>
  </si>
  <si>
    <t>2014-03-11</t>
  </si>
  <si>
    <t>2023-05-12</t>
  </si>
  <si>
    <t>2015-12-01</t>
  </si>
  <si>
    <t>2023-04-05</t>
  </si>
  <si>
    <t>2018-09-15</t>
  </si>
  <si>
    <t>2024-06-13</t>
  </si>
  <si>
    <t>2023-10-31</t>
  </si>
  <si>
    <t>2021-10-11</t>
  </si>
  <si>
    <t>2025-09-03</t>
  </si>
  <si>
    <t>2022-11-08</t>
  </si>
  <si>
    <t>2021-05-21</t>
  </si>
  <si>
    <t>2023-04-12</t>
  </si>
  <si>
    <t>2024-10-11</t>
  </si>
  <si>
    <t>2022-06-06</t>
  </si>
  <si>
    <t>2012-05-15</t>
  </si>
  <si>
    <t>2026-02-04</t>
  </si>
  <si>
    <t>2025-10-21</t>
  </si>
  <si>
    <t>2009-10-31</t>
  </si>
  <si>
    <t>2024-04-18</t>
  </si>
  <si>
    <t>劳动合同</t>
  </si>
  <si>
    <t>朱俊</t>
    <phoneticPr fontId="6" type="noConversion"/>
  </si>
  <si>
    <t>2023-04-01</t>
    <phoneticPr fontId="6" type="noConversion"/>
  </si>
  <si>
    <t>2030-04-30</t>
    <phoneticPr fontId="6" type="noConversion"/>
  </si>
  <si>
    <t>2022-03-17</t>
  </si>
  <si>
    <t>2022-08-06</t>
  </si>
  <si>
    <t>2018-08-05</t>
  </si>
  <si>
    <t>2015-02-21</t>
  </si>
  <si>
    <t>2010-08-12</t>
  </si>
  <si>
    <t>2021-12-22</t>
  </si>
  <si>
    <t>2015-03-17</t>
  </si>
  <si>
    <t>2010-11-02</t>
  </si>
  <si>
    <t>2014-01-16</t>
  </si>
  <si>
    <t>2022-04-24</t>
  </si>
  <si>
    <t>2017-05-25</t>
  </si>
  <si>
    <t>2014-07-05</t>
  </si>
  <si>
    <t>2017-09-20</t>
  </si>
  <si>
    <t>2017-01-07</t>
  </si>
  <si>
    <t>2026-04-14</t>
  </si>
  <si>
    <t>2013-11-28</t>
  </si>
  <si>
    <t>2015-04-01</t>
  </si>
  <si>
    <t>2010-11-07</t>
  </si>
  <si>
    <t>2017-01-04</t>
  </si>
  <si>
    <t>2015-02-24</t>
  </si>
  <si>
    <t>2016-05-01</t>
  </si>
  <si>
    <t>2017-08-01</t>
  </si>
  <si>
    <t>2012-05-13</t>
  </si>
  <si>
    <t>2011-01-25</t>
  </si>
  <si>
    <t>2021-04-20</t>
  </si>
  <si>
    <t>2019-06-05</t>
  </si>
  <si>
    <t>2020-03-18</t>
  </si>
  <si>
    <t>2013-11-10</t>
  </si>
  <si>
    <t>2015-08-01</t>
  </si>
  <si>
    <t>2018-11-17</t>
  </si>
  <si>
    <t>2014-11-11</t>
  </si>
  <si>
    <t>2019-08-16</t>
  </si>
  <si>
    <t>2015-04-24</t>
  </si>
  <si>
    <t>2016-07-02</t>
  </si>
  <si>
    <t>2020-03-06</t>
  </si>
  <si>
    <t>2026-03-24</t>
  </si>
  <si>
    <t>2022-07-06</t>
  </si>
  <si>
    <t>2023-03-10</t>
  </si>
  <si>
    <t>2020-03-21</t>
  </si>
  <si>
    <t>2009-06-02</t>
  </si>
  <si>
    <t>2018-03-20</t>
  </si>
  <si>
    <t>2018-11-13</t>
  </si>
  <si>
    <t>2022-04-19</t>
  </si>
  <si>
    <t>2016-05-20</t>
  </si>
  <si>
    <t>2021-01-06</t>
  </si>
  <si>
    <t>2019-05-07</t>
  </si>
  <si>
    <t>2019-11-05</t>
  </si>
  <si>
    <t>2025-03-07</t>
  </si>
  <si>
    <t>2023-04-07</t>
  </si>
  <si>
    <t>2013-10-23</t>
  </si>
  <si>
    <t>2015-05-05</t>
  </si>
  <si>
    <t>2013-06-08</t>
  </si>
  <si>
    <t>2015-03-04</t>
  </si>
  <si>
    <t>2014-03-12</t>
  </si>
  <si>
    <t>2023-05-13</t>
  </si>
  <si>
    <t>2015-12-02</t>
  </si>
  <si>
    <t>2018-09-16</t>
  </si>
  <si>
    <t>2023-11-01</t>
  </si>
  <si>
    <t>2022-07-12</t>
  </si>
  <si>
    <t>2021-10-12</t>
  </si>
  <si>
    <t>2022-11-09</t>
  </si>
  <si>
    <t>2021-05-22</t>
  </si>
  <si>
    <t>2023-04-13</t>
  </si>
  <si>
    <t>2022-06-07</t>
  </si>
  <si>
    <t>2012-05-16</t>
  </si>
  <si>
    <t>2009-11-01</t>
  </si>
  <si>
    <t>2026-04-10</t>
  </si>
  <si>
    <t>2021-08-04</t>
  </si>
  <si>
    <t>2013-08-11</t>
  </si>
  <si>
    <t>2021-07-30</t>
  </si>
  <si>
    <t>2020-07-31</t>
  </si>
  <si>
    <t>2015-10-31</t>
  </si>
  <si>
    <t>2019-01-15</t>
  </si>
  <si>
    <t>2017-12-31</t>
  </si>
  <si>
    <t>2016-11-27</t>
  </si>
  <si>
    <t>2014-02-28</t>
  </si>
  <si>
    <t>2019-04-30</t>
  </si>
  <si>
    <t>2017-05-12</t>
  </si>
  <si>
    <t>2017-01-23</t>
  </si>
  <si>
    <t>2023-07-31</t>
  </si>
  <si>
    <t>2015-11-09</t>
  </si>
  <si>
    <t>2019-07-30</t>
  </si>
  <si>
    <t>2029-03-31</t>
  </si>
  <si>
    <t>2023-04-30</t>
  </si>
  <si>
    <t>2014-06-01</t>
  </si>
  <si>
    <t>2016-05-31</t>
  </si>
  <si>
    <t>2021-07-31</t>
  </si>
  <si>
    <t>2019-05-18</t>
  </si>
  <si>
    <t>2022-04-30</t>
  </si>
  <si>
    <t>2016-10-22</t>
  </si>
  <si>
    <t>2015-05-12</t>
  </si>
  <si>
    <t>2018-06-07</t>
  </si>
  <si>
    <t>2018-04-30</t>
  </si>
  <si>
    <t>2016-03-11</t>
  </si>
  <si>
    <t>2025-06-13</t>
  </si>
  <si>
    <t>2015-06-30</t>
  </si>
  <si>
    <t>2017-05-15</t>
  </si>
  <si>
    <t>2011-10-31</t>
  </si>
  <si>
    <t>赵天宇</t>
    <phoneticPr fontId="6" type="noConversion"/>
  </si>
  <si>
    <t>2</t>
    <phoneticPr fontId="6" type="noConversion"/>
  </si>
  <si>
    <t>2011-11-01</t>
  </si>
  <si>
    <t>2013-08-12</t>
  </si>
  <si>
    <t>2014-06-02</t>
  </si>
  <si>
    <t>2015-11-01</t>
  </si>
  <si>
    <t>2015-11-10</t>
  </si>
  <si>
    <t>2016-03-12</t>
  </si>
  <si>
    <t>2016-06-01</t>
  </si>
  <si>
    <t>2016-10-23</t>
  </si>
  <si>
    <t>2016-11-28</t>
  </si>
  <si>
    <t>2017-01-24</t>
  </si>
  <si>
    <t>2017-05-13</t>
  </si>
  <si>
    <t>2017-05-16</t>
  </si>
  <si>
    <t>2017-07-06</t>
  </si>
  <si>
    <t>2018-01-01</t>
  </si>
  <si>
    <t>2018-05-01</t>
  </si>
  <si>
    <t>2018-06-08</t>
  </si>
  <si>
    <t>2018-11-06</t>
  </si>
  <si>
    <t>2019-01-16</t>
  </si>
  <si>
    <t>2019-05-01</t>
  </si>
  <si>
    <t>2019-05-19</t>
  </si>
  <si>
    <t>2021-08-05</t>
  </si>
  <si>
    <t>2022-04-20</t>
  </si>
  <si>
    <t>2022-05-01</t>
  </si>
  <si>
    <t>2022-08-01</t>
  </si>
  <si>
    <t>2023-05-01</t>
  </si>
  <si>
    <t>2017-08-10</t>
  </si>
  <si>
    <t>2019-02-28</t>
  </si>
  <si>
    <t>2019-03-11</t>
  </si>
  <si>
    <t>2018-05-31</t>
  </si>
  <si>
    <t>3</t>
    <phoneticPr fontId="6" type="noConversion"/>
  </si>
  <si>
    <t>4</t>
    <phoneticPr fontId="6" type="noConversion"/>
  </si>
  <si>
    <t>2015-06-02</t>
  </si>
  <si>
    <t>2017-08-11</t>
  </si>
  <si>
    <t>2019-03-12</t>
  </si>
  <si>
    <t>5</t>
    <phoneticPr fontId="6" type="noConversion"/>
  </si>
  <si>
    <t>2019-03-02</t>
  </si>
  <si>
    <t>2026-02-28</t>
  </si>
  <si>
    <t>6</t>
    <phoneticPr fontId="6" type="noConversion"/>
  </si>
  <si>
    <t>2020-03-02</t>
  </si>
  <si>
    <t>杨渌涵</t>
    <phoneticPr fontId="6" type="noConversion"/>
  </si>
  <si>
    <t>2022-03-01</t>
  </si>
  <si>
    <t>7</t>
    <phoneticPr fontId="6" type="noConversion"/>
  </si>
  <si>
    <t>2022-03-02</t>
  </si>
  <si>
    <t>8</t>
    <phoneticPr fontId="6" type="noConversion"/>
  </si>
  <si>
    <t>2023-08-01</t>
    <phoneticPr fontId="6" type="noConversion"/>
  </si>
  <si>
    <t>2024-07-31</t>
    <phoneticPr fontId="6" type="noConversion"/>
  </si>
  <si>
    <t>9</t>
    <phoneticPr fontId="6" type="noConversion"/>
  </si>
  <si>
    <t>2024-08-01</t>
    <phoneticPr fontId="6" type="noConversion"/>
  </si>
  <si>
    <t>2025-07-31</t>
    <phoneticPr fontId="6" type="noConversion"/>
  </si>
  <si>
    <t>10</t>
    <phoneticPr fontId="6" type="noConversion"/>
  </si>
  <si>
    <t>2025-08-01</t>
    <phoneticPr fontId="6" type="noConversion"/>
  </si>
  <si>
    <t>2026-07-31</t>
    <phoneticPr fontId="6" type="noConversion"/>
  </si>
  <si>
    <t>证件号</t>
  </si>
  <si>
    <t>+86 15096954574</t>
  </si>
  <si>
    <t>+86 18314340264</t>
  </si>
  <si>
    <t>+86 18213161608</t>
  </si>
  <si>
    <t>+86 15911640061</t>
  </si>
  <si>
    <t>+86 18669110354</t>
  </si>
  <si>
    <t>+86 19912790649</t>
  </si>
  <si>
    <t>+86 15126630791</t>
  </si>
  <si>
    <t>+86 13099992915</t>
  </si>
  <si>
    <t>+86 17860828785</t>
  </si>
  <si>
    <t>+86 13669702096</t>
  </si>
  <si>
    <t>+86 18064846354</t>
  </si>
  <si>
    <t>+86 18508866030</t>
  </si>
  <si>
    <t>+86 18222763276</t>
  </si>
  <si>
    <t>+86 15908774194</t>
  </si>
  <si>
    <t>+86 18313556374</t>
  </si>
  <si>
    <t>+86 13678714626</t>
  </si>
  <si>
    <t>+86 18206864823</t>
  </si>
  <si>
    <t>+86 13013426531</t>
  </si>
  <si>
    <t>+86 14708752902</t>
  </si>
  <si>
    <t>+86 17363994872</t>
  </si>
  <si>
    <t>+86 19387023362</t>
  </si>
  <si>
    <t>+86 15087524701</t>
  </si>
  <si>
    <t>+86 18213858731</t>
  </si>
  <si>
    <t>+86 19869311718</t>
  </si>
  <si>
    <t>+86 15096946818</t>
  </si>
  <si>
    <t>+86 18213479894</t>
  </si>
  <si>
    <t>+86 17787192081</t>
  </si>
  <si>
    <t>+86 17869826436</t>
  </si>
  <si>
    <t>+86 18288594645</t>
  </si>
  <si>
    <t>+86 15559781500</t>
  </si>
  <si>
    <t>+86 18308782151</t>
  </si>
  <si>
    <t>+86 15388718958</t>
  </si>
  <si>
    <t>+86 18742511774</t>
  </si>
  <si>
    <t>+86 13759495595</t>
  </si>
  <si>
    <t>+86 18235105613</t>
  </si>
  <si>
    <t>+86 18292007359</t>
  </si>
  <si>
    <t>+86 18308645467</t>
  </si>
  <si>
    <t>+86 15912122526</t>
  </si>
  <si>
    <t>+86 13888123737</t>
  </si>
  <si>
    <t>+86 13668764510</t>
  </si>
  <si>
    <t>+86 15825298230</t>
  </si>
  <si>
    <t>+86 15812019968</t>
  </si>
  <si>
    <t>+86 13888758653</t>
  </si>
  <si>
    <t>+86 15287575930</t>
  </si>
  <si>
    <t>+86 15770322134</t>
  </si>
  <si>
    <t>+86 13330581351</t>
  </si>
  <si>
    <t>+86 15645071582</t>
  </si>
  <si>
    <t>+86 18314452550</t>
  </si>
  <si>
    <t>+86 15111380386</t>
  </si>
  <si>
    <t>+86 15987862520</t>
  </si>
  <si>
    <t>+86 18083875869</t>
  </si>
  <si>
    <t>+86 15288485330</t>
  </si>
  <si>
    <t>+86 15887410346</t>
  </si>
  <si>
    <t>+86 13529124326</t>
  </si>
  <si>
    <t>+86 15894536994</t>
  </si>
  <si>
    <t>+86 15825255676</t>
  </si>
  <si>
    <t>+86 18213754719</t>
  </si>
  <si>
    <t>+86 19526653165</t>
  </si>
  <si>
    <t>+86 18221309063</t>
  </si>
  <si>
    <t>+86 15187000768</t>
  </si>
  <si>
    <t>+86 13033353220</t>
  </si>
  <si>
    <t>+86 16687349278</t>
  </si>
  <si>
    <t>+86 15887300039</t>
  </si>
  <si>
    <t>+86 18581572162</t>
  </si>
  <si>
    <t>+86 19188524454</t>
  </si>
  <si>
    <t>+86 15287457500</t>
  </si>
  <si>
    <t>+86 18187706276</t>
  </si>
  <si>
    <t>+86 18787445512</t>
  </si>
  <si>
    <t>+86 15887121736</t>
  </si>
  <si>
    <t>+86 18860956606</t>
  </si>
  <si>
    <t>+86 13971649573</t>
  </si>
  <si>
    <t>+86 13705176098</t>
  </si>
  <si>
    <t>+86 15125061349</t>
  </si>
  <si>
    <t>+86 15198957263</t>
  </si>
  <si>
    <t>+86 15288289657</t>
  </si>
  <si>
    <t>+86 15198875935</t>
  </si>
  <si>
    <t>+86 18588471698</t>
  </si>
  <si>
    <t>+86 15187464325</t>
  </si>
  <si>
    <t>+86 18314403284</t>
  </si>
  <si>
    <t>+86 17787276870</t>
  </si>
  <si>
    <t>+86 17608926397</t>
  </si>
  <si>
    <t>+86 18082903252</t>
  </si>
  <si>
    <t>+86 15887820832</t>
  </si>
  <si>
    <t>+86 18314531325</t>
  </si>
  <si>
    <t>+86 15502925583</t>
  </si>
  <si>
    <t>+86 18313714737</t>
  </si>
  <si>
    <t>+86 19987738074</t>
  </si>
  <si>
    <t>+86 13629669484</t>
  </si>
  <si>
    <t>+86 18687134828</t>
  </si>
  <si>
    <t>+86 18314402873</t>
  </si>
  <si>
    <t>+86 18313173437</t>
  </si>
  <si>
    <t>+86 18008745845</t>
  </si>
  <si>
    <t>+86 17787121603</t>
  </si>
  <si>
    <t>+86 13312509083</t>
  </si>
  <si>
    <t>+86 13888484716</t>
  </si>
  <si>
    <t>+86 18487102810</t>
  </si>
  <si>
    <t>+86 17358660213</t>
  </si>
  <si>
    <t>+86 18987358190</t>
  </si>
  <si>
    <t>+86 18890051077</t>
  </si>
  <si>
    <t>+86 18398631201</t>
  </si>
  <si>
    <t>+86 18324735316</t>
  </si>
  <si>
    <t>+86 18787081626</t>
  </si>
  <si>
    <t>+86 15683100151</t>
  </si>
  <si>
    <t>+86 15877995491</t>
  </si>
  <si>
    <t>+86 15812027534</t>
  </si>
  <si>
    <t>+86 15126188306</t>
  </si>
  <si>
    <t>+86 18725060129</t>
  </si>
  <si>
    <t>+86 15398544803</t>
  </si>
  <si>
    <t>+86 13477057646</t>
  </si>
  <si>
    <t>+86 13099910170</t>
  </si>
  <si>
    <t>+86 13099420515</t>
  </si>
  <si>
    <t>+86 13708807976</t>
  </si>
  <si>
    <t>+86 15798739275</t>
  </si>
  <si>
    <t>+86 13888025668</t>
  </si>
  <si>
    <t>+86 18589358091</t>
  </si>
  <si>
    <t>+86 18213427417</t>
  </si>
  <si>
    <t>+86 18213500417</t>
  </si>
  <si>
    <t>+86 18869702746</t>
  </si>
  <si>
    <t>+86 18725182834</t>
  </si>
  <si>
    <t>+86 13888996850</t>
  </si>
  <si>
    <t>+86 13708709425</t>
  </si>
  <si>
    <t>+86 15288355581</t>
  </si>
  <si>
    <t>+86 18589378281</t>
  </si>
  <si>
    <t>+86 18669017035</t>
  </si>
  <si>
    <t>+86 13808750320</t>
  </si>
  <si>
    <t>+86 15311557331</t>
  </si>
  <si>
    <t>+86 18087364637</t>
  </si>
  <si>
    <t>+86 13476428527</t>
  </si>
  <si>
    <t>+86 18214608082</t>
  </si>
  <si>
    <t>+86 18687826937</t>
  </si>
  <si>
    <t>+86 18388407640</t>
  </si>
  <si>
    <t>+86 18214377518</t>
  </si>
  <si>
    <t>+86 18687468861</t>
  </si>
  <si>
    <t>+86 17687006907</t>
  </si>
  <si>
    <t>+86 15288484919</t>
  </si>
  <si>
    <t>+86 15925156455</t>
  </si>
  <si>
    <t>+86 13888855421</t>
  </si>
  <si>
    <t>+86 13678706283</t>
  </si>
  <si>
    <t>+86 18208700152</t>
  </si>
  <si>
    <t>+86 15812139652</t>
  </si>
  <si>
    <t>+86 18183848671</t>
  </si>
  <si>
    <t>+86 15887124706</t>
  </si>
  <si>
    <t>+86 13619662979</t>
  </si>
  <si>
    <t>+86 18725170232</t>
  </si>
  <si>
    <t>+86 15288498483</t>
  </si>
  <si>
    <t>+86 18725447139</t>
  </si>
  <si>
    <t>+86 18314533574</t>
  </si>
  <si>
    <t>+86 13529148300</t>
  </si>
  <si>
    <t>+86 13888756214</t>
  </si>
  <si>
    <t>+86 15087159335</t>
  </si>
  <si>
    <t>+86 19528716440</t>
  </si>
  <si>
    <t>+86 18280480427</t>
  </si>
  <si>
    <t>+86 15887840448</t>
  </si>
  <si>
    <t>+86 19987739250</t>
  </si>
  <si>
    <t>+86 18987725755</t>
  </si>
  <si>
    <t>+86 18087757926</t>
  </si>
  <si>
    <t>+86 18388392007</t>
  </si>
  <si>
    <t>+86 18487131061</t>
  </si>
  <si>
    <t>+86 13759187774</t>
  </si>
  <si>
    <t>+86 13629683592</t>
  </si>
  <si>
    <t>+86 15808878060</t>
  </si>
  <si>
    <t>+86 18908893273</t>
  </si>
  <si>
    <t>+86 18788163727</t>
  </si>
  <si>
    <t>+86 13619689816</t>
  </si>
  <si>
    <t>+86 15288496672</t>
  </si>
  <si>
    <t>+86 18208804757</t>
  </si>
  <si>
    <t>+86 18725121213</t>
  </si>
  <si>
    <t>+86 15808756360</t>
  </si>
  <si>
    <t>+86 18487144094</t>
  </si>
  <si>
    <t>+86 18787056473</t>
  </si>
  <si>
    <t>+86 15877971809</t>
  </si>
  <si>
    <t>+86 15288462754</t>
  </si>
  <si>
    <t>+86 15087074230</t>
  </si>
  <si>
    <t>+86 15208702687</t>
  </si>
  <si>
    <t>+86 13759502516</t>
  </si>
  <si>
    <t>+86 13888540295</t>
  </si>
  <si>
    <t>+86 13629680852</t>
  </si>
  <si>
    <t>+86 15969446996</t>
  </si>
  <si>
    <t>+86 13987193419</t>
  </si>
  <si>
    <t>+86 13638761712</t>
  </si>
  <si>
    <t>+86 13529376880</t>
  </si>
  <si>
    <t>+86 18088139157</t>
  </si>
  <si>
    <t>+86 15288190431</t>
  </si>
  <si>
    <t>+86 13987139685</t>
  </si>
  <si>
    <t>+86 15687156826</t>
  </si>
  <si>
    <t>+86 18314438990</t>
  </si>
  <si>
    <t>+86 15752012996</t>
  </si>
  <si>
    <t>+86 13116291584</t>
  </si>
  <si>
    <t>+86 15096999090</t>
  </si>
  <si>
    <t>+86 15887859881</t>
  </si>
  <si>
    <t>+86 15087048490</t>
  </si>
  <si>
    <t>+86 15887010435</t>
  </si>
  <si>
    <t>+86 18291736309</t>
  </si>
  <si>
    <t>+86 18088344518</t>
  </si>
  <si>
    <t>+86 13658866801</t>
  </si>
  <si>
    <t>+86 13888611705</t>
  </si>
  <si>
    <t>+86 13008692052</t>
  </si>
  <si>
    <t>+86 18213432341</t>
  </si>
  <si>
    <t>+86 18213450997</t>
  </si>
  <si>
    <t>+86 18314166250</t>
  </si>
  <si>
    <t>+86 15825281364</t>
  </si>
  <si>
    <t>+86 18787101878</t>
  </si>
  <si>
    <t>+86 13354620129</t>
  </si>
  <si>
    <t>+86 18314447997</t>
  </si>
  <si>
    <t>+86 13708874213</t>
  </si>
  <si>
    <t>+86 18787156824</t>
  </si>
  <si>
    <t>+86 18213445581</t>
  </si>
  <si>
    <t>+86 18468064046</t>
  </si>
  <si>
    <t>+86 15912591533</t>
  </si>
  <si>
    <t>+86 14787854582</t>
  </si>
  <si>
    <t>+86 13577197144</t>
  </si>
  <si>
    <t>+86 15198787239</t>
  </si>
  <si>
    <t>+86 13529163455</t>
  </si>
  <si>
    <t>+86 13529290631</t>
  </si>
  <si>
    <t>+86 13529284154</t>
  </si>
  <si>
    <t>+86 13608711851</t>
  </si>
  <si>
    <t>+86 15125913625</t>
  </si>
  <si>
    <t>+86 15198750460</t>
  </si>
  <si>
    <t>+86 13508805232</t>
  </si>
  <si>
    <t>+86 18314163936</t>
  </si>
  <si>
    <t>+86 13529334662</t>
  </si>
  <si>
    <t>+86 18088279129</t>
  </si>
  <si>
    <t>+86 15912163467</t>
  </si>
  <si>
    <t>+86 13529380754</t>
  </si>
  <si>
    <t>+86 18687821791</t>
  </si>
  <si>
    <t>+86 15911587943</t>
  </si>
  <si>
    <t>+86 13759514165</t>
  </si>
  <si>
    <t>+86 13987198661</t>
  </si>
  <si>
    <t>+86 13529267230</t>
  </si>
  <si>
    <t>+86 18725083364</t>
  </si>
  <si>
    <t>+86 13888996847</t>
  </si>
  <si>
    <t>+86 18788513905</t>
  </si>
  <si>
    <t>+86 18788503414</t>
  </si>
  <si>
    <t>+86 18788507701</t>
  </si>
  <si>
    <t>+86 15877998120</t>
  </si>
  <si>
    <t>+86 18788552324</t>
  </si>
  <si>
    <t>+86 18787138274</t>
  </si>
  <si>
    <t>+86 13669781035</t>
  </si>
  <si>
    <t>+86 18725075554</t>
  </si>
  <si>
    <t>+86 18788558131</t>
  </si>
  <si>
    <t>+86 18725013147</t>
  </si>
  <si>
    <t>+86 18788488873</t>
  </si>
  <si>
    <t>+86 18787074470</t>
  </si>
  <si>
    <t>+86 13888653731</t>
  </si>
  <si>
    <t>+86 15287134060</t>
  </si>
  <si>
    <t>+86 13529380749</t>
  </si>
  <si>
    <t>+86 18288254549</t>
  </si>
  <si>
    <t>+86 13658710650</t>
  </si>
  <si>
    <t>+86 13888304192</t>
  </si>
  <si>
    <t>+86 13629651628</t>
  </si>
  <si>
    <t>+86 18287127806</t>
  </si>
  <si>
    <t>+86 13888053515</t>
  </si>
  <si>
    <t>+86 13888478394</t>
  </si>
  <si>
    <t>+86 15288130252</t>
  </si>
  <si>
    <t>+86 13759470903</t>
  </si>
  <si>
    <t>+86 15969410747</t>
  </si>
  <si>
    <t>+86 13987107003</t>
  </si>
  <si>
    <t>+86 15987133070</t>
  </si>
  <si>
    <t>+86 18183858960</t>
  </si>
  <si>
    <t>+86 13678738154</t>
  </si>
  <si>
    <t>+86 18669083435</t>
  </si>
  <si>
    <t>+86 15198892198</t>
  </si>
  <si>
    <t>+86 15912454770</t>
  </si>
  <si>
    <t>+86 13759543028</t>
  </si>
  <si>
    <t>+86 15587176100</t>
  </si>
  <si>
    <t>+86 13708708639</t>
  </si>
  <si>
    <t>+86 13608872145</t>
  </si>
  <si>
    <t>+86 18287107848</t>
  </si>
  <si>
    <t>+86 15908841063</t>
  </si>
  <si>
    <t>+86 18388003052</t>
  </si>
  <si>
    <t>+86 13888072406</t>
  </si>
  <si>
    <t>+86 13669728590</t>
  </si>
  <si>
    <t>+86 13678707031</t>
  </si>
  <si>
    <t>+86 15911589136</t>
  </si>
  <si>
    <t>+86 18987470038</t>
  </si>
  <si>
    <t>+86 18687049528</t>
  </si>
  <si>
    <t>+86 15887413228</t>
  </si>
  <si>
    <t>+86 17387336171</t>
  </si>
  <si>
    <t>+86 15987162869</t>
  </si>
  <si>
    <t>+86 13888094022</t>
  </si>
  <si>
    <t>+86 15096692829</t>
  </si>
  <si>
    <t>+86 18669012707</t>
  </si>
  <si>
    <t>+86 15969576601</t>
  </si>
  <si>
    <t>+86 13888839076</t>
  </si>
  <si>
    <t>+86 13629675367</t>
  </si>
  <si>
    <t>+86 15887270662</t>
  </si>
  <si>
    <t>+86 13529022438</t>
  </si>
  <si>
    <t>+86 15925118163</t>
  </si>
  <si>
    <t>+86 13678771721</t>
  </si>
  <si>
    <t>+86 13888388942</t>
  </si>
  <si>
    <t>+86 18987198722</t>
  </si>
  <si>
    <t>+86 18787191262</t>
  </si>
  <si>
    <t>+86 13908859545</t>
  </si>
  <si>
    <t>+86 13888672831</t>
  </si>
  <si>
    <t>+86 15025106499</t>
  </si>
  <si>
    <t>+86 13577111362</t>
  </si>
  <si>
    <t>+86 13987623110</t>
  </si>
  <si>
    <t>+86 15808755514</t>
  </si>
  <si>
    <t>+86 15925202621</t>
  </si>
  <si>
    <t>+86 13518705179</t>
  </si>
  <si>
    <t>+86 13888252773</t>
  </si>
  <si>
    <t>+86 13888933231</t>
  </si>
  <si>
    <t>+86 13618719505</t>
  </si>
  <si>
    <t>+86 18213817556</t>
  </si>
  <si>
    <t>+86 13987191217</t>
  </si>
  <si>
    <t>+86 13888834810</t>
  </si>
  <si>
    <t>+86 15887160792</t>
  </si>
  <si>
    <t>+86 15912134701</t>
  </si>
  <si>
    <t>+86 13759507829</t>
  </si>
  <si>
    <t>+86 13888055604</t>
  </si>
  <si>
    <t>+86 13708891073</t>
  </si>
  <si>
    <t>+86 15969410889</t>
  </si>
  <si>
    <t>+86 13669761325</t>
  </si>
  <si>
    <t>+86 15911692695</t>
  </si>
  <si>
    <t>+86 13888614515</t>
  </si>
  <si>
    <t>+86 13888426784</t>
  </si>
  <si>
    <t>+86 13629424148</t>
  </si>
  <si>
    <t>+86 13888240995</t>
  </si>
  <si>
    <t>+86 15887110522</t>
  </si>
  <si>
    <t>+86 13608844780</t>
  </si>
  <si>
    <t>+86 13888016952</t>
  </si>
  <si>
    <t>+86 15808707317</t>
  </si>
  <si>
    <t>+86 13908861017</t>
  </si>
  <si>
    <t>+86 13354986323</t>
  </si>
  <si>
    <t>+86 15987104100</t>
  </si>
  <si>
    <t>+86 13108854351</t>
  </si>
  <si>
    <t>+86 13888047022</t>
  </si>
  <si>
    <t>+86 13099919881</t>
  </si>
  <si>
    <t>+86 13888308180</t>
  </si>
  <si>
    <t>+86 13577155431</t>
  </si>
  <si>
    <t>+86 13759137889</t>
  </si>
  <si>
    <t>+86 13759189090</t>
  </si>
  <si>
    <t>+86 15887299917</t>
  </si>
  <si>
    <t>+86 13708489013</t>
  </si>
  <si>
    <t>+86 13708436449</t>
  </si>
  <si>
    <t>+86 13700628546</t>
  </si>
  <si>
    <t>+86 13888067261</t>
  </si>
  <si>
    <r>
      <t>部门</t>
    </r>
    <r>
      <rPr>
        <b/>
        <sz val="12"/>
        <color rgb="FF1F2329"/>
        <rFont val="Calibri"/>
        <family val="2"/>
      </rPr>
      <t xml:space="preserve"> (</t>
    </r>
    <r>
      <rPr>
        <b/>
        <sz val="12"/>
        <color rgb="FF1F2329"/>
        <rFont val="宋体"/>
        <family val="3"/>
        <charset val="134"/>
      </rPr>
      <t>全路径</t>
    </r>
    <r>
      <rPr>
        <b/>
        <sz val="12"/>
        <color rgb="FF1F2329"/>
        <rFont val="Calibri"/>
        <family val="2"/>
      </rPr>
      <t>)</t>
    </r>
  </si>
  <si>
    <r>
      <t>国家</t>
    </r>
    <r>
      <rPr>
        <b/>
        <sz val="12"/>
        <color rgb="FF1F2329"/>
        <rFont val="Calibri"/>
        <family val="2"/>
      </rPr>
      <t xml:space="preserve"> / </t>
    </r>
    <r>
      <rPr>
        <b/>
        <sz val="12"/>
        <color rgb="FF1F2329"/>
        <rFont val="宋体"/>
        <family val="3"/>
        <charset val="134"/>
      </rPr>
      <t>地区</t>
    </r>
  </si>
  <si>
    <r>
      <t>用户</t>
    </r>
    <r>
      <rPr>
        <b/>
        <sz val="12"/>
        <color rgb="FF1F2329"/>
        <rFont val="Calibri"/>
        <family val="2"/>
      </rPr>
      <t xml:space="preserve"> ID</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</si>
  <si>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产品研发二部</t>
    </r>
  </si>
  <si>
    <r>
      <t xml:space="preserve">0 </t>
    </r>
    <r>
      <rPr>
        <sz val="12"/>
        <color rgb="FF1F2329"/>
        <rFont val="宋体"/>
        <family val="3"/>
        <charset val="134"/>
      </rPr>
      <t>月</t>
    </r>
  </si>
  <si>
    <r>
      <t>昆明市盘龙区新迎小区三组团</t>
    </r>
    <r>
      <rPr>
        <sz val="12"/>
        <color rgb="FF1F2329"/>
        <rFont val="Calibri"/>
        <family val="2"/>
      </rPr>
      <t>23</t>
    </r>
    <r>
      <rPr>
        <sz val="12"/>
        <color rgb="FF1F2329"/>
        <rFont val="宋体"/>
        <family val="3"/>
        <charset val="134"/>
      </rPr>
      <t>栋二单元</t>
    </r>
    <r>
      <rPr>
        <sz val="12"/>
        <color rgb="FF1F2329"/>
        <rFont val="Calibri"/>
        <family val="2"/>
      </rPr>
      <t>501</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</si>
  <si>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研发部</t>
    </r>
  </si>
  <si>
    <r>
      <t>云南省昆明市西山区滇池路</t>
    </r>
    <r>
      <rPr>
        <sz val="12"/>
        <color rgb="FF1F2329"/>
        <rFont val="Calibri"/>
        <family val="2"/>
      </rPr>
      <t>219</t>
    </r>
    <r>
      <rPr>
        <sz val="12"/>
        <color rgb="FF1F2329"/>
        <rFont val="宋体"/>
        <family val="3"/>
        <charset val="134"/>
      </rPr>
      <t>号消防队家属区</t>
    </r>
  </si>
  <si>
    <r>
      <t xml:space="preserve">9 </t>
    </r>
    <r>
      <rPr>
        <sz val="12"/>
        <color rgb="FF1F2329"/>
        <rFont val="宋体"/>
        <family val="3"/>
        <charset val="134"/>
      </rPr>
      <t>月</t>
    </r>
  </si>
  <si>
    <r>
      <t>根据项目需求</t>
    </r>
    <r>
      <rPr>
        <sz val="12"/>
        <color rgb="FF1F2329"/>
        <rFont val="Calibri"/>
        <family val="2"/>
      </rPr>
      <t>,</t>
    </r>
    <r>
      <rPr>
        <sz val="12"/>
        <color rgb="FF1F2329"/>
        <rFont val="宋体"/>
        <family val="3"/>
        <charset val="134"/>
      </rPr>
      <t>制作了生产需要的作业指导书</t>
    </r>
    <r>
      <rPr>
        <sz val="12"/>
        <color rgb="FF1F2329"/>
        <rFont val="Calibri"/>
        <family val="2"/>
      </rPr>
      <t>,</t>
    </r>
    <r>
      <rPr>
        <sz val="12"/>
        <color rgb="FF1F2329"/>
        <rFont val="宋体"/>
        <family val="3"/>
        <charset val="134"/>
      </rPr>
      <t>钻模工装指导书</t>
    </r>
    <r>
      <rPr>
        <sz val="12"/>
        <color rgb="FF1F2329"/>
        <rFont val="Calibri"/>
        <family val="2"/>
      </rPr>
      <t>,</t>
    </r>
    <r>
      <rPr>
        <sz val="12"/>
        <color rgb="FF1F2329"/>
        <rFont val="宋体"/>
        <family val="3"/>
        <charset val="134"/>
      </rPr>
      <t>引导现场正确完成产品的制造工作。完成公司的生产任务。使用</t>
    </r>
    <r>
      <rPr>
        <sz val="12"/>
        <color rgb="FF1F2329"/>
        <rFont val="Calibri"/>
        <family val="2"/>
      </rPr>
      <t xml:space="preserve">CATIA </t>
    </r>
    <r>
      <rPr>
        <sz val="12"/>
        <color rgb="FF1F2329"/>
        <rFont val="宋体"/>
        <family val="3"/>
        <charset val="134"/>
      </rPr>
      <t>制作了产品系统件的检测样板</t>
    </r>
    <r>
      <rPr>
        <sz val="12"/>
        <color rgb="FF1F2329"/>
        <rFont val="Calibri"/>
        <family val="2"/>
      </rPr>
      <t>,</t>
    </r>
    <r>
      <rPr>
        <sz val="12"/>
        <color rgb="FF1F2329"/>
        <rFont val="宋体"/>
        <family val="3"/>
        <charset val="134"/>
      </rPr>
      <t>确保产品的正确的装配。编制了项目的装配大纲</t>
    </r>
    <r>
      <rPr>
        <sz val="12"/>
        <color rgb="FF1F2329"/>
        <rFont val="Calibri"/>
        <family val="2"/>
      </rPr>
      <t>,</t>
    </r>
    <r>
      <rPr>
        <sz val="12"/>
        <color rgb="FF1F2329"/>
        <rFont val="宋体"/>
        <family val="3"/>
        <charset val="134"/>
      </rPr>
      <t>明确了装配要求</t>
    </r>
    <r>
      <rPr>
        <sz val="12"/>
        <color rgb="FF1F2329"/>
        <rFont val="Calibri"/>
        <family val="2"/>
      </rPr>
      <t>,</t>
    </r>
    <r>
      <rPr>
        <sz val="12"/>
        <color rgb="FF1F2329"/>
        <rFont val="宋体"/>
        <family val="3"/>
        <charset val="134"/>
      </rPr>
      <t>保障了产品质量</t>
    </r>
    <r>
      <rPr>
        <sz val="12"/>
        <color rgb="FF1F2329"/>
        <rFont val="Calibri"/>
        <family val="2"/>
      </rPr>
      <t>,</t>
    </r>
    <r>
      <rPr>
        <sz val="12"/>
        <color rgb="FF1F2329"/>
        <rFont val="宋体"/>
        <family val="3"/>
        <charset val="134"/>
      </rPr>
      <t>为装配人员提供了生产依据</t>
    </r>
    <r>
      <rPr>
        <sz val="12"/>
        <color rgb="FF1F2329"/>
        <rFont val="Calibri"/>
        <family val="2"/>
      </rPr>
      <t>,</t>
    </r>
    <r>
      <rPr>
        <sz val="12"/>
        <color rgb="FF1F2329"/>
        <rFont val="宋体"/>
        <family val="3"/>
        <charset val="134"/>
      </rPr>
      <t>提升了装配效率</t>
    </r>
    <r>
      <rPr>
        <sz val="12"/>
        <color rgb="FF1F2329"/>
        <rFont val="Calibri"/>
        <family val="2"/>
      </rPr>
      <t>,</t>
    </r>
    <r>
      <rPr>
        <sz val="12"/>
        <color rgb="FF1F2329"/>
        <rFont val="宋体"/>
        <family val="3"/>
        <charset val="134"/>
      </rPr>
      <t>同时便于生产调度与过程管控。深入现场</t>
    </r>
    <r>
      <rPr>
        <sz val="12"/>
        <color rgb="FF1F2329"/>
        <rFont val="Calibri"/>
        <family val="2"/>
      </rPr>
      <t>,</t>
    </r>
    <r>
      <rPr>
        <sz val="12"/>
        <color rgb="FF1F2329"/>
        <rFont val="宋体"/>
        <family val="3"/>
        <charset val="134"/>
      </rPr>
      <t>了解产品的制作流程和生产节奏</t>
    </r>
    <r>
      <rPr>
        <sz val="12"/>
        <color rgb="FF1F2329"/>
        <rFont val="Calibri"/>
        <family val="2"/>
      </rPr>
      <t>,</t>
    </r>
    <r>
      <rPr>
        <sz val="12"/>
        <color rgb="FF1F2329"/>
        <rFont val="宋体"/>
        <family val="3"/>
        <charset val="134"/>
      </rPr>
      <t>掌握了制孔</t>
    </r>
    <r>
      <rPr>
        <sz val="12"/>
        <color rgb="FF1F2329"/>
        <rFont val="Calibri"/>
        <family val="2"/>
      </rPr>
      <t>,</t>
    </r>
    <r>
      <rPr>
        <sz val="12"/>
        <color rgb="FF1F2329"/>
        <rFont val="宋体"/>
        <family val="3"/>
        <charset val="134"/>
      </rPr>
      <t>锪窝</t>
    </r>
    <r>
      <rPr>
        <sz val="12"/>
        <color rgb="FF1F2329"/>
        <rFont val="Calibri"/>
        <family val="2"/>
      </rPr>
      <t>,</t>
    </r>
    <r>
      <rPr>
        <sz val="12"/>
        <color rgb="FF1F2329"/>
        <rFont val="宋体"/>
        <family val="3"/>
        <charset val="134"/>
      </rPr>
      <t>涂漆保护等铆装钳工的基本技能。</t>
    </r>
  </si>
  <si>
    <r>
      <t>昆明市富民县永定镇中西邑村</t>
    </r>
    <r>
      <rPr>
        <sz val="12"/>
        <color rgb="FF1F2329"/>
        <rFont val="Calibri"/>
        <family val="2"/>
      </rPr>
      <t>49</t>
    </r>
    <r>
      <rPr>
        <sz val="12"/>
        <color rgb="FF1F2329"/>
        <rFont val="宋体"/>
        <family val="3"/>
        <charset val="134"/>
      </rPr>
      <t>号</t>
    </r>
  </si>
  <si>
    <r>
      <t xml:space="preserve">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</si>
  <si>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保安组</t>
    </r>
  </si>
  <si>
    <r>
      <t>14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</si>
  <si>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保障部办公室</t>
    </r>
  </si>
  <si>
    <r>
      <t xml:space="preserve">3 </t>
    </r>
    <r>
      <rPr>
        <sz val="12"/>
        <color rgb="FF1F2329"/>
        <rFont val="宋体"/>
        <family val="3"/>
        <charset val="134"/>
      </rPr>
      <t>月</t>
    </r>
  </si>
  <si>
    <r>
      <t>17</t>
    </r>
    <r>
      <rPr>
        <sz val="12"/>
        <color rgb="FF1F2329"/>
        <rFont val="宋体"/>
        <family val="3"/>
        <charset val="134"/>
      </rPr>
      <t>个月</t>
    </r>
  </si>
  <si>
    <r>
      <t>云南省普洱市景东彝族自治县花山镇文俄村委会上帮河村民小组</t>
    </r>
    <r>
      <rPr>
        <sz val="12"/>
        <color rgb="FF1F2329"/>
        <rFont val="Calibri"/>
        <family val="2"/>
      </rPr>
      <t>41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</si>
  <si>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机加车间</t>
    </r>
  </si>
  <si>
    <r>
      <t xml:space="preserve">4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</si>
  <si>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综合办</t>
    </r>
  </si>
  <si>
    <r>
      <t xml:space="preserve">5 </t>
    </r>
    <r>
      <rPr>
        <sz val="12"/>
        <color rgb="FF1F2329"/>
        <rFont val="宋体"/>
        <family val="3"/>
        <charset val="134"/>
      </rPr>
      <t>月</t>
    </r>
  </si>
  <si>
    <r>
      <t>01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</si>
  <si>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云南省昆明市富民县永定街道勤劳街</t>
    </r>
    <r>
      <rPr>
        <sz val="12"/>
        <color rgb="FF1F2329"/>
        <rFont val="Calibri"/>
        <family val="2"/>
      </rPr>
      <t>36</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</si>
  <si>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营销部</t>
    </r>
  </si>
  <si>
    <r>
      <t xml:space="preserve">6 </t>
    </r>
    <r>
      <rPr>
        <sz val="12"/>
        <color rgb="FF1F2329"/>
        <rFont val="宋体"/>
        <family val="3"/>
        <charset val="134"/>
      </rPr>
      <t>月</t>
    </r>
  </si>
  <si>
    <r>
      <t>07</t>
    </r>
    <r>
      <rPr>
        <sz val="12"/>
        <color rgb="FF1F2329"/>
        <rFont val="宋体"/>
        <family val="3"/>
        <charset val="134"/>
      </rPr>
      <t>年</t>
    </r>
    <r>
      <rPr>
        <sz val="12"/>
        <color rgb="FF1F2329"/>
        <rFont val="Calibri"/>
        <family val="2"/>
      </rPr>
      <t>01</t>
    </r>
    <r>
      <rPr>
        <sz val="12"/>
        <color rgb="FF1F2329"/>
        <rFont val="宋体"/>
        <family val="3"/>
        <charset val="134"/>
      </rPr>
      <t>个月</t>
    </r>
  </si>
  <si>
    <r>
      <t xml:space="preserve">7 </t>
    </r>
    <r>
      <rPr>
        <sz val="12"/>
        <color rgb="FF1F2329"/>
        <rFont val="宋体"/>
        <family val="3"/>
        <charset val="134"/>
      </rPr>
      <t>月</t>
    </r>
  </si>
  <si>
    <r>
      <t>03</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</si>
  <si>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云南省昆明市五华区小康大道江东书香门第</t>
    </r>
    <r>
      <rPr>
        <sz val="12"/>
        <color rgb="FF1F2329"/>
        <rFont val="Calibri"/>
        <family val="2"/>
      </rPr>
      <t>E-2-102</t>
    </r>
  </si>
  <si>
    <r>
      <t>助理级</t>
    </r>
    <r>
      <rPr>
        <sz val="12"/>
        <color rgb="FF1F2329"/>
        <rFont val="Calibri"/>
        <family val="2"/>
      </rPr>
      <t>/</t>
    </r>
    <r>
      <rPr>
        <sz val="12"/>
        <color rgb="FF1F2329"/>
        <rFont val="宋体"/>
        <family val="3"/>
        <charset val="134"/>
      </rPr>
      <t>三级</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</si>
  <si>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运营部</t>
    </r>
  </si>
  <si>
    <r>
      <t>云南省昆明市西山区近华浦路春苑小区春明里</t>
    </r>
    <r>
      <rPr>
        <sz val="12"/>
        <color rgb="FF1F2329"/>
        <rFont val="Calibri"/>
        <family val="2"/>
      </rPr>
      <t>18</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</si>
  <si>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</si>
  <si>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副高级</t>
    </r>
    <r>
      <rPr>
        <sz val="12"/>
        <color rgb="FF1F2329"/>
        <rFont val="Calibri"/>
        <family val="2"/>
      </rPr>
      <t>/</t>
    </r>
    <r>
      <rPr>
        <sz val="12"/>
        <color rgb="FF1F2329"/>
        <rFont val="宋体"/>
        <family val="3"/>
        <charset val="134"/>
      </rPr>
      <t>一级</t>
    </r>
  </si>
  <si>
    <r>
      <t>14</t>
    </r>
    <r>
      <rPr>
        <sz val="12"/>
        <color rgb="FF1F2329"/>
        <rFont val="宋体"/>
        <family val="3"/>
        <charset val="134"/>
      </rPr>
      <t>年</t>
    </r>
    <r>
      <rPr>
        <sz val="12"/>
        <color rgb="FF1F2329"/>
        <rFont val="Calibri"/>
        <family val="2"/>
      </rPr>
      <t>10</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</si>
  <si>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</si>
  <si>
    <r>
      <t>00</t>
    </r>
    <r>
      <rPr>
        <sz val="12"/>
        <color rgb="FF1F2329"/>
        <rFont val="宋体"/>
        <family val="3"/>
        <charset val="134"/>
      </rPr>
      <t>年</t>
    </r>
    <r>
      <rPr>
        <sz val="12"/>
        <color rgb="FF1F2329"/>
        <rFont val="Calibri"/>
        <family val="2"/>
      </rPr>
      <t>08</t>
    </r>
    <r>
      <rPr>
        <sz val="12"/>
        <color rgb="FF1F2329"/>
        <rFont val="宋体"/>
        <family val="3"/>
        <charset val="134"/>
      </rPr>
      <t>个月</t>
    </r>
  </si>
  <si>
    <r>
      <t>云南省丽江市华坪县中心镇华兴巷</t>
    </r>
    <r>
      <rPr>
        <sz val="12"/>
        <color rgb="FF1F2329"/>
        <rFont val="Calibri"/>
        <family val="2"/>
      </rPr>
      <t>51</t>
    </r>
    <r>
      <rPr>
        <sz val="12"/>
        <color rgb="FF1F2329"/>
        <rFont val="宋体"/>
        <family val="3"/>
        <charset val="134"/>
      </rPr>
      <t>号</t>
    </r>
  </si>
  <si>
    <r>
      <t>云南省宣威市杨柳镇可渡村委会旧城街村</t>
    </r>
    <r>
      <rPr>
        <sz val="12"/>
        <color rgb="FF1F2329"/>
        <rFont val="Calibri"/>
        <family val="2"/>
      </rPr>
      <t>97</t>
    </r>
    <r>
      <rPr>
        <sz val="12"/>
        <color rgb="FF1F2329"/>
        <rFont val="宋体"/>
        <family val="3"/>
        <charset val="134"/>
      </rPr>
      <t>号</t>
    </r>
  </si>
  <si>
    <r>
      <t xml:space="preserve">8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</si>
  <si>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生产技术部</t>
    </r>
  </si>
  <si>
    <r>
      <t>云南省昆明市盘龙区金秋路</t>
    </r>
    <r>
      <rPr>
        <sz val="12"/>
        <color rgb="FF1F2329"/>
        <rFont val="Calibri"/>
        <family val="2"/>
      </rPr>
      <t>46</t>
    </r>
    <r>
      <rPr>
        <sz val="12"/>
        <color rgb="FF1F2329"/>
        <rFont val="宋体"/>
        <family val="3"/>
        <charset val="134"/>
      </rPr>
      <t>号真实园</t>
    </r>
  </si>
  <si>
    <r>
      <t>云南省昆明市盘龙区北辰小区樱花苑</t>
    </r>
    <r>
      <rPr>
        <sz val="12"/>
        <color rgb="FF1F2329"/>
        <rFont val="Calibri"/>
        <family val="2"/>
      </rPr>
      <t>61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102</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</si>
  <si>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总经理办公室</t>
    </r>
  </si>
  <si>
    <r>
      <t>00</t>
    </r>
    <r>
      <rPr>
        <sz val="12"/>
        <color rgb="FF1F2329"/>
        <rFont val="宋体"/>
        <family val="3"/>
        <charset val="134"/>
      </rPr>
      <t>年</t>
    </r>
    <r>
      <rPr>
        <sz val="12"/>
        <color rgb="FF1F2329"/>
        <rFont val="Calibri"/>
        <family val="2"/>
      </rPr>
      <t>04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</si>
  <si>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工业智能化研发部</t>
    </r>
  </si>
  <si>
    <r>
      <t>05</t>
    </r>
    <r>
      <rPr>
        <sz val="12"/>
        <color rgb="FF1F2329"/>
        <rFont val="宋体"/>
        <family val="3"/>
        <charset val="134"/>
      </rPr>
      <t>年</t>
    </r>
    <r>
      <rPr>
        <sz val="12"/>
        <color rgb="FF1F2329"/>
        <rFont val="Calibri"/>
        <family val="2"/>
      </rPr>
      <t>08</t>
    </r>
    <r>
      <rPr>
        <sz val="12"/>
        <color rgb="FF1F2329"/>
        <rFont val="宋体"/>
        <family val="3"/>
        <charset val="134"/>
      </rPr>
      <t>个月</t>
    </r>
  </si>
  <si>
    <r>
      <t>云南省楚雄彝族自治州牟定县共和镇余丁村委会张家村</t>
    </r>
    <r>
      <rPr>
        <sz val="12"/>
        <color rgb="FF1F2329"/>
        <rFont val="Calibri"/>
        <family val="2"/>
      </rPr>
      <t>48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</si>
  <si>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r>
      <rPr>
        <sz val="12"/>
        <color rgb="FF1F2329"/>
        <rFont val="Calibri"/>
        <family val="2"/>
      </rPr>
      <t>/</t>
    </r>
    <r>
      <rPr>
        <sz val="12"/>
        <color rgb="FF1F2329"/>
        <rFont val="宋体"/>
        <family val="3"/>
        <charset val="134"/>
      </rPr>
      <t>安调五组</t>
    </r>
  </si>
  <si>
    <r>
      <t>云南省保山市昌宁县温泉镇松山村委会周家寨村民小组</t>
    </r>
    <r>
      <rPr>
        <sz val="12"/>
        <color rgb="FF1F2329"/>
        <rFont val="Calibri"/>
        <family val="2"/>
      </rPr>
      <t>12</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</si>
  <si>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交付业务部</t>
    </r>
  </si>
  <si>
    <r>
      <t>云南省昆明市禄劝彝族苗族自治县屏山街道办事处茂龙村委会朱家村</t>
    </r>
    <r>
      <rPr>
        <sz val="12"/>
        <color rgb="FF1F2329"/>
        <rFont val="Calibri"/>
        <family val="2"/>
      </rPr>
      <t>28</t>
    </r>
    <r>
      <rPr>
        <sz val="12"/>
        <color rgb="FF1F2329"/>
        <rFont val="宋体"/>
        <family val="3"/>
        <charset val="134"/>
      </rPr>
      <t>号</t>
    </r>
  </si>
  <si>
    <r>
      <t>云南省昭通市镇雄县大湾镇仕里村民委员会庙坝村民小组</t>
    </r>
    <r>
      <rPr>
        <sz val="12"/>
        <color rgb="FF1F2329"/>
        <rFont val="Calibri"/>
        <family val="2"/>
      </rPr>
      <t>11</t>
    </r>
    <r>
      <rPr>
        <sz val="12"/>
        <color rgb="FF1F2329"/>
        <rFont val="宋体"/>
        <family val="3"/>
        <charset val="134"/>
      </rPr>
      <t>号</t>
    </r>
  </si>
  <si>
    <r>
      <t>云南省保山市隆阳区辛街乡大营市村委会小寨子</t>
    </r>
    <r>
      <rPr>
        <sz val="12"/>
        <color rgb="FF1F2329"/>
        <rFont val="Calibri"/>
        <family val="2"/>
      </rPr>
      <t>8</t>
    </r>
    <r>
      <rPr>
        <sz val="12"/>
        <color rgb="FF1F2329"/>
        <rFont val="宋体"/>
        <family val="3"/>
        <charset val="134"/>
      </rPr>
      <t>组</t>
    </r>
  </si>
  <si>
    <r>
      <t>云南省昆明市富民县款庄镇马街居委会小庄村</t>
    </r>
    <r>
      <rPr>
        <sz val="12"/>
        <color rgb="FF1F2329"/>
        <rFont val="Calibri"/>
        <family val="2"/>
      </rPr>
      <t>10</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</si>
  <si>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云南省宣威市务德镇务德村委会乐农村</t>
    </r>
    <r>
      <rPr>
        <sz val="12"/>
        <color rgb="FF1F2329"/>
        <rFont val="Calibri"/>
        <family val="2"/>
      </rPr>
      <t>100</t>
    </r>
    <r>
      <rPr>
        <sz val="12"/>
        <color rgb="FF1F2329"/>
        <rFont val="宋体"/>
        <family val="3"/>
        <charset val="134"/>
      </rPr>
      <t>号</t>
    </r>
  </si>
  <si>
    <r>
      <t>云南省大理白族自治州祥云县云南驿镇徐旗营</t>
    </r>
    <r>
      <rPr>
        <sz val="12"/>
        <color rgb="FF1F2329"/>
        <rFont val="Calibri"/>
        <family val="2"/>
      </rPr>
      <t>62</t>
    </r>
    <r>
      <rPr>
        <sz val="12"/>
        <color rgb="FF1F2329"/>
        <rFont val="宋体"/>
        <family val="3"/>
        <charset val="134"/>
      </rPr>
      <t>号</t>
    </r>
  </si>
  <si>
    <r>
      <t>云南省昆明市富民县大营街道旧县村委会梨花村</t>
    </r>
    <r>
      <rPr>
        <sz val="12"/>
        <color rgb="FF1F2329"/>
        <rFont val="Calibri"/>
        <family val="2"/>
      </rPr>
      <t>26</t>
    </r>
    <r>
      <rPr>
        <sz val="12"/>
        <color rgb="FF1F2329"/>
        <rFont val="宋体"/>
        <family val="3"/>
        <charset val="134"/>
      </rPr>
      <t>号</t>
    </r>
  </si>
  <si>
    <r>
      <t>云南省昆明市宜良县阳宗镇阳宗村委会沙子沟</t>
    </r>
    <r>
      <rPr>
        <sz val="12"/>
        <color rgb="FF1F2329"/>
        <rFont val="Calibri"/>
        <family val="2"/>
      </rPr>
      <t>33</t>
    </r>
    <r>
      <rPr>
        <sz val="12"/>
        <color rgb="FF1F2329"/>
        <rFont val="宋体"/>
        <family val="3"/>
        <charset val="134"/>
      </rPr>
      <t>号</t>
    </r>
  </si>
  <si>
    <r>
      <t>云南省曲靖市会泽县乐业镇横山村委会大坪子村民小组</t>
    </r>
    <r>
      <rPr>
        <sz val="12"/>
        <color rgb="FF1F2329"/>
        <rFont val="Calibri"/>
        <family val="2"/>
      </rPr>
      <t>0072</t>
    </r>
    <r>
      <rPr>
        <sz val="12"/>
        <color rgb="FF1F2329"/>
        <rFont val="宋体"/>
        <family val="3"/>
        <charset val="134"/>
      </rPr>
      <t>号</t>
    </r>
  </si>
  <si>
    <r>
      <t>云南省保山市龙陵县镇安镇镇宝村委会石龙洼二组</t>
    </r>
    <r>
      <rPr>
        <sz val="12"/>
        <color rgb="FF1F2329"/>
        <rFont val="Calibri"/>
        <family val="2"/>
      </rPr>
      <t>04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</si>
  <si>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</si>
  <si>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产品技术部</t>
    </r>
  </si>
  <si>
    <r>
      <t>01</t>
    </r>
    <r>
      <rPr>
        <sz val="12"/>
        <color rgb="FF1F2329"/>
        <rFont val="宋体"/>
        <family val="3"/>
        <charset val="134"/>
      </rPr>
      <t>年</t>
    </r>
    <r>
      <rPr>
        <sz val="12"/>
        <color rgb="FF1F2329"/>
        <rFont val="Calibri"/>
        <family val="2"/>
      </rPr>
      <t>11</t>
    </r>
    <r>
      <rPr>
        <sz val="12"/>
        <color rgb="FF1F2329"/>
        <rFont val="宋体"/>
        <family val="3"/>
        <charset val="134"/>
      </rPr>
      <t>个月</t>
    </r>
  </si>
  <si>
    <r>
      <t xml:space="preserve">10 </t>
    </r>
    <r>
      <rPr>
        <sz val="12"/>
        <color rgb="FF1F2329"/>
        <rFont val="宋体"/>
        <family val="3"/>
        <charset val="134"/>
      </rPr>
      <t>月</t>
    </r>
  </si>
  <si>
    <r>
      <t>云南省楚雄州牟定县新桥镇新桥村委会新桥村</t>
    </r>
    <r>
      <rPr>
        <sz val="12"/>
        <color rgb="FF1F2329"/>
        <rFont val="Calibri"/>
        <family val="2"/>
      </rPr>
      <t>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</si>
  <si>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产品研发三部</t>
    </r>
  </si>
  <si>
    <r>
      <t xml:space="preserve">11 </t>
    </r>
    <r>
      <rPr>
        <sz val="12"/>
        <color rgb="FF1F2329"/>
        <rFont val="宋体"/>
        <family val="3"/>
        <charset val="134"/>
      </rPr>
      <t>月</t>
    </r>
  </si>
  <si>
    <r>
      <t>4</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</si>
  <si>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云南省昆明市五华区红云街道小康大道</t>
    </r>
    <r>
      <rPr>
        <sz val="12"/>
        <color rgb="FF1F2329"/>
        <rFont val="Calibri"/>
        <family val="2"/>
      </rPr>
      <t>666</t>
    </r>
    <r>
      <rPr>
        <sz val="12"/>
        <color rgb="FF1F2329"/>
        <rFont val="宋体"/>
        <family val="3"/>
        <charset val="134"/>
      </rPr>
      <t>号云南农业大学教工小区</t>
    </r>
    <r>
      <rPr>
        <sz val="12"/>
        <color rgb="FF1F2329"/>
        <rFont val="Calibri"/>
        <family val="2"/>
      </rPr>
      <t>20</t>
    </r>
    <r>
      <rPr>
        <sz val="12"/>
        <color rgb="FF1F2329"/>
        <rFont val="宋体"/>
        <family val="3"/>
        <charset val="134"/>
      </rPr>
      <t>幢</t>
    </r>
  </si>
  <si>
    <r>
      <t xml:space="preserve">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</si>
  <si>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海外营销部</t>
    </r>
  </si>
  <si>
    <r>
      <t>04</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</si>
  <si>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Vivino Inc. &amp; </t>
    </r>
    <r>
      <rPr>
        <sz val="12"/>
        <color rgb="FF1F2329"/>
        <rFont val="宋体"/>
        <family val="3"/>
        <charset val="134"/>
      </rPr>
      <t>唯唯诺（昆明）科技有限责任公司</t>
    </r>
  </si>
  <si>
    <r>
      <t>总裁助理</t>
    </r>
    <r>
      <rPr>
        <sz val="12"/>
        <color rgb="FF1F2329"/>
        <rFont val="Calibri"/>
        <family val="2"/>
      </rPr>
      <t xml:space="preserve"> &amp; </t>
    </r>
    <r>
      <rPr>
        <sz val="12"/>
        <color rgb="FF1F2329"/>
        <rFont val="宋体"/>
        <family val="3"/>
        <charset val="134"/>
      </rPr>
      <t>顾问</t>
    </r>
  </si>
  <si>
    <r>
      <t xml:space="preserve">• </t>
    </r>
    <r>
      <rPr>
        <sz val="12"/>
        <color rgb="FF1F2329"/>
        <rFont val="宋体"/>
        <family val="3"/>
        <charset val="134"/>
      </rPr>
      <t>市场撤出与业务转型：</t>
    </r>
    <r>
      <rPr>
        <sz val="12"/>
        <color rgb="FF1F2329"/>
        <rFont val="Calibri"/>
        <family val="2"/>
      </rPr>
      <t>2024</t>
    </r>
    <r>
      <rPr>
        <sz val="12"/>
        <color rgb="FF1F2329"/>
        <rFont val="宋体"/>
        <family val="3"/>
        <charset val="134"/>
      </rPr>
      <t>年</t>
    </r>
    <r>
      <rPr>
        <sz val="12"/>
        <color rgb="FF1F2329"/>
        <rFont val="Calibri"/>
        <family val="2"/>
      </rPr>
      <t>2</t>
    </r>
    <r>
      <rPr>
        <sz val="12"/>
        <color rgb="FF1F2329"/>
        <rFont val="宋体"/>
        <family val="3"/>
        <charset val="134"/>
      </rPr>
      <t>月，基于投资战略调整，</t>
    </r>
    <r>
      <rPr>
        <sz val="12"/>
        <color rgb="FF1F2329"/>
        <rFont val="Calibri"/>
        <family val="2"/>
      </rPr>
      <t>Vivino Inc.</t>
    </r>
    <r>
      <rPr>
        <sz val="12"/>
        <color rgb="FF1F2329"/>
        <rFont val="宋体"/>
        <family val="3"/>
        <charset val="134"/>
      </rPr>
      <t>决定逐步撤出</t>
    </r>
    <r>
      <rPr>
        <sz val="12"/>
        <color rgb="FF1F2329"/>
        <rFont val="Calibri"/>
        <family val="2"/>
      </rPr>
      <t xml:space="preserve"> </t>
    </r>
    <r>
      <rPr>
        <sz val="12"/>
        <color rgb="FF1F2329"/>
        <rFont val="宋体"/>
        <family val="3"/>
        <charset val="134"/>
      </rPr>
      <t>中国市场。在此期间，担任公司顾问，协助</t>
    </r>
    <r>
      <rPr>
        <sz val="12"/>
        <color rgb="FF1F2329"/>
        <rFont val="Calibri"/>
        <family val="2"/>
      </rPr>
      <t>Vivino</t>
    </r>
    <r>
      <rPr>
        <sz val="12"/>
        <color rgb="FF1F2329"/>
        <rFont val="宋体"/>
        <family val="3"/>
        <charset val="134"/>
      </rPr>
      <t>完成中国撤出，并推动产品模</t>
    </r>
    <r>
      <rPr>
        <sz val="12"/>
        <color rgb="FF1F2329"/>
        <rFont val="Calibri"/>
        <family val="2"/>
      </rPr>
      <t xml:space="preserve"> </t>
    </r>
    <r>
      <rPr>
        <sz val="12"/>
        <color rgb="FF1F2329"/>
        <rFont val="宋体"/>
        <family val="3"/>
        <charset val="134"/>
      </rPr>
      <t>式转向新加坡，成功建立新加坡首个线下旗舰店；</t>
    </r>
    <r>
      <rPr>
        <sz val="12"/>
        <color rgb="FF1F2329"/>
        <rFont val="Calibri"/>
        <family val="2"/>
      </rPr>
      <t xml:space="preserve"> • </t>
    </r>
    <r>
      <rPr>
        <sz val="12"/>
        <color rgb="FF1F2329"/>
        <rFont val="宋体"/>
        <family val="3"/>
        <charset val="134"/>
      </rPr>
      <t>基础品牌建设与品牌增长：领导</t>
    </r>
    <r>
      <rPr>
        <sz val="12"/>
        <color rgb="FF1F2329"/>
        <rFont val="Calibri"/>
        <family val="2"/>
      </rPr>
      <t>Vivino</t>
    </r>
    <r>
      <rPr>
        <sz val="12"/>
        <color rgb="FF1F2329"/>
        <rFont val="宋体"/>
        <family val="3"/>
        <charset val="134"/>
      </rPr>
      <t>在华基础品牌建设，推动品牌从</t>
    </r>
    <r>
      <rPr>
        <sz val="12"/>
        <color rgb="FF1F2329"/>
        <rFont val="Calibri"/>
        <family val="2"/>
      </rPr>
      <t>0</t>
    </r>
    <r>
      <rPr>
        <sz val="12"/>
        <color rgb="FF1F2329"/>
        <rFont val="宋体"/>
        <family val="3"/>
        <charset val="134"/>
      </rPr>
      <t>到</t>
    </r>
    <r>
      <rPr>
        <sz val="12"/>
        <color rgb="FF1F2329"/>
        <rFont val="Calibri"/>
        <family val="2"/>
      </rPr>
      <t>1</t>
    </r>
    <r>
      <rPr>
        <sz val="12"/>
        <color rgb="FF1F2329"/>
        <rFont val="宋体"/>
        <family val="3"/>
        <charset val="134"/>
      </rPr>
      <t>成</t>
    </r>
    <r>
      <rPr>
        <sz val="12"/>
        <color rgb="FF1F2329"/>
        <rFont val="Calibri"/>
        <family val="2"/>
      </rPr>
      <t xml:space="preserve"> </t>
    </r>
    <r>
      <rPr>
        <sz val="12"/>
        <color rgb="FF1F2329"/>
        <rFont val="宋体"/>
        <family val="3"/>
        <charset val="134"/>
      </rPr>
      <t>长。关键项目包括</t>
    </r>
    <r>
      <rPr>
        <sz val="12"/>
        <color rgb="FF1F2329"/>
        <rFont val="Calibri"/>
        <family val="2"/>
      </rPr>
      <t>APP</t>
    </r>
    <r>
      <rPr>
        <sz val="12"/>
        <color rgb="FF1F2329"/>
        <rFont val="宋体"/>
        <family val="3"/>
        <charset val="134"/>
      </rPr>
      <t>合规上架运营、上海前置仓建设经营与葡萄酒线上供应链</t>
    </r>
    <r>
      <rPr>
        <sz val="12"/>
        <color rgb="FF1F2329"/>
        <rFont val="Calibri"/>
        <family val="2"/>
      </rPr>
      <t xml:space="preserve"> </t>
    </r>
    <r>
      <rPr>
        <sz val="12"/>
        <color rgb="FF1F2329"/>
        <rFont val="宋体"/>
        <family val="3"/>
        <charset val="134"/>
      </rPr>
      <t>搭建；</t>
    </r>
    <r>
      <rPr>
        <sz val="12"/>
        <color rgb="FF1F2329"/>
        <rFont val="Calibri"/>
        <family val="2"/>
      </rPr>
      <t>APP</t>
    </r>
    <r>
      <rPr>
        <sz val="12"/>
        <color rgb="FF1F2329"/>
        <rFont val="宋体"/>
        <family val="3"/>
        <charset val="134"/>
      </rPr>
      <t>上线一个月内用户突破</t>
    </r>
    <r>
      <rPr>
        <sz val="12"/>
        <color rgb="FF1F2329"/>
        <rFont val="Calibri"/>
        <family val="2"/>
      </rPr>
      <t>10</t>
    </r>
    <r>
      <rPr>
        <sz val="12"/>
        <color rgb="FF1F2329"/>
        <rFont val="宋体"/>
        <family val="3"/>
        <charset val="134"/>
      </rPr>
      <t>万，在线商城上线后单月历史最高销售额超</t>
    </r>
    <r>
      <rPr>
        <sz val="12"/>
        <color rgb="FF1F2329"/>
        <rFont val="Calibri"/>
        <family val="2"/>
      </rPr>
      <t xml:space="preserve"> 40</t>
    </r>
    <r>
      <rPr>
        <sz val="12"/>
        <color rgb="FF1F2329"/>
        <rFont val="宋体"/>
        <family val="3"/>
        <charset val="134"/>
      </rPr>
      <t>万元；</t>
    </r>
    <r>
      <rPr>
        <sz val="12"/>
        <color rgb="FF1F2329"/>
        <rFont val="Calibri"/>
        <family val="2"/>
      </rPr>
      <t xml:space="preserve"> • </t>
    </r>
    <r>
      <rPr>
        <sz val="12"/>
        <color rgb="FF1F2329"/>
        <rFont val="宋体"/>
        <family val="3"/>
        <charset val="134"/>
      </rPr>
      <t>运营管理与股东决策：负责公司在华日常运营管理，并协助总裁参与股东决策会</t>
    </r>
    <r>
      <rPr>
        <sz val="12"/>
        <color rgb="FF1F2329"/>
        <rFont val="Calibri"/>
        <family val="2"/>
      </rPr>
      <t xml:space="preserve"> </t>
    </r>
    <r>
      <rPr>
        <sz val="12"/>
        <color rgb="FF1F2329"/>
        <rFont val="宋体"/>
        <family val="3"/>
        <charset val="134"/>
      </rPr>
      <t>议，确保战略执行。参与管理公司</t>
    </r>
    <r>
      <rPr>
        <sz val="12"/>
        <color rgb="FF1F2329"/>
        <rFont val="Calibri"/>
        <family val="2"/>
      </rPr>
      <t>2200</t>
    </r>
    <r>
      <rPr>
        <sz val="12"/>
        <color rgb="FF1F2329"/>
        <rFont val="宋体"/>
        <family val="3"/>
        <charset val="134"/>
      </rPr>
      <t>万实缴资本，确保资金按时到位并支持公</t>
    </r>
    <r>
      <rPr>
        <sz val="12"/>
        <color rgb="FF1F2329"/>
        <rFont val="Calibri"/>
        <family val="2"/>
      </rPr>
      <t xml:space="preserve"> </t>
    </r>
    <r>
      <rPr>
        <sz val="12"/>
        <color rgb="FF1F2329"/>
        <rFont val="宋体"/>
        <family val="3"/>
        <charset val="134"/>
      </rPr>
      <t>司战略需求。</t>
    </r>
  </si>
  <si>
    <r>
      <t>机电工程</t>
    </r>
    <r>
      <rPr>
        <sz val="12"/>
        <color rgb="FF1F2329"/>
        <rFont val="Calibri"/>
        <family val="2"/>
      </rPr>
      <t>/</t>
    </r>
    <r>
      <rPr>
        <sz val="12"/>
        <color rgb="FF1F2329"/>
        <rFont val="宋体"/>
        <family val="3"/>
        <charset val="134"/>
      </rPr>
      <t>机械</t>
    </r>
  </si>
  <si>
    <r>
      <t xml:space="preserve">1 </t>
    </r>
    <r>
      <rPr>
        <sz val="12"/>
        <color rgb="FF1F2329"/>
        <rFont val="宋体"/>
        <family val="3"/>
        <charset val="134"/>
      </rPr>
      <t>年</t>
    </r>
  </si>
  <si>
    <r>
      <t>0</t>
    </r>
    <r>
      <rPr>
        <sz val="12"/>
        <color rgb="FF1F2329"/>
        <rFont val="宋体"/>
        <family val="3"/>
        <charset val="134"/>
      </rPr>
      <t>个月</t>
    </r>
  </si>
  <si>
    <r>
      <t>云南省昆明市富民县赤鹫镇天生桥村</t>
    </r>
    <r>
      <rPr>
        <sz val="12"/>
        <color rgb="FF1F2329"/>
        <rFont val="Calibri"/>
        <family val="2"/>
      </rPr>
      <t>38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</si>
  <si>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食堂组</t>
    </r>
  </si>
  <si>
    <r>
      <t xml:space="preserve">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</si>
  <si>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</si>
  <si>
    <r>
      <t xml:space="preserve">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</si>
  <si>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03</t>
    </r>
    <r>
      <rPr>
        <sz val="12"/>
        <color rgb="FF1F2329"/>
        <rFont val="宋体"/>
        <family val="3"/>
        <charset val="134"/>
      </rPr>
      <t>年</t>
    </r>
    <r>
      <rPr>
        <sz val="12"/>
        <color rgb="FF1F2329"/>
        <rFont val="Calibri"/>
        <family val="2"/>
      </rPr>
      <t>06</t>
    </r>
    <r>
      <rPr>
        <sz val="12"/>
        <color rgb="FF1F2329"/>
        <rFont val="宋体"/>
        <family val="3"/>
        <charset val="134"/>
      </rPr>
      <t>个月</t>
    </r>
  </si>
  <si>
    <r>
      <t>高通量测序仪研发中心</t>
    </r>
    <r>
      <rPr>
        <sz val="12"/>
        <color rgb="FF1F2329"/>
        <rFont val="Calibri"/>
        <family val="2"/>
      </rPr>
      <t>-</t>
    </r>
    <r>
      <rPr>
        <sz val="12"/>
        <color rgb="FF1F2329"/>
        <rFont val="宋体"/>
        <family val="3"/>
        <charset val="134"/>
      </rPr>
      <t>气液系统研发部</t>
    </r>
  </si>
  <si>
    <r>
      <t>参与广东省政府重大专项</t>
    </r>
    <r>
      <rPr>
        <sz val="12"/>
        <color rgb="FF1F2329"/>
        <rFont val="Calibri"/>
        <family val="2"/>
      </rPr>
      <t xml:space="preserve"> </t>
    </r>
    <r>
      <rPr>
        <sz val="12"/>
        <color rgb="FF1F2329"/>
        <rFont val="宋体"/>
        <family val="3"/>
        <charset val="134"/>
      </rPr>
      <t>高通量基因测序仪的研发。</t>
    </r>
    <r>
      <rPr>
        <sz val="12"/>
        <color rgb="FF1F2329"/>
        <rFont val="Calibri"/>
        <family val="2"/>
      </rPr>
      <t xml:space="preserve"> </t>
    </r>
    <r>
      <rPr>
        <sz val="12"/>
        <color rgb="FF1F2329"/>
        <rFont val="宋体"/>
        <family val="3"/>
        <charset val="134"/>
      </rPr>
      <t>参与</t>
    </r>
    <r>
      <rPr>
        <sz val="12"/>
        <color rgb="FF1F2329"/>
        <rFont val="Calibri"/>
        <family val="2"/>
      </rPr>
      <t>Dolphin</t>
    </r>
    <r>
      <rPr>
        <sz val="12"/>
        <color rgb="FF1F2329"/>
        <rFont val="宋体"/>
        <family val="3"/>
        <charset val="134"/>
      </rPr>
      <t>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r>
  </si>
  <si>
    <r>
      <t>昆明鼎承科技有限公司</t>
    </r>
    <r>
      <rPr>
        <sz val="12"/>
        <color rgb="FF1F2329"/>
        <rFont val="Calibri"/>
        <family val="2"/>
      </rPr>
      <t>/</t>
    </r>
    <r>
      <rPr>
        <sz val="12"/>
        <color rgb="FF1F2329"/>
        <rFont val="宋体"/>
        <family val="3"/>
        <charset val="134"/>
      </rPr>
      <t>外协单位</t>
    </r>
  </si>
  <si>
    <r>
      <t xml:space="preserve">1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</si>
  <si>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外协单位</t>
    </r>
    <r>
      <rPr>
        <sz val="12"/>
        <color rgb="FF1F2329"/>
        <rFont val="Calibri"/>
        <family val="2"/>
      </rPr>
      <t>/</t>
    </r>
    <r>
      <rPr>
        <sz val="12"/>
        <color rgb="FF1F2329"/>
        <rFont val="宋体"/>
        <family val="3"/>
        <charset val="134"/>
      </rPr>
      <t>昆明笛光机械设备有限公司</t>
    </r>
  </si>
  <si>
    <r>
      <t>云南省腾冲市腾越镇侍郎坝村委会肖家寨</t>
    </r>
    <r>
      <rPr>
        <sz val="12"/>
        <color rgb="FF1F2329"/>
        <rFont val="Calibri"/>
        <family val="2"/>
      </rPr>
      <t>77</t>
    </r>
    <r>
      <rPr>
        <sz val="12"/>
        <color rgb="FF1F2329"/>
        <rFont val="宋体"/>
        <family val="3"/>
        <charset val="134"/>
      </rPr>
      <t>号附</t>
    </r>
    <r>
      <rPr>
        <sz val="12"/>
        <color rgb="FF1F2329"/>
        <rFont val="Calibri"/>
        <family val="2"/>
      </rPr>
      <t>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</si>
  <si>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</si>
  <si>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01</t>
    </r>
    <r>
      <rPr>
        <sz val="12"/>
        <color rgb="FF1F2329"/>
        <rFont val="宋体"/>
        <family val="3"/>
        <charset val="134"/>
      </rPr>
      <t>年</t>
    </r>
    <r>
      <rPr>
        <sz val="12"/>
        <color rgb="FF1F2329"/>
        <rFont val="Calibri"/>
        <family val="2"/>
      </rPr>
      <t>06</t>
    </r>
    <r>
      <rPr>
        <sz val="12"/>
        <color rgb="FF1F2329"/>
        <rFont val="宋体"/>
        <family val="3"/>
        <charset val="134"/>
      </rPr>
      <t>个月</t>
    </r>
  </si>
  <si>
    <r>
      <t>EMC</t>
    </r>
    <r>
      <rPr>
        <sz val="12"/>
        <color rgb="FF1F2329"/>
        <rFont val="宋体"/>
        <family val="3"/>
        <charset val="134"/>
      </rPr>
      <t>测试工程师</t>
    </r>
  </si>
  <si>
    <r>
      <t>负责汽车零部件的</t>
    </r>
    <r>
      <rPr>
        <sz val="12"/>
        <color rgb="FF1F2329"/>
        <rFont val="Calibri"/>
        <family val="2"/>
      </rPr>
      <t>EMC</t>
    </r>
    <r>
      <rPr>
        <sz val="12"/>
        <color rgb="FF1F2329"/>
        <rFont val="宋体"/>
        <family val="3"/>
        <charset val="134"/>
      </rPr>
      <t>测试、实验室管理、人员培训、测试规划等工作。</t>
    </r>
  </si>
  <si>
    <r>
      <t xml:space="preserve">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</si>
  <si>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云南省玉溪市红塔区紫苑小区</t>
    </r>
    <r>
      <rPr>
        <sz val="12"/>
        <color rgb="FF1F2329"/>
        <rFont val="Calibri"/>
        <family val="2"/>
      </rPr>
      <t>10</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102</t>
    </r>
    <r>
      <rPr>
        <sz val="12"/>
        <color rgb="FF1F2329"/>
        <rFont val="宋体"/>
        <family val="3"/>
        <charset val="134"/>
      </rPr>
      <t>室</t>
    </r>
  </si>
  <si>
    <r>
      <t>00</t>
    </r>
    <r>
      <rPr>
        <sz val="12"/>
        <color rgb="FF1F2329"/>
        <rFont val="宋体"/>
        <family val="3"/>
        <charset val="134"/>
      </rPr>
      <t>年</t>
    </r>
    <r>
      <rPr>
        <sz val="12"/>
        <color rgb="FF1F2329"/>
        <rFont val="Calibri"/>
        <family val="2"/>
      </rPr>
      <t>8</t>
    </r>
    <r>
      <rPr>
        <sz val="12"/>
        <color rgb="FF1F2329"/>
        <rFont val="宋体"/>
        <family val="3"/>
        <charset val="134"/>
      </rPr>
      <t>个月</t>
    </r>
  </si>
  <si>
    <r>
      <t>云南省昆明市盘龙区联盟街道金星小区</t>
    </r>
    <r>
      <rPr>
        <sz val="12"/>
        <color rgb="FF1F2329"/>
        <rFont val="Calibri"/>
        <family val="2"/>
      </rPr>
      <t>24</t>
    </r>
    <r>
      <rPr>
        <sz val="12"/>
        <color rgb="FF1F2329"/>
        <rFont val="宋体"/>
        <family val="3"/>
        <charset val="134"/>
      </rPr>
      <t>号院</t>
    </r>
  </si>
  <si>
    <r>
      <t xml:space="preserve">5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</si>
  <si>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</si>
  <si>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02</t>
    </r>
    <r>
      <rPr>
        <sz val="12"/>
        <color rgb="FF1F2329"/>
        <rFont val="宋体"/>
        <family val="3"/>
        <charset val="134"/>
      </rPr>
      <t>年</t>
    </r>
    <r>
      <rPr>
        <sz val="12"/>
        <color rgb="FF1F2329"/>
        <rFont val="Calibri"/>
        <family val="2"/>
      </rPr>
      <t>11</t>
    </r>
    <r>
      <rPr>
        <sz val="12"/>
        <color rgb="FF1F2329"/>
        <rFont val="宋体"/>
        <family val="3"/>
        <charset val="134"/>
      </rPr>
      <t>个月</t>
    </r>
  </si>
  <si>
    <r>
      <t>1.</t>
    </r>
    <r>
      <rPr>
        <sz val="12"/>
        <color rgb="FF1F2329"/>
        <rFont val="宋体"/>
        <family val="3"/>
        <charset val="134"/>
      </rPr>
      <t>东湖实验室项目：分管项目电气安装工作，带领项目提前甲方预定工期交付项目使用；</t>
    </r>
    <r>
      <rPr>
        <sz val="12"/>
        <color rgb="FF1F2329"/>
        <rFont val="Calibri"/>
        <family val="2"/>
      </rPr>
      <t>2.</t>
    </r>
    <r>
      <rPr>
        <sz val="12"/>
        <color rgb="FF1F2329"/>
        <rFont val="宋体"/>
        <family val="3"/>
        <charset val="134"/>
      </rPr>
      <t>成都天府大悦城项目：主管项目电气安装工作，优化电缆型号及敷设路线，减少了项目成本，在与审计方工程量重计量工作中，突破合同额限制，增加合同额</t>
    </r>
    <r>
      <rPr>
        <sz val="12"/>
        <color rgb="FF1F2329"/>
        <rFont val="Calibri"/>
        <family val="2"/>
      </rPr>
      <t>2000</t>
    </r>
    <r>
      <rPr>
        <sz val="12"/>
        <color rgb="FF1F2329"/>
        <rFont val="宋体"/>
        <family val="3"/>
        <charset val="134"/>
      </rPr>
      <t>万，扭转项目亏损情况。</t>
    </r>
  </si>
  <si>
    <r>
      <t>昆明市官渡区吴井街道电动工具公司宿舍</t>
    </r>
    <r>
      <rPr>
        <sz val="12"/>
        <color rgb="FF1F2329"/>
        <rFont val="Calibri"/>
        <family val="2"/>
      </rPr>
      <t>3</t>
    </r>
    <r>
      <rPr>
        <sz val="12"/>
        <color rgb="FF1F2329"/>
        <rFont val="宋体"/>
        <family val="3"/>
        <charset val="134"/>
      </rPr>
      <t>单元</t>
    </r>
    <r>
      <rPr>
        <sz val="12"/>
        <color rgb="FF1F2329"/>
        <rFont val="Calibri"/>
        <family val="2"/>
      </rPr>
      <t>401</t>
    </r>
  </si>
  <si>
    <r>
      <t xml:space="preserve">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</si>
  <si>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02</t>
    </r>
    <r>
      <rPr>
        <sz val="12"/>
        <color rgb="FF1F2329"/>
        <rFont val="宋体"/>
        <family val="3"/>
        <charset val="134"/>
      </rPr>
      <t>年</t>
    </r>
    <r>
      <rPr>
        <sz val="12"/>
        <color rgb="FF1F2329"/>
        <rFont val="Calibri"/>
        <family val="2"/>
      </rPr>
      <t>08</t>
    </r>
    <r>
      <rPr>
        <sz val="12"/>
        <color rgb="FF1F2329"/>
        <rFont val="宋体"/>
        <family val="3"/>
        <charset val="134"/>
      </rPr>
      <t>个月</t>
    </r>
  </si>
  <si>
    <r>
      <t>项目的需求调研、解决方案、产品设计、实施和交付管理等相关工作。解决方案：智慧园区、网络货运、数字大屏等信息化项目的解决方案编制和咨询，</t>
    </r>
    <r>
      <rPr>
        <sz val="12"/>
        <color rgb="FF1F2329"/>
        <rFont val="Calibri"/>
        <family val="2"/>
      </rPr>
      <t xml:space="preserve"> </t>
    </r>
    <r>
      <rPr>
        <sz val="12"/>
        <color rgb="FF1F2329"/>
        <rFont val="宋体"/>
        <family val="3"/>
        <charset val="134"/>
      </rPr>
      <t>业务资料搜集和演示文档制作、项目文档修订和投标支持等工作。</t>
    </r>
    <r>
      <rPr>
        <sz val="12"/>
        <color rgb="FF1F2329"/>
        <rFont val="Calibri"/>
        <family val="2"/>
      </rPr>
      <t xml:space="preserve"> </t>
    </r>
    <r>
      <rPr>
        <sz val="12"/>
        <color rgb="FF1F2329"/>
        <rFont val="宋体"/>
        <family val="3"/>
        <charset val="134"/>
      </rPr>
      <t>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r>
  </si>
  <si>
    <r>
      <t>云南省曲靖市会泽县新街回族乡联合村</t>
    </r>
    <r>
      <rPr>
        <sz val="12"/>
        <color rgb="FF1F2329"/>
        <rFont val="Calibri"/>
        <family val="2"/>
      </rPr>
      <t>3</t>
    </r>
    <r>
      <rPr>
        <sz val="12"/>
        <color rgb="FF1F2329"/>
        <rFont val="宋体"/>
        <family val="3"/>
        <charset val="134"/>
      </rPr>
      <t>组</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</si>
  <si>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工艺技术部</t>
    </r>
  </si>
  <si>
    <r>
      <t xml:space="preserve">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</si>
  <si>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</si>
  <si>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企业管理办公室</t>
    </r>
  </si>
  <si>
    <r>
      <t>03</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</si>
  <si>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云南省昆明市富民县永定镇永定街道</t>
    </r>
    <r>
      <rPr>
        <sz val="12"/>
        <color rgb="FF1F2329"/>
        <rFont val="Calibri"/>
        <family val="2"/>
      </rPr>
      <t>109</t>
    </r>
    <r>
      <rPr>
        <sz val="12"/>
        <color rgb="FF1F2329"/>
        <rFont val="宋体"/>
        <family val="3"/>
        <charset val="134"/>
      </rPr>
      <t>号</t>
    </r>
  </si>
  <si>
    <r>
      <t>0</t>
    </r>
    <r>
      <rPr>
        <sz val="12"/>
        <color rgb="FF1F2329"/>
        <rFont val="宋体"/>
        <family val="3"/>
        <charset val="134"/>
      </rPr>
      <t>年</t>
    </r>
    <r>
      <rPr>
        <sz val="12"/>
        <color rgb="FF1F2329"/>
        <rFont val="Calibri"/>
        <family val="2"/>
      </rPr>
      <t>2</t>
    </r>
    <r>
      <rPr>
        <sz val="12"/>
        <color rgb="FF1F2329"/>
        <rFont val="宋体"/>
        <family val="3"/>
        <charset val="134"/>
      </rPr>
      <t>个月</t>
    </r>
  </si>
  <si>
    <r>
      <t>云南省昆明市五华区龙泉路</t>
    </r>
    <r>
      <rPr>
        <sz val="12"/>
        <color rgb="FF1F2329"/>
        <rFont val="Calibri"/>
        <family val="2"/>
      </rPr>
      <t>237</t>
    </r>
    <r>
      <rPr>
        <sz val="12"/>
        <color rgb="FF1F2329"/>
        <rFont val="宋体"/>
        <family val="3"/>
        <charset val="134"/>
      </rPr>
      <t>号</t>
    </r>
    <r>
      <rPr>
        <sz val="12"/>
        <color rgb="FF1F2329"/>
        <rFont val="Calibri"/>
        <family val="2"/>
      </rPr>
      <t>18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204</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</si>
  <si>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r>
      <rPr>
        <sz val="12"/>
        <color rgb="FF1F2329"/>
        <rFont val="Calibri"/>
        <family val="2"/>
      </rPr>
      <t>/</t>
    </r>
    <r>
      <rPr>
        <sz val="12"/>
        <color rgb="FF1F2329"/>
        <rFont val="宋体"/>
        <family val="3"/>
        <charset val="134"/>
      </rPr>
      <t>企业管理办公室</t>
    </r>
  </si>
  <si>
    <r>
      <t>05</t>
    </r>
    <r>
      <rPr>
        <sz val="12"/>
        <color rgb="FF1F2329"/>
        <rFont val="宋体"/>
        <family val="3"/>
        <charset val="134"/>
      </rPr>
      <t>年</t>
    </r>
    <r>
      <rPr>
        <sz val="12"/>
        <color rgb="FF1F2329"/>
        <rFont val="Calibri"/>
        <family val="2"/>
      </rPr>
      <t>11</t>
    </r>
    <r>
      <rPr>
        <sz val="12"/>
        <color rgb="FF1F2329"/>
        <rFont val="宋体"/>
        <family val="3"/>
        <charset val="134"/>
      </rPr>
      <t>个月</t>
    </r>
  </si>
  <si>
    <r>
      <t>00</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</si>
  <si>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云南省昆明市宜良县耿家营乡石子村委会新石子村</t>
    </r>
    <r>
      <rPr>
        <sz val="12"/>
        <color rgb="FF1F2329"/>
        <rFont val="Calibri"/>
        <family val="2"/>
      </rPr>
      <t>8</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</si>
  <si>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</si>
  <si>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云南省大理白族自治州鹤庆县金墩乡金锁村民委员会金锁村</t>
    </r>
    <r>
      <rPr>
        <sz val="12"/>
        <color rgb="FF1F2329"/>
        <rFont val="Calibri"/>
        <family val="2"/>
      </rPr>
      <t>192</t>
    </r>
    <r>
      <rPr>
        <sz val="12"/>
        <color rgb="FF1F2329"/>
        <rFont val="宋体"/>
        <family val="3"/>
        <charset val="134"/>
      </rPr>
      <t>号</t>
    </r>
  </si>
  <si>
    <r>
      <t>云南省宣威市普立乡更底村委会更底村</t>
    </r>
    <r>
      <rPr>
        <sz val="12"/>
        <color rgb="FF1F2329"/>
        <rFont val="Calibri"/>
        <family val="2"/>
      </rPr>
      <t>52</t>
    </r>
    <r>
      <rPr>
        <sz val="12"/>
        <color rgb="FF1F2329"/>
        <rFont val="宋体"/>
        <family val="3"/>
        <charset val="134"/>
      </rPr>
      <t>号附</t>
    </r>
    <r>
      <rPr>
        <sz val="12"/>
        <color rgb="FF1F2329"/>
        <rFont val="Calibri"/>
        <family val="2"/>
      </rPr>
      <t>1</t>
    </r>
    <r>
      <rPr>
        <sz val="12"/>
        <color rgb="FF1F2329"/>
        <rFont val="宋体"/>
        <family val="3"/>
        <charset val="134"/>
      </rPr>
      <t>号</t>
    </r>
  </si>
  <si>
    <r>
      <t>0</t>
    </r>
    <r>
      <rPr>
        <sz val="12"/>
        <color rgb="FF1F2329"/>
        <rFont val="宋体"/>
        <family val="3"/>
        <charset val="134"/>
      </rPr>
      <t>年</t>
    </r>
    <r>
      <rPr>
        <sz val="12"/>
        <color rgb="FF1F2329"/>
        <rFont val="Calibri"/>
        <family val="2"/>
      </rPr>
      <t>3</t>
    </r>
    <r>
      <rPr>
        <sz val="12"/>
        <color rgb="FF1F2329"/>
        <rFont val="宋体"/>
        <family val="3"/>
        <charset val="134"/>
      </rPr>
      <t>个月</t>
    </r>
  </si>
  <si>
    <r>
      <t>云南省曲靖市师宗县大同街道新安社区居民委员会新安村</t>
    </r>
    <r>
      <rPr>
        <sz val="12"/>
        <color rgb="FF1F2329"/>
        <rFont val="Calibri"/>
        <family val="2"/>
      </rPr>
      <t>35</t>
    </r>
    <r>
      <rPr>
        <sz val="12"/>
        <color rgb="FF1F2329"/>
        <rFont val="宋体"/>
        <family val="3"/>
        <charset val="134"/>
      </rPr>
      <t>号</t>
    </r>
  </si>
  <si>
    <r>
      <t>云南省宣威市宝山镇虎场村委会浦家村</t>
    </r>
    <r>
      <rPr>
        <sz val="12"/>
        <color rgb="FF1F2329"/>
        <rFont val="Calibri"/>
        <family val="2"/>
      </rPr>
      <t>32</t>
    </r>
    <r>
      <rPr>
        <sz val="12"/>
        <color rgb="FF1F2329"/>
        <rFont val="宋体"/>
        <family val="3"/>
        <charset val="134"/>
      </rPr>
      <t>号</t>
    </r>
  </si>
  <si>
    <r>
      <t>云南省曲靖市师宗县丹凤街矣腊社区矣腊村</t>
    </r>
    <r>
      <rPr>
        <sz val="12"/>
        <color rgb="FF1F2329"/>
        <rFont val="Calibri"/>
        <family val="2"/>
      </rPr>
      <t>348</t>
    </r>
    <r>
      <rPr>
        <sz val="12"/>
        <color rgb="FF1F2329"/>
        <rFont val="宋体"/>
        <family val="3"/>
        <charset val="134"/>
      </rPr>
      <t>号</t>
    </r>
  </si>
  <si>
    <r>
      <t>员级</t>
    </r>
    <r>
      <rPr>
        <sz val="12"/>
        <color rgb="FF1F2329"/>
        <rFont val="Calibri"/>
        <family val="2"/>
      </rPr>
      <t>/</t>
    </r>
    <r>
      <rPr>
        <sz val="12"/>
        <color rgb="FF1F2329"/>
        <rFont val="宋体"/>
        <family val="3"/>
        <charset val="134"/>
      </rPr>
      <t>四级</t>
    </r>
  </si>
  <si>
    <r>
      <t>云南省曲靖市会泽县大海乡黑箐村委会黑箐</t>
    </r>
    <r>
      <rPr>
        <sz val="12"/>
        <color rgb="FF1F2329"/>
        <rFont val="Calibri"/>
        <family val="2"/>
      </rPr>
      <t>1</t>
    </r>
    <r>
      <rPr>
        <sz val="12"/>
        <color rgb="FF1F2329"/>
        <rFont val="宋体"/>
        <family val="3"/>
        <charset val="134"/>
      </rPr>
      <t>组</t>
    </r>
  </si>
  <si>
    <r>
      <t>云南省大理白族自治州祥云县祥城镇灰窑村</t>
    </r>
    <r>
      <rPr>
        <sz val="12"/>
        <color rgb="FF1F2329"/>
        <rFont val="Calibri"/>
        <family val="2"/>
      </rPr>
      <t>2</t>
    </r>
    <r>
      <rPr>
        <sz val="12"/>
        <color rgb="FF1F2329"/>
        <rFont val="宋体"/>
        <family val="3"/>
        <charset val="134"/>
      </rPr>
      <t>组</t>
    </r>
  </si>
  <si>
    <r>
      <t xml:space="preserve">3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</si>
  <si>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00</t>
    </r>
    <r>
      <rPr>
        <sz val="12"/>
        <color rgb="FF1F2329"/>
        <rFont val="宋体"/>
        <family val="3"/>
        <charset val="134"/>
      </rPr>
      <t>年</t>
    </r>
    <r>
      <rPr>
        <sz val="12"/>
        <color rgb="FF1F2329"/>
        <rFont val="Calibri"/>
        <family val="2"/>
      </rPr>
      <t>07</t>
    </r>
    <r>
      <rPr>
        <sz val="12"/>
        <color rgb="FF1F2329"/>
        <rFont val="宋体"/>
        <family val="3"/>
        <charset val="134"/>
      </rPr>
      <t>个月</t>
    </r>
  </si>
  <si>
    <r>
      <t>云南</t>
    </r>
    <r>
      <rPr>
        <sz val="12"/>
        <color rgb="FF1F2329"/>
        <rFont val="Calibri"/>
        <family val="2"/>
      </rPr>
      <t>CY</t>
    </r>
    <r>
      <rPr>
        <sz val="12"/>
        <color rgb="FF1F2329"/>
        <rFont val="宋体"/>
        <family val="3"/>
        <charset val="134"/>
      </rPr>
      <t>集团机床制造有限公司</t>
    </r>
  </si>
  <si>
    <r>
      <t>昆明市北大资源博泰城</t>
    </r>
    <r>
      <rPr>
        <sz val="12"/>
        <color rgb="FF1F2329"/>
        <rFont val="Calibri"/>
        <family val="2"/>
      </rPr>
      <t>2</t>
    </r>
    <r>
      <rPr>
        <sz val="12"/>
        <color rgb="FF1F2329"/>
        <rFont val="宋体"/>
        <family val="3"/>
        <charset val="134"/>
      </rPr>
      <t>栋</t>
    </r>
  </si>
  <si>
    <r>
      <t xml:space="preserve">7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</si>
  <si>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中级</t>
    </r>
    <r>
      <rPr>
        <sz val="12"/>
        <color rgb="FF1F2329"/>
        <rFont val="Calibri"/>
        <family val="2"/>
      </rPr>
      <t>/</t>
    </r>
    <r>
      <rPr>
        <sz val="12"/>
        <color rgb="FF1F2329"/>
        <rFont val="宋体"/>
        <family val="3"/>
        <charset val="134"/>
      </rPr>
      <t>二级</t>
    </r>
  </si>
  <si>
    <r>
      <t xml:space="preserve">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</si>
  <si>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云南省昆明市富民县罗免镇者北街</t>
    </r>
    <r>
      <rPr>
        <sz val="12"/>
        <color rgb="FF1F2329"/>
        <rFont val="Calibri"/>
        <family val="2"/>
      </rPr>
      <t>6</t>
    </r>
    <r>
      <rPr>
        <sz val="12"/>
        <color rgb="FF1F2329"/>
        <rFont val="宋体"/>
        <family val="3"/>
        <charset val="134"/>
      </rPr>
      <t>号</t>
    </r>
  </si>
  <si>
    <r>
      <t>00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</si>
  <si>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</si>
  <si>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</si>
  <si>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</si>
  <si>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云南省昆明市五华区经典双城</t>
    </r>
    <r>
      <rPr>
        <sz val="12"/>
        <color rgb="FF1F2329"/>
        <rFont val="Calibri"/>
        <family val="2"/>
      </rPr>
      <t>A</t>
    </r>
    <r>
      <rPr>
        <sz val="12"/>
        <color rgb="FF1F2329"/>
        <rFont val="宋体"/>
        <family val="3"/>
        <charset val="134"/>
      </rPr>
      <t>区</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507</t>
    </r>
    <r>
      <rPr>
        <sz val="12"/>
        <color rgb="FF1F2329"/>
        <rFont val="宋体"/>
        <family val="3"/>
        <charset val="134"/>
      </rPr>
      <t>室</t>
    </r>
  </si>
  <si>
    <r>
      <t>05</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</si>
  <si>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云南省昆明市富民县兴港名都</t>
    </r>
    <r>
      <rPr>
        <sz val="12"/>
        <color rgb="FF1F2329"/>
        <rFont val="Calibri"/>
        <family val="2"/>
      </rPr>
      <t>3-1505</t>
    </r>
  </si>
  <si>
    <r>
      <t>01</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</si>
  <si>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云南省昆明市富民县永定街道办事处上西邑</t>
    </r>
    <r>
      <rPr>
        <sz val="12"/>
        <color rgb="FF1F2329"/>
        <rFont val="Calibri"/>
        <family val="2"/>
      </rPr>
      <t>153</t>
    </r>
    <r>
      <rPr>
        <sz val="12"/>
        <color rgb="FF1F2329"/>
        <rFont val="宋体"/>
        <family val="3"/>
        <charset val="134"/>
      </rPr>
      <t>号</t>
    </r>
  </si>
  <si>
    <r>
      <t xml:space="preserve">2 </t>
    </r>
    <r>
      <rPr>
        <sz val="12"/>
        <color rgb="FF1F2329"/>
        <rFont val="宋体"/>
        <family val="3"/>
        <charset val="134"/>
      </rPr>
      <t>年</t>
    </r>
  </si>
  <si>
    <r>
      <t>02</t>
    </r>
    <r>
      <rPr>
        <sz val="12"/>
        <color rgb="FF1F2329"/>
        <rFont val="宋体"/>
        <family val="3"/>
        <charset val="134"/>
      </rPr>
      <t>年</t>
    </r>
    <r>
      <rPr>
        <sz val="12"/>
        <color rgb="FF1F2329"/>
        <rFont val="Calibri"/>
        <family val="2"/>
      </rPr>
      <t>07</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</si>
  <si>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</si>
  <si>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云南省昆明市五华区昌源中路新云港</t>
    </r>
    <r>
      <rPr>
        <sz val="12"/>
        <color rgb="FF1F2329"/>
        <rFont val="Calibri"/>
        <family val="2"/>
      </rPr>
      <t>99</t>
    </r>
    <r>
      <rPr>
        <sz val="12"/>
        <color rgb="FF1F2329"/>
        <rFont val="宋体"/>
        <family val="3"/>
        <charset val="134"/>
      </rPr>
      <t>号智立方</t>
    </r>
    <r>
      <rPr>
        <sz val="12"/>
        <color rgb="FF1F2329"/>
        <rFont val="Calibri"/>
        <family val="2"/>
      </rPr>
      <t>16</t>
    </r>
    <r>
      <rPr>
        <sz val="12"/>
        <color rgb="FF1F2329"/>
        <rFont val="宋体"/>
        <family val="3"/>
        <charset val="134"/>
      </rPr>
      <t>楼</t>
    </r>
  </si>
  <si>
    <r>
      <t xml:space="preserve">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</si>
  <si>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稳定杆包装改善项目：于实习期所做项目，所设计并于车间打样实际结合后，所设计方案共</t>
    </r>
    <r>
      <rPr>
        <sz val="12"/>
        <color rgb="FF1F2329"/>
        <rFont val="Calibri"/>
        <family val="2"/>
      </rPr>
      <t>14</t>
    </r>
    <r>
      <rPr>
        <sz val="12"/>
        <color rgb="FF1F2329"/>
        <rFont val="宋体"/>
        <family val="3"/>
        <charset val="134"/>
      </rPr>
      <t>个设计方案均投入实际生包装中；</t>
    </r>
    <r>
      <rPr>
        <sz val="12"/>
        <color rgb="FF1F2329"/>
        <rFont val="Calibri"/>
        <family val="2"/>
      </rPr>
      <t xml:space="preserve"> 2. </t>
    </r>
    <r>
      <rPr>
        <sz val="12"/>
        <color rgb="FF1F2329"/>
        <rFont val="宋体"/>
        <family val="3"/>
        <charset val="134"/>
      </rPr>
      <t>参与部门</t>
    </r>
    <r>
      <rPr>
        <sz val="12"/>
        <color rgb="FF1F2329"/>
        <rFont val="Calibri"/>
        <family val="2"/>
      </rPr>
      <t>QC</t>
    </r>
    <r>
      <rPr>
        <sz val="12"/>
        <color rgb="FF1F2329"/>
        <rFont val="宋体"/>
        <family val="3"/>
        <charset val="134"/>
      </rPr>
      <t>课题，获得广州华德</t>
    </r>
    <r>
      <rPr>
        <sz val="12"/>
        <color rgb="FF1F2329"/>
        <rFont val="Calibri"/>
        <family val="2"/>
      </rPr>
      <t>QC</t>
    </r>
    <r>
      <rPr>
        <sz val="12"/>
        <color rgb="FF1F2329"/>
        <rFont val="宋体"/>
        <family val="3"/>
        <charset val="134"/>
      </rPr>
      <t>一等奖、广汽部件</t>
    </r>
    <r>
      <rPr>
        <sz val="12"/>
        <color rgb="FF1F2329"/>
        <rFont val="Calibri"/>
        <family val="2"/>
      </rPr>
      <t>QC</t>
    </r>
    <r>
      <rPr>
        <sz val="12"/>
        <color rgb="FF1F2329"/>
        <rFont val="宋体"/>
        <family val="3"/>
        <charset val="134"/>
      </rPr>
      <t>发表铜奖、广汽本田供应商</t>
    </r>
    <r>
      <rPr>
        <sz val="12"/>
        <color rgb="FF1F2329"/>
        <rFont val="Calibri"/>
        <family val="2"/>
      </rPr>
      <t>QC</t>
    </r>
    <r>
      <rPr>
        <sz val="12"/>
        <color rgb="FF1F2329"/>
        <rFont val="宋体"/>
        <family val="3"/>
        <charset val="134"/>
      </rPr>
      <t>发表一等奖</t>
    </r>
    <r>
      <rPr>
        <sz val="12"/>
        <color rgb="FF1F2329"/>
        <rFont val="Calibri"/>
        <family val="2"/>
      </rPr>
      <t xml:space="preserve"> </t>
    </r>
    <r>
      <rPr>
        <sz val="12"/>
        <color rgb="FF1F2329"/>
        <rFont val="宋体"/>
        <family val="3"/>
        <charset val="134"/>
      </rPr>
      <t>；</t>
    </r>
    <r>
      <rPr>
        <sz val="12"/>
        <color rgb="FF1F2329"/>
        <rFont val="Calibri"/>
        <family val="2"/>
      </rPr>
      <t xml:space="preserve"> 3. </t>
    </r>
    <r>
      <rPr>
        <sz val="12"/>
        <color rgb="FF1F2329"/>
        <rFont val="宋体"/>
        <family val="3"/>
        <charset val="134"/>
      </rPr>
      <t>技术委员会日常管理：从零散无序的会议时间及地点到每周固定时间固定地点，及时反映，及时处理；从资料混乱，偶有资料遗失到资料可复盘、可查找等等；进度逐渐透明化；管理逐步周期化，便于项目跟踪及推进；</t>
    </r>
    <r>
      <rPr>
        <sz val="12"/>
        <color rgb="FF1F2329"/>
        <rFont val="Calibri"/>
        <family val="2"/>
      </rPr>
      <t xml:space="preserve"> 4.</t>
    </r>
    <r>
      <rPr>
        <sz val="12"/>
        <color rgb="FF1F2329"/>
        <rFont val="宋体"/>
        <family val="3"/>
        <charset val="134"/>
      </rPr>
      <t>材料试制项目</t>
    </r>
    <r>
      <rPr>
        <sz val="12"/>
        <color rgb="FF1F2329"/>
        <rFont val="Calibri"/>
        <family val="2"/>
      </rPr>
      <t>:7</t>
    </r>
    <r>
      <rPr>
        <sz val="12"/>
        <color rgb="FF1F2329"/>
        <rFont val="宋体"/>
        <family val="3"/>
        <charset val="134"/>
      </rPr>
      <t>款材料试制项目负责人，试制成功筛选出</t>
    </r>
    <r>
      <rPr>
        <sz val="12"/>
        <color rgb="FF1F2329"/>
        <rFont val="Calibri"/>
        <family val="2"/>
      </rPr>
      <t>3</t>
    </r>
    <r>
      <rPr>
        <sz val="12"/>
        <color rgb="FF1F2329"/>
        <rFont val="宋体"/>
        <family val="3"/>
        <charset val="134"/>
      </rPr>
      <t>款材料符合生产需求；</t>
    </r>
    <r>
      <rPr>
        <sz val="12"/>
        <color rgb="FF1F2329"/>
        <rFont val="Calibri"/>
        <family val="2"/>
      </rPr>
      <t xml:space="preserve">           5.</t>
    </r>
    <r>
      <rPr>
        <sz val="12"/>
        <color rgb="FF1F2329"/>
        <rFont val="宋体"/>
        <family val="3"/>
        <charset val="134"/>
      </rPr>
      <t>精密弹簧设计项目</t>
    </r>
    <r>
      <rPr>
        <sz val="12"/>
        <color rgb="FF1F2329"/>
        <rFont val="Calibri"/>
        <family val="2"/>
      </rPr>
      <t>:</t>
    </r>
    <r>
      <rPr>
        <sz val="12"/>
        <color rgb="FF1F2329"/>
        <rFont val="宋体"/>
        <family val="3"/>
        <charset val="134"/>
      </rPr>
      <t>参与</t>
    </r>
    <r>
      <rPr>
        <sz val="12"/>
        <color rgb="FF1F2329"/>
        <rFont val="Calibri"/>
        <family val="2"/>
      </rPr>
      <t>4</t>
    </r>
    <r>
      <rPr>
        <sz val="12"/>
        <color rgb="FF1F2329"/>
        <rFont val="宋体"/>
        <family val="3"/>
        <charset val="134"/>
      </rPr>
      <t>款拉簧项目、</t>
    </r>
    <r>
      <rPr>
        <sz val="12"/>
        <color rgb="FF1F2329"/>
        <rFont val="Calibri"/>
        <family val="2"/>
      </rPr>
      <t>2</t>
    </r>
    <r>
      <rPr>
        <sz val="12"/>
        <color rgb="FF1F2329"/>
        <rFont val="宋体"/>
        <family val="3"/>
        <charset val="134"/>
      </rPr>
      <t>款扭簧项目的辅助设计，参与管夹生产线建设项目等。</t>
    </r>
  </si>
  <si>
    <r>
      <t>李若晶</t>
    </r>
    <r>
      <rPr>
        <sz val="12"/>
        <color rgb="FF1F2329"/>
        <rFont val="Calibri"/>
        <family val="2"/>
      </rPr>
      <t>-</t>
    </r>
    <r>
      <rPr>
        <sz val="12"/>
        <color rgb="FF1F2329"/>
        <rFont val="宋体"/>
        <family val="3"/>
        <charset val="134"/>
      </rPr>
      <t>鑫晟源</t>
    </r>
  </si>
  <si>
    <r>
      <t>昆明鼎承科技有限公司</t>
    </r>
    <r>
      <rPr>
        <sz val="12"/>
        <color rgb="FF1F2329"/>
        <rFont val="Calibri"/>
        <family val="2"/>
      </rPr>
      <t>/</t>
    </r>
    <r>
      <rPr>
        <sz val="12"/>
        <color rgb="FF1F2329"/>
        <rFont val="宋体"/>
        <family val="3"/>
        <charset val="134"/>
      </rPr>
      <t>昆明鑫晟源科技有限公司</t>
    </r>
  </si>
  <si>
    <r>
      <t>田璨</t>
    </r>
    <r>
      <rPr>
        <sz val="12"/>
        <color rgb="FF1F2329"/>
        <rFont val="Calibri"/>
        <family val="2"/>
      </rPr>
      <t>-</t>
    </r>
    <r>
      <rPr>
        <sz val="12"/>
        <color rgb="FF1F2329"/>
        <rFont val="宋体"/>
        <family val="3"/>
        <charset val="134"/>
      </rPr>
      <t>三行</t>
    </r>
  </si>
  <si>
    <r>
      <t>昆明鼎承科技有限公司</t>
    </r>
    <r>
      <rPr>
        <sz val="12"/>
        <color rgb="FF1F2329"/>
        <rFont val="Calibri"/>
        <family val="2"/>
      </rPr>
      <t>/</t>
    </r>
    <r>
      <rPr>
        <sz val="12"/>
        <color rgb="FF1F2329"/>
        <rFont val="宋体"/>
        <family val="3"/>
        <charset val="134"/>
      </rPr>
      <t>昆明三行智造科技有限公司</t>
    </r>
  </si>
  <si>
    <r>
      <t>02</t>
    </r>
    <r>
      <rPr>
        <sz val="12"/>
        <color rgb="FF1F2329"/>
        <rFont val="宋体"/>
        <family val="3"/>
        <charset val="134"/>
      </rPr>
      <t>年</t>
    </r>
    <r>
      <rPr>
        <sz val="12"/>
        <color rgb="FF1F2329"/>
        <rFont val="Calibri"/>
        <family val="2"/>
      </rPr>
      <t>02</t>
    </r>
    <r>
      <rPr>
        <sz val="12"/>
        <color rgb="FF1F2329"/>
        <rFont val="宋体"/>
        <family val="3"/>
        <charset val="134"/>
      </rPr>
      <t>个月</t>
    </r>
  </si>
  <si>
    <r>
      <t>昆明五华区团山欣城</t>
    </r>
    <r>
      <rPr>
        <sz val="12"/>
        <color rgb="FF1F2329"/>
        <rFont val="Calibri"/>
        <family val="2"/>
      </rPr>
      <t>5</t>
    </r>
    <r>
      <rPr>
        <sz val="12"/>
        <color rgb="FF1F2329"/>
        <rFont val="宋体"/>
        <family val="3"/>
        <charset val="134"/>
      </rPr>
      <t>栋</t>
    </r>
    <r>
      <rPr>
        <sz val="12"/>
        <color rgb="FF1F2329"/>
        <rFont val="Calibri"/>
        <family val="2"/>
      </rPr>
      <t>2108</t>
    </r>
  </si>
  <si>
    <r>
      <t xml:space="preserve">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</si>
  <si>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05</t>
    </r>
    <r>
      <rPr>
        <sz val="12"/>
        <color rgb="FF1F2329"/>
        <rFont val="宋体"/>
        <family val="3"/>
        <charset val="134"/>
      </rPr>
      <t>年</t>
    </r>
    <r>
      <rPr>
        <sz val="12"/>
        <color rgb="FF1F2329"/>
        <rFont val="Calibri"/>
        <family val="2"/>
      </rPr>
      <t>02</t>
    </r>
    <r>
      <rPr>
        <sz val="12"/>
        <color rgb="FF1F2329"/>
        <rFont val="宋体"/>
        <family val="3"/>
        <charset val="134"/>
      </rPr>
      <t>个月</t>
    </r>
  </si>
  <si>
    <r>
      <t>云南省宣威市龙场镇五里村委会米大卡村</t>
    </r>
    <r>
      <rPr>
        <sz val="12"/>
        <color rgb="FF1F2329"/>
        <rFont val="Calibri"/>
        <family val="2"/>
      </rPr>
      <t>43</t>
    </r>
    <r>
      <rPr>
        <sz val="12"/>
        <color rgb="FF1F2329"/>
        <rFont val="宋体"/>
        <family val="3"/>
        <charset val="134"/>
      </rPr>
      <t>号附</t>
    </r>
    <r>
      <rPr>
        <sz val="12"/>
        <color rgb="FF1F2329"/>
        <rFont val="Calibri"/>
        <family val="2"/>
      </rPr>
      <t>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</si>
  <si>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</si>
  <si>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</si>
  <si>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云南省昆明市官渡区魅力之城五期</t>
    </r>
    <r>
      <rPr>
        <sz val="12"/>
        <color rgb="FF1F2329"/>
        <rFont val="Calibri"/>
        <family val="2"/>
      </rPr>
      <t>6</t>
    </r>
    <r>
      <rPr>
        <sz val="12"/>
        <color rgb="FF1F2329"/>
        <rFont val="宋体"/>
        <family val="3"/>
        <charset val="134"/>
      </rPr>
      <t>栋</t>
    </r>
  </si>
  <si>
    <r>
      <t xml:space="preserve">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</si>
  <si>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</si>
  <si>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云南省昆明市官渡区小麻苴</t>
    </r>
    <r>
      <rPr>
        <sz val="12"/>
        <color rgb="FF1F2329"/>
        <rFont val="Calibri"/>
        <family val="2"/>
      </rPr>
      <t>313</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</si>
  <si>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</si>
  <si>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01</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</si>
  <si>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云南省昆明市昆明市富民县永定街道兴贡小三竜村</t>
    </r>
    <r>
      <rPr>
        <sz val="12"/>
        <color rgb="FF1F2329"/>
        <rFont val="Calibri"/>
        <family val="2"/>
      </rPr>
      <t>33</t>
    </r>
    <r>
      <rPr>
        <sz val="12"/>
        <color rgb="FF1F2329"/>
        <rFont val="宋体"/>
        <family val="3"/>
        <charset val="134"/>
      </rPr>
      <t>号</t>
    </r>
  </si>
  <si>
    <r>
      <t>05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</si>
  <si>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云南省昆明市晋宁县晋城镇白沙村委会上村</t>
    </r>
    <r>
      <rPr>
        <sz val="12"/>
        <color rgb="FF1F2329"/>
        <rFont val="Calibri"/>
        <family val="2"/>
      </rPr>
      <t>174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</si>
  <si>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</si>
  <si>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t>
    </r>
    <r>
      <rPr>
        <sz val="12"/>
        <color rgb="FF1F2329"/>
        <rFont val="宋体"/>
        <family val="3"/>
        <charset val="134"/>
      </rPr>
      <t>年</t>
    </r>
    <r>
      <rPr>
        <sz val="12"/>
        <color rgb="FF1F2329"/>
        <rFont val="Calibri"/>
        <family val="2"/>
      </rPr>
      <t>1</t>
    </r>
    <r>
      <rPr>
        <sz val="12"/>
        <color rgb="FF1F2329"/>
        <rFont val="宋体"/>
        <family val="3"/>
        <charset val="134"/>
      </rPr>
      <t>个月</t>
    </r>
  </si>
  <si>
    <r>
      <t>云南省昆明市昆明市富民县永定镇西邑村委会中西邑村</t>
    </r>
    <r>
      <rPr>
        <sz val="12"/>
        <color rgb="FF1F2329"/>
        <rFont val="Calibri"/>
        <family val="2"/>
      </rPr>
      <t>87</t>
    </r>
    <r>
      <rPr>
        <sz val="12"/>
        <color rgb="FF1F2329"/>
        <rFont val="宋体"/>
        <family val="3"/>
        <charset val="134"/>
      </rPr>
      <t>号</t>
    </r>
  </si>
  <si>
    <r>
      <t>08</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</si>
  <si>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云南省昆明市盘龙区北京路明通巷</t>
    </r>
    <r>
      <rPr>
        <sz val="12"/>
        <color rgb="FF1F2329"/>
        <rFont val="Calibri"/>
        <family val="2"/>
      </rPr>
      <t>4</t>
    </r>
    <r>
      <rPr>
        <sz val="12"/>
        <color rgb="FF1F2329"/>
        <rFont val="宋体"/>
        <family val="3"/>
        <charset val="134"/>
      </rPr>
      <t>号</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t>
    </r>
    <r>
      <rPr>
        <sz val="12"/>
        <color rgb="FF1F2329"/>
        <rFont val="宋体"/>
        <family val="3"/>
        <charset val="134"/>
      </rPr>
      <t>楼</t>
    </r>
    <r>
      <rPr>
        <sz val="12"/>
        <color rgb="FF1F2329"/>
        <rFont val="Calibri"/>
        <family val="2"/>
      </rPr>
      <t>12</t>
    </r>
    <r>
      <rPr>
        <sz val="12"/>
        <color rgb="FF1F2329"/>
        <rFont val="宋体"/>
        <family val="3"/>
        <charset val="134"/>
      </rPr>
      <t>号</t>
    </r>
  </si>
  <si>
    <r>
      <t>00</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</si>
  <si>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云南省昆明市五华区黑铺林街道昭宗社区小团山村</t>
    </r>
    <r>
      <rPr>
        <sz val="12"/>
        <color rgb="FF1F2329"/>
        <rFont val="Calibri"/>
        <family val="2"/>
      </rPr>
      <t>87</t>
    </r>
    <r>
      <rPr>
        <sz val="12"/>
        <color rgb="FF1F2329"/>
        <rFont val="宋体"/>
        <family val="3"/>
        <charset val="134"/>
      </rPr>
      <t>号</t>
    </r>
  </si>
  <si>
    <r>
      <t>云南省昆明市昆明市富民县大营街道办事处束刻村委会束刻中村</t>
    </r>
    <r>
      <rPr>
        <sz val="12"/>
        <color rgb="FF1F2329"/>
        <rFont val="Calibri"/>
        <family val="2"/>
      </rPr>
      <t>180</t>
    </r>
    <r>
      <rPr>
        <sz val="12"/>
        <color rgb="FF1F2329"/>
        <rFont val="宋体"/>
        <family val="3"/>
        <charset val="134"/>
      </rPr>
      <t>号</t>
    </r>
  </si>
  <si>
    <r>
      <t>1</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</si>
  <si>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云南省昆明市昆明市富民县罗免镇糯支村委会岩子脚村</t>
    </r>
    <r>
      <rPr>
        <sz val="12"/>
        <color rgb="FF1F2329"/>
        <rFont val="Calibri"/>
        <family val="2"/>
      </rPr>
      <t>10</t>
    </r>
    <r>
      <rPr>
        <sz val="12"/>
        <color rgb="FF1F2329"/>
        <rFont val="宋体"/>
        <family val="3"/>
        <charset val="134"/>
      </rPr>
      <t>号</t>
    </r>
  </si>
  <si>
    <r>
      <t>云南省昆明市官渡区拓东路石家巷</t>
    </r>
    <r>
      <rPr>
        <sz val="12"/>
        <color rgb="FF1F2329"/>
        <rFont val="Calibri"/>
        <family val="2"/>
      </rPr>
      <t>10</t>
    </r>
    <r>
      <rPr>
        <sz val="12"/>
        <color rgb="FF1F2329"/>
        <rFont val="宋体"/>
        <family val="3"/>
        <charset val="134"/>
      </rPr>
      <t>号新</t>
    </r>
    <r>
      <rPr>
        <sz val="12"/>
        <color rgb="FF1F2329"/>
        <rFont val="Calibri"/>
        <family val="2"/>
      </rPr>
      <t>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</si>
  <si>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</si>
  <si>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04</t>
    </r>
    <r>
      <rPr>
        <sz val="12"/>
        <color rgb="FF1F2329"/>
        <rFont val="宋体"/>
        <family val="3"/>
        <charset val="134"/>
      </rPr>
      <t>个月</t>
    </r>
  </si>
  <si>
    <r>
      <t>云南省德宏傣族景颇族自治州陇川县户撒乡项姐村民委员会老尹寨</t>
    </r>
    <r>
      <rPr>
        <sz val="12"/>
        <color rgb="FF1F2329"/>
        <rFont val="Calibri"/>
        <family val="2"/>
      </rPr>
      <t>12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</si>
  <si>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</si>
  <si>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3</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</si>
  <si>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云南省大理白族自治州大理市下关镇龙溪路肉联厂宿舍</t>
    </r>
    <r>
      <rPr>
        <sz val="12"/>
        <color rgb="FF1F2329"/>
        <rFont val="Calibri"/>
        <family val="2"/>
      </rPr>
      <t>14</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t>
    </r>
    <r>
      <rPr>
        <sz val="12"/>
        <color rgb="FF1F2329"/>
        <rFont val="宋体"/>
        <family val="3"/>
        <charset val="134"/>
      </rPr>
      <t>楼</t>
    </r>
    <r>
      <rPr>
        <sz val="12"/>
        <color rgb="FF1F2329"/>
        <rFont val="Calibri"/>
        <family val="2"/>
      </rPr>
      <t>3</t>
    </r>
    <r>
      <rPr>
        <sz val="12"/>
        <color rgb="FF1F2329"/>
        <rFont val="宋体"/>
        <family val="3"/>
        <charset val="134"/>
      </rPr>
      <t>号</t>
    </r>
  </si>
  <si>
    <r>
      <t>云南省昆明市官渡区关上街道关霞巷</t>
    </r>
    <r>
      <rPr>
        <sz val="12"/>
        <color rgb="FF1F2329"/>
        <rFont val="Calibri"/>
        <family val="2"/>
      </rPr>
      <t>1</t>
    </r>
    <r>
      <rPr>
        <sz val="12"/>
        <color rgb="FF1F2329"/>
        <rFont val="宋体"/>
        <family val="3"/>
        <charset val="134"/>
      </rPr>
      <t>号花样年华</t>
    </r>
    <r>
      <rPr>
        <sz val="12"/>
        <color rgb="FF1F2329"/>
        <rFont val="Calibri"/>
        <family val="2"/>
      </rPr>
      <t>1-1-411</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</si>
  <si>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财务部</t>
    </r>
  </si>
  <si>
    <r>
      <t xml:space="preserve">3 </t>
    </r>
    <r>
      <rPr>
        <sz val="12"/>
        <color rgb="FF1F2329"/>
        <rFont val="宋体"/>
        <family val="3"/>
        <charset val="134"/>
      </rPr>
      <t>年</t>
    </r>
  </si>
  <si>
    <r>
      <t>09</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</si>
  <si>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云南省昆明市昆明市富民县罗免镇者北街</t>
    </r>
    <r>
      <rPr>
        <sz val="12"/>
        <color rgb="FF1F2329"/>
        <rFont val="Calibri"/>
        <family val="2"/>
      </rPr>
      <t>118</t>
    </r>
    <r>
      <rPr>
        <sz val="12"/>
        <color rgb="FF1F2329"/>
        <rFont val="宋体"/>
        <family val="3"/>
        <charset val="134"/>
      </rPr>
      <t>号</t>
    </r>
  </si>
  <si>
    <r>
      <t>1</t>
    </r>
    <r>
      <rPr>
        <sz val="12"/>
        <color rgb="FF1F2329"/>
        <rFont val="宋体"/>
        <family val="3"/>
        <charset val="134"/>
      </rPr>
      <t>年</t>
    </r>
    <r>
      <rPr>
        <sz val="12"/>
        <color rgb="FF1F2329"/>
        <rFont val="Calibri"/>
        <family val="2"/>
      </rPr>
      <t>6</t>
    </r>
    <r>
      <rPr>
        <sz val="12"/>
        <color rgb="FF1F2329"/>
        <rFont val="宋体"/>
        <family val="3"/>
        <charset val="134"/>
      </rPr>
      <t>个月</t>
    </r>
  </si>
  <si>
    <r>
      <t>云南省昆明市昆明市富民县永定街道北邑村委会上文明村</t>
    </r>
    <r>
      <rPr>
        <sz val="12"/>
        <color rgb="FF1F2329"/>
        <rFont val="Calibri"/>
        <family val="2"/>
      </rPr>
      <t>111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</si>
  <si>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采购部</t>
    </r>
  </si>
  <si>
    <r>
      <t>06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</si>
  <si>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云南省昆明市昆明市富民县永定街道西街</t>
    </r>
    <r>
      <rPr>
        <sz val="12"/>
        <color rgb="FF1F2329"/>
        <rFont val="Calibri"/>
        <family val="2"/>
      </rPr>
      <t>64</t>
    </r>
    <r>
      <rPr>
        <sz val="12"/>
        <color rgb="FF1F2329"/>
        <rFont val="宋体"/>
        <family val="3"/>
        <charset val="134"/>
      </rPr>
      <t>号</t>
    </r>
  </si>
  <si>
    <r>
      <t>09</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</si>
  <si>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云南省昆明市昆明市富民县永定街道烟墩村</t>
    </r>
    <r>
      <rPr>
        <sz val="12"/>
        <color rgb="FF1F2329"/>
        <rFont val="Calibri"/>
        <family val="2"/>
      </rPr>
      <t>39</t>
    </r>
    <r>
      <rPr>
        <sz val="12"/>
        <color rgb="FF1F2329"/>
        <rFont val="宋体"/>
        <family val="3"/>
        <charset val="134"/>
      </rPr>
      <t>号</t>
    </r>
  </si>
  <si>
    <r>
      <t>云南省曲靖市陆良县三岔河镇罗依村</t>
    </r>
    <r>
      <rPr>
        <sz val="12"/>
        <color rgb="FF1F2329"/>
        <rFont val="Calibri"/>
        <family val="2"/>
      </rPr>
      <t>85</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</si>
  <si>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</si>
  <si>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t>
    </r>
    <r>
      <rPr>
        <sz val="12"/>
        <color rgb="FF1F2329"/>
        <rFont val="宋体"/>
        <family val="3"/>
        <charset val="134"/>
      </rPr>
      <t>年</t>
    </r>
    <r>
      <rPr>
        <sz val="12"/>
        <color rgb="FF1F2329"/>
        <rFont val="Calibri"/>
        <family val="2"/>
      </rPr>
      <t>8</t>
    </r>
    <r>
      <rPr>
        <sz val="12"/>
        <color rgb="FF1F2329"/>
        <rFont val="宋体"/>
        <family val="3"/>
        <charset val="134"/>
      </rPr>
      <t>个月</t>
    </r>
  </si>
  <si>
    <r>
      <t>云南省曲靖市麒麟区东山镇撒马依村委会横山村</t>
    </r>
    <r>
      <rPr>
        <sz val="12"/>
        <color rgb="FF1F2329"/>
        <rFont val="Calibri"/>
        <family val="2"/>
      </rPr>
      <t>180</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</si>
  <si>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</si>
  <si>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云南省昆明市盘龙区万科金域水岸</t>
    </r>
    <r>
      <rPr>
        <sz val="12"/>
        <color rgb="FF1F2329"/>
        <rFont val="Calibri"/>
        <family val="2"/>
      </rPr>
      <t>3</t>
    </r>
    <r>
      <rPr>
        <sz val="12"/>
        <color rgb="FF1F2329"/>
        <rFont val="宋体"/>
        <family val="3"/>
        <charset val="134"/>
      </rPr>
      <t>栋</t>
    </r>
    <r>
      <rPr>
        <sz val="12"/>
        <color rgb="FF1F2329"/>
        <rFont val="Calibri"/>
        <family val="2"/>
      </rPr>
      <t>2402</t>
    </r>
    <r>
      <rPr>
        <sz val="12"/>
        <color rgb="FF1F2329"/>
        <rFont val="宋体"/>
        <family val="3"/>
        <charset val="134"/>
      </rPr>
      <t>室</t>
    </r>
  </si>
  <si>
    <r>
      <t xml:space="preserve">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</si>
  <si>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22</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</si>
  <si>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云南省昆明市五华区昌源中路昌源花园</t>
    </r>
    <r>
      <rPr>
        <sz val="12"/>
        <color rgb="FF1F2329"/>
        <rFont val="Calibri"/>
        <family val="2"/>
      </rPr>
      <t>4</t>
    </r>
    <r>
      <rPr>
        <sz val="12"/>
        <color rgb="FF1F2329"/>
        <rFont val="宋体"/>
        <family val="3"/>
        <charset val="134"/>
      </rPr>
      <t>栋</t>
    </r>
    <r>
      <rPr>
        <sz val="12"/>
        <color rgb="FF1F2329"/>
        <rFont val="Calibri"/>
        <family val="2"/>
      </rPr>
      <t>3</t>
    </r>
    <r>
      <rPr>
        <sz val="12"/>
        <color rgb="FF1F2329"/>
        <rFont val="宋体"/>
        <family val="3"/>
        <charset val="134"/>
      </rPr>
      <t>单元</t>
    </r>
  </si>
  <si>
    <r>
      <t>机电工程</t>
    </r>
    <r>
      <rPr>
        <sz val="12"/>
        <color rgb="FF1F2329"/>
        <rFont val="Calibri"/>
        <family val="2"/>
      </rPr>
      <t>/</t>
    </r>
    <r>
      <rPr>
        <sz val="12"/>
        <color rgb="FF1F2329"/>
        <rFont val="宋体"/>
        <family val="3"/>
        <charset val="134"/>
      </rPr>
      <t>电气工程及自动化</t>
    </r>
  </si>
  <si>
    <r>
      <t xml:space="preserve">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</si>
  <si>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</si>
  <si>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云南省昆明市五华区昌源中路</t>
    </r>
    <r>
      <rPr>
        <sz val="12"/>
        <color rgb="FF1F2329"/>
        <rFont val="Calibri"/>
        <family val="2"/>
      </rPr>
      <t>41</t>
    </r>
    <r>
      <rPr>
        <sz val="12"/>
        <color rgb="FF1F2329"/>
        <rFont val="宋体"/>
        <family val="3"/>
        <charset val="134"/>
      </rPr>
      <t>号中天阳光</t>
    </r>
    <r>
      <rPr>
        <sz val="12"/>
        <color rgb="FF1F2329"/>
        <rFont val="Calibri"/>
        <family val="2"/>
      </rPr>
      <t>1001</t>
    </r>
    <r>
      <rPr>
        <sz val="12"/>
        <color rgb="FF1F2329"/>
        <rFont val="宋体"/>
        <family val="3"/>
        <charset val="134"/>
      </rPr>
      <t>栋</t>
    </r>
  </si>
  <si>
    <r>
      <t xml:space="preserve">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</si>
  <si>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10</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</si>
  <si>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</si>
  <si>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04</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</si>
  <si>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云南省昆明市高新区黑林铺街道美丽新世界小区</t>
    </r>
    <r>
      <rPr>
        <sz val="12"/>
        <color rgb="FF1F2329"/>
        <rFont val="Calibri"/>
        <family val="2"/>
      </rPr>
      <t>19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702</t>
    </r>
  </si>
  <si>
    <r>
      <t xml:space="preserve">4 </t>
    </r>
    <r>
      <rPr>
        <sz val="12"/>
        <color rgb="FF1F2329"/>
        <rFont val="宋体"/>
        <family val="3"/>
        <charset val="134"/>
      </rPr>
      <t>年</t>
    </r>
  </si>
  <si>
    <r>
      <t>03</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</si>
  <si>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云南省昆明市五华区黑林铺街道美丽新世界</t>
    </r>
    <r>
      <rPr>
        <sz val="12"/>
        <color rgb="FF1F2329"/>
        <rFont val="Calibri"/>
        <family val="2"/>
      </rPr>
      <t>6</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601</t>
    </r>
    <r>
      <rPr>
        <sz val="12"/>
        <color rgb="FF1F2329"/>
        <rFont val="宋体"/>
        <family val="3"/>
        <charset val="134"/>
      </rPr>
      <t>室</t>
    </r>
  </si>
  <si>
    <r>
      <t>02</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</si>
  <si>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云南省昆明市昆明市富民县款庄镇热水村委会李资树村</t>
    </r>
    <r>
      <rPr>
        <sz val="12"/>
        <color rgb="FF1F2329"/>
        <rFont val="Calibri"/>
        <family val="2"/>
      </rPr>
      <t>219</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</si>
  <si>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质量保证部</t>
    </r>
  </si>
  <si>
    <r>
      <t xml:space="preserve">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</si>
  <si>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06</t>
    </r>
    <r>
      <rPr>
        <sz val="12"/>
        <color rgb="FF1F2329"/>
        <rFont val="宋体"/>
        <family val="3"/>
        <charset val="134"/>
      </rPr>
      <t>个月</t>
    </r>
  </si>
  <si>
    <r>
      <t>云南省红河哈尼族彝族自治州泸西县金马镇小核桃村</t>
    </r>
    <r>
      <rPr>
        <sz val="12"/>
        <color rgb="FF1F2329"/>
        <rFont val="Calibri"/>
        <family val="2"/>
      </rPr>
      <t>174</t>
    </r>
    <r>
      <rPr>
        <sz val="12"/>
        <color rgb="FF1F2329"/>
        <rFont val="宋体"/>
        <family val="3"/>
        <charset val="134"/>
      </rPr>
      <t>号</t>
    </r>
  </si>
  <si>
    <r>
      <t>云南省昆明市昆明市富民县永定街道环城南路俊发水岸家园</t>
    </r>
    <r>
      <rPr>
        <sz val="12"/>
        <color rgb="FF1F2329"/>
        <rFont val="Calibri"/>
        <family val="2"/>
      </rPr>
      <t>14-3-1002</t>
    </r>
    <r>
      <rPr>
        <sz val="12"/>
        <color rgb="FF1F2329"/>
        <rFont val="宋体"/>
        <family val="3"/>
        <charset val="134"/>
      </rPr>
      <t>号</t>
    </r>
  </si>
  <si>
    <r>
      <t>3</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</si>
  <si>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云南省昆明市五华区黑林铺街道慧谷路</t>
    </r>
    <r>
      <rPr>
        <sz val="12"/>
        <color rgb="FF1F2329"/>
        <rFont val="Calibri"/>
        <family val="2"/>
      </rPr>
      <t>12</t>
    </r>
    <r>
      <rPr>
        <sz val="12"/>
        <color rgb="FF1F2329"/>
        <rFont val="宋体"/>
        <family val="3"/>
        <charset val="134"/>
      </rPr>
      <t>号碧桂园春城映象上苑</t>
    </r>
    <r>
      <rPr>
        <sz val="12"/>
        <color rgb="FF1F2329"/>
        <rFont val="Calibri"/>
        <family val="2"/>
      </rPr>
      <t>4</t>
    </r>
    <r>
      <rPr>
        <sz val="12"/>
        <color rgb="FF1F2329"/>
        <rFont val="宋体"/>
        <family val="3"/>
        <charset val="134"/>
      </rPr>
      <t>栋</t>
    </r>
    <r>
      <rPr>
        <sz val="12"/>
        <color rgb="FF1F2329"/>
        <rFont val="Calibri"/>
        <family val="2"/>
      </rPr>
      <t>1604</t>
    </r>
  </si>
  <si>
    <r>
      <t xml:space="preserve">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</si>
  <si>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02</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</si>
  <si>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云南省昆明市盘龙区联盟街道王旗营小区万福里</t>
    </r>
    <r>
      <rPr>
        <sz val="12"/>
        <color rgb="FF1F2329"/>
        <rFont val="Calibri"/>
        <family val="2"/>
      </rPr>
      <t>3</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416</t>
    </r>
    <r>
      <rPr>
        <sz val="12"/>
        <color rgb="FF1F2329"/>
        <rFont val="宋体"/>
        <family val="3"/>
        <charset val="134"/>
      </rPr>
      <t>室</t>
    </r>
  </si>
  <si>
    <r>
      <t>机电工程</t>
    </r>
    <r>
      <rPr>
        <sz val="12"/>
        <color rgb="FF1F2329"/>
        <rFont val="Calibri"/>
        <family val="2"/>
      </rPr>
      <t>/</t>
    </r>
    <r>
      <rPr>
        <sz val="12"/>
        <color rgb="FF1F2329"/>
        <rFont val="宋体"/>
        <family val="3"/>
        <charset val="134"/>
      </rPr>
      <t>电气</t>
    </r>
  </si>
  <si>
    <r>
      <t xml:space="preserve">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</si>
  <si>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5 </t>
    </r>
    <r>
      <rPr>
        <sz val="12"/>
        <color rgb="FF1F2329"/>
        <rFont val="宋体"/>
        <family val="3"/>
        <charset val="134"/>
      </rPr>
      <t>年</t>
    </r>
  </si>
  <si>
    <r>
      <t>云南省昆明市官渡区世纪城叠春苑</t>
    </r>
    <r>
      <rPr>
        <sz val="12"/>
        <color rgb="FF1F2329"/>
        <rFont val="Calibri"/>
        <family val="2"/>
      </rPr>
      <t>24</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5H</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</si>
  <si>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人力资本部</t>
    </r>
  </si>
  <si>
    <r>
      <t xml:space="preserve">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</si>
  <si>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03</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</si>
  <si>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云南省昆明市官渡区羊方凹</t>
    </r>
    <r>
      <rPr>
        <sz val="12"/>
        <color rgb="FF1F2329"/>
        <rFont val="Calibri"/>
        <family val="2"/>
      </rPr>
      <t>384</t>
    </r>
    <r>
      <rPr>
        <sz val="12"/>
        <color rgb="FF1F2329"/>
        <rFont val="宋体"/>
        <family val="3"/>
        <charset val="134"/>
      </rPr>
      <t>号昆明中铁集团公司</t>
    </r>
  </si>
  <si>
    <r>
      <t xml:space="preserve">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</si>
  <si>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09</t>
    </r>
    <r>
      <rPr>
        <sz val="12"/>
        <color rgb="FF1F2329"/>
        <rFont val="宋体"/>
        <family val="3"/>
        <charset val="134"/>
      </rPr>
      <t>年</t>
    </r>
    <r>
      <rPr>
        <sz val="12"/>
        <color rgb="FF1F2329"/>
        <rFont val="Calibri"/>
        <family val="2"/>
      </rPr>
      <t>05</t>
    </r>
    <r>
      <rPr>
        <sz val="12"/>
        <color rgb="FF1F2329"/>
        <rFont val="宋体"/>
        <family val="3"/>
        <charset val="134"/>
      </rPr>
      <t>个月</t>
    </r>
  </si>
  <si>
    <r>
      <t>01</t>
    </r>
    <r>
      <rPr>
        <sz val="12"/>
        <color rgb="FF1F2329"/>
        <rFont val="宋体"/>
        <family val="3"/>
        <charset val="134"/>
      </rPr>
      <t>年</t>
    </r>
    <r>
      <rPr>
        <sz val="12"/>
        <color rgb="FF1F2329"/>
        <rFont val="Calibri"/>
        <family val="2"/>
      </rPr>
      <t>08</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</si>
  <si>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</si>
  <si>
    <r>
      <t>16</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</si>
  <si>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云南省昆明市昆明市富民县永定街道办事处麦竜村委会肖家营村</t>
    </r>
    <r>
      <rPr>
        <sz val="12"/>
        <color rgb="FF1F2329"/>
        <rFont val="Calibri"/>
        <family val="2"/>
      </rPr>
      <t>230</t>
    </r>
    <r>
      <rPr>
        <sz val="12"/>
        <color rgb="FF1F2329"/>
        <rFont val="宋体"/>
        <family val="3"/>
        <charset val="134"/>
      </rPr>
      <t>号</t>
    </r>
  </si>
  <si>
    <r>
      <t>云南省昆明市昆明市富民县赤鹫镇永富村委会龙发村</t>
    </r>
    <r>
      <rPr>
        <sz val="12"/>
        <color rgb="FF1F2329"/>
        <rFont val="Calibri"/>
        <family val="2"/>
      </rPr>
      <t>32</t>
    </r>
    <r>
      <rPr>
        <sz val="12"/>
        <color rgb="FF1F2329"/>
        <rFont val="宋体"/>
        <family val="3"/>
        <charset val="134"/>
      </rPr>
      <t>号</t>
    </r>
  </si>
  <si>
    <r>
      <t>04</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</si>
  <si>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云南省曲靖市师宗县雄壁镇独龙村委会上大哨村</t>
    </r>
    <r>
      <rPr>
        <sz val="12"/>
        <color rgb="FF1F2329"/>
        <rFont val="Calibri"/>
        <family val="2"/>
      </rPr>
      <t>148</t>
    </r>
    <r>
      <rPr>
        <sz val="12"/>
        <color rgb="FF1F2329"/>
        <rFont val="宋体"/>
        <family val="3"/>
        <charset val="134"/>
      </rPr>
      <t>号</t>
    </r>
  </si>
  <si>
    <r>
      <t>云南省玉溪市华宁县宁州镇铁埂社区莲花塘村</t>
    </r>
    <r>
      <rPr>
        <sz val="12"/>
        <color rgb="FF1F2329"/>
        <rFont val="Calibri"/>
        <family val="2"/>
      </rPr>
      <t>5</t>
    </r>
    <r>
      <rPr>
        <sz val="12"/>
        <color rgb="FF1F2329"/>
        <rFont val="宋体"/>
        <family val="3"/>
        <charset val="134"/>
      </rPr>
      <t>号</t>
    </r>
  </si>
  <si>
    <r>
      <t>云南省昆明市安宁市中华路</t>
    </r>
    <r>
      <rPr>
        <sz val="12"/>
        <color rgb="FF1F2329"/>
        <rFont val="Calibri"/>
        <family val="2"/>
      </rPr>
      <t>101</t>
    </r>
    <r>
      <rPr>
        <sz val="12"/>
        <color rgb="FF1F2329"/>
        <rFont val="宋体"/>
        <family val="3"/>
        <charset val="134"/>
      </rPr>
      <t>号</t>
    </r>
  </si>
  <si>
    <r>
      <t>09</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</si>
  <si>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云南省昆明市昆明市富民县黎阳晟市小区</t>
    </r>
    <r>
      <rPr>
        <sz val="12"/>
        <color rgb="FF1F2329"/>
        <rFont val="Calibri"/>
        <family val="2"/>
      </rPr>
      <t>2</t>
    </r>
    <r>
      <rPr>
        <sz val="12"/>
        <color rgb="FF1F2329"/>
        <rFont val="宋体"/>
        <family val="3"/>
        <charset val="134"/>
      </rPr>
      <t>组团</t>
    </r>
    <r>
      <rPr>
        <sz val="12"/>
        <color rgb="FF1F2329"/>
        <rFont val="Calibri"/>
        <family val="2"/>
      </rPr>
      <t>9</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室</t>
    </r>
  </si>
  <si>
    <r>
      <t xml:space="preserve">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</si>
  <si>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08</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</si>
  <si>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云南省昆明市五华区学府路</t>
    </r>
    <r>
      <rPr>
        <sz val="12"/>
        <color rgb="FF1F2329"/>
        <rFont val="Calibri"/>
        <family val="2"/>
      </rPr>
      <t>747</t>
    </r>
    <r>
      <rPr>
        <sz val="12"/>
        <color rgb="FF1F2329"/>
        <rFont val="宋体"/>
        <family val="3"/>
        <charset val="134"/>
      </rPr>
      <t>号学府人家小区</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904</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</si>
  <si>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</si>
  <si>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</si>
  <si>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云南省昆明市经开区拓翔路</t>
    </r>
    <r>
      <rPr>
        <sz val="12"/>
        <color rgb="FF1F2329"/>
        <rFont val="Calibri"/>
        <family val="2"/>
      </rPr>
      <t>235</t>
    </r>
    <r>
      <rPr>
        <sz val="12"/>
        <color rgb="FF1F2329"/>
        <rFont val="宋体"/>
        <family val="3"/>
        <charset val="134"/>
      </rPr>
      <t>号</t>
    </r>
  </si>
  <si>
    <r>
      <t xml:space="preserve">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</si>
  <si>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05</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</si>
  <si>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6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</si>
  <si>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</si>
  <si>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云南省昆明市五华区江岸小区二期韵江里</t>
    </r>
    <r>
      <rPr>
        <sz val="12"/>
        <color rgb="FF1F2329"/>
        <rFont val="Calibri"/>
        <family val="2"/>
      </rPr>
      <t>48</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502</t>
    </r>
    <r>
      <rPr>
        <sz val="12"/>
        <color rgb="FF1F2329"/>
        <rFont val="宋体"/>
        <family val="3"/>
        <charset val="134"/>
      </rPr>
      <t>室</t>
    </r>
  </si>
  <si>
    <r>
      <t>机电工程</t>
    </r>
    <r>
      <rPr>
        <sz val="12"/>
        <color rgb="FF1F2329"/>
        <rFont val="Calibri"/>
        <family val="2"/>
      </rPr>
      <t>/</t>
    </r>
    <r>
      <rPr>
        <sz val="12"/>
        <color rgb="FF1F2329"/>
        <rFont val="宋体"/>
        <family val="3"/>
        <charset val="134"/>
      </rPr>
      <t>自动化与控制</t>
    </r>
  </si>
  <si>
    <r>
      <t>05</t>
    </r>
    <r>
      <rPr>
        <sz val="12"/>
        <color rgb="FF1F2329"/>
        <rFont val="宋体"/>
        <family val="3"/>
        <charset val="134"/>
      </rPr>
      <t>年</t>
    </r>
    <r>
      <rPr>
        <sz val="12"/>
        <color rgb="FF1F2329"/>
        <rFont val="Calibri"/>
        <family val="2"/>
      </rPr>
      <t>00</t>
    </r>
    <r>
      <rPr>
        <sz val="12"/>
        <color rgb="FF1F2329"/>
        <rFont val="宋体"/>
        <family val="3"/>
        <charset val="134"/>
      </rPr>
      <t>个月</t>
    </r>
  </si>
  <si>
    <r>
      <t>16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</si>
  <si>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云南省昆明市五华区莲华街道五台路</t>
    </r>
    <r>
      <rPr>
        <sz val="12"/>
        <color rgb="FF1F2329"/>
        <rFont val="Calibri"/>
        <family val="2"/>
      </rPr>
      <t>3</t>
    </r>
    <r>
      <rPr>
        <sz val="12"/>
        <color rgb="FF1F2329"/>
        <rFont val="宋体"/>
        <family val="3"/>
        <charset val="134"/>
      </rPr>
      <t>号</t>
    </r>
  </si>
  <si>
    <r>
      <t>5</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</si>
  <si>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云南省大理白族自治州剑川县金华镇向前村委会前舍登村</t>
    </r>
    <r>
      <rPr>
        <sz val="12"/>
        <color rgb="FF1F2329"/>
        <rFont val="Calibri"/>
        <family val="2"/>
      </rPr>
      <t>95</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</si>
  <si>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检验室</t>
    </r>
  </si>
  <si>
    <r>
      <t>05</t>
    </r>
    <r>
      <rPr>
        <sz val="12"/>
        <color rgb="FF1F2329"/>
        <rFont val="宋体"/>
        <family val="3"/>
        <charset val="134"/>
      </rPr>
      <t>年</t>
    </r>
    <r>
      <rPr>
        <sz val="12"/>
        <color rgb="FF1F2329"/>
        <rFont val="Calibri"/>
        <family val="2"/>
      </rPr>
      <t>03</t>
    </r>
    <r>
      <rPr>
        <sz val="12"/>
        <color rgb="FF1F2329"/>
        <rFont val="宋体"/>
        <family val="3"/>
        <charset val="134"/>
      </rPr>
      <t>个月</t>
    </r>
  </si>
  <si>
    <r>
      <t>江苏省南京市建邺区双和村大香村集体宿舍</t>
    </r>
    <r>
      <rPr>
        <sz val="12"/>
        <color rgb="FF1F2329"/>
        <rFont val="Calibri"/>
        <family val="2"/>
      </rPr>
      <t>88</t>
    </r>
    <r>
      <rPr>
        <sz val="12"/>
        <color rgb="FF1F2329"/>
        <rFont val="宋体"/>
        <family val="3"/>
        <charset val="134"/>
      </rPr>
      <t>号</t>
    </r>
  </si>
  <si>
    <r>
      <t>09</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</si>
  <si>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云南省昆明市昆明市富民县赤鹫镇永富村委会永富村</t>
    </r>
    <r>
      <rPr>
        <sz val="12"/>
        <color rgb="FF1F2329"/>
        <rFont val="Calibri"/>
        <family val="2"/>
      </rPr>
      <t>70</t>
    </r>
    <r>
      <rPr>
        <sz val="12"/>
        <color rgb="FF1F2329"/>
        <rFont val="宋体"/>
        <family val="3"/>
        <charset val="134"/>
      </rPr>
      <t>号</t>
    </r>
  </si>
  <si>
    <r>
      <t>5</t>
    </r>
    <r>
      <rPr>
        <sz val="12"/>
        <color rgb="FF1F2329"/>
        <rFont val="宋体"/>
        <family val="3"/>
        <charset val="134"/>
      </rPr>
      <t>年</t>
    </r>
    <r>
      <rPr>
        <sz val="12"/>
        <color rgb="FF1F2329"/>
        <rFont val="Calibri"/>
        <family val="2"/>
      </rPr>
      <t>3</t>
    </r>
    <r>
      <rPr>
        <sz val="12"/>
        <color rgb="FF1F2329"/>
        <rFont val="宋体"/>
        <family val="3"/>
        <charset val="134"/>
      </rPr>
      <t>个月</t>
    </r>
  </si>
  <si>
    <r>
      <t>云南省官渡区小板桥街道新华丰食品城</t>
    </r>
    <r>
      <rPr>
        <sz val="12"/>
        <color rgb="FF1F2329"/>
        <rFont val="Calibri"/>
        <family val="2"/>
      </rPr>
      <t>B1-9</t>
    </r>
  </si>
  <si>
    <r>
      <t>云南省昆明市昆明市富民县赤就镇永富村委会秧田箐村</t>
    </r>
    <r>
      <rPr>
        <sz val="12"/>
        <color rgb="FF1F2329"/>
        <rFont val="Calibri"/>
        <family val="2"/>
      </rPr>
      <t>43</t>
    </r>
    <r>
      <rPr>
        <sz val="12"/>
        <color rgb="FF1F2329"/>
        <rFont val="宋体"/>
        <family val="3"/>
        <charset val="134"/>
      </rPr>
      <t>号</t>
    </r>
  </si>
  <si>
    <r>
      <t>云南省红河哈尼族彝族自治州弥勒市新哨镇火木龙村委会阿木勒村</t>
    </r>
    <r>
      <rPr>
        <sz val="12"/>
        <color rgb="FF1F2329"/>
        <rFont val="Calibri"/>
        <family val="2"/>
      </rPr>
      <t>55</t>
    </r>
    <r>
      <rPr>
        <sz val="12"/>
        <color rgb="FF1F2329"/>
        <rFont val="宋体"/>
        <family val="3"/>
        <charset val="134"/>
      </rPr>
      <t>号</t>
    </r>
  </si>
  <si>
    <r>
      <t>云南省曲靖市师宗县丹凤街矣腊社区矣腊村</t>
    </r>
    <r>
      <rPr>
        <sz val="12"/>
        <color rgb="FF1F2329"/>
        <rFont val="Calibri"/>
        <family val="2"/>
      </rPr>
      <t>113</t>
    </r>
    <r>
      <rPr>
        <sz val="12"/>
        <color rgb="FF1F2329"/>
        <rFont val="宋体"/>
        <family val="3"/>
        <charset val="134"/>
      </rPr>
      <t>号</t>
    </r>
  </si>
  <si>
    <r>
      <t>云南省曲靖市陆良县板桥镇石坝村委会郑石坝村</t>
    </r>
    <r>
      <rPr>
        <sz val="12"/>
        <color rgb="FF1F2329"/>
        <rFont val="Calibri"/>
        <family val="2"/>
      </rPr>
      <t>97</t>
    </r>
    <r>
      <rPr>
        <sz val="12"/>
        <color rgb="FF1F2329"/>
        <rFont val="宋体"/>
        <family val="3"/>
        <charset val="134"/>
      </rPr>
      <t>号</t>
    </r>
  </si>
  <si>
    <r>
      <t>云南省昆明市西山区船房小区鼎跃青年公寓</t>
    </r>
    <r>
      <rPr>
        <sz val="12"/>
        <color rgb="FF1F2329"/>
        <rFont val="Calibri"/>
        <family val="2"/>
      </rPr>
      <t>8521</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</si>
  <si>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</si>
  <si>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云南省昆明市昆明市富民县永定街道办事处麦场村委会庄房村</t>
    </r>
    <r>
      <rPr>
        <sz val="12"/>
        <color rgb="FF1F2329"/>
        <rFont val="Calibri"/>
        <family val="2"/>
      </rPr>
      <t>22</t>
    </r>
    <r>
      <rPr>
        <sz val="12"/>
        <color rgb="FF1F2329"/>
        <rFont val="宋体"/>
        <family val="3"/>
        <charset val="134"/>
      </rPr>
      <t>号</t>
    </r>
  </si>
  <si>
    <r>
      <t xml:space="preserve">7 </t>
    </r>
    <r>
      <rPr>
        <sz val="12"/>
        <color rgb="FF1F2329"/>
        <rFont val="宋体"/>
        <family val="3"/>
        <charset val="134"/>
      </rPr>
      <t>年</t>
    </r>
  </si>
  <si>
    <r>
      <t>05</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</si>
  <si>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云南省昆明市昆明市富民县富安花园</t>
    </r>
    <r>
      <rPr>
        <sz val="12"/>
        <color rgb="FF1F2329"/>
        <rFont val="Calibri"/>
        <family val="2"/>
      </rPr>
      <t>7</t>
    </r>
    <r>
      <rPr>
        <sz val="12"/>
        <color rgb="FF1F2329"/>
        <rFont val="宋体"/>
        <family val="3"/>
        <charset val="134"/>
      </rPr>
      <t>栋</t>
    </r>
  </si>
  <si>
    <r>
      <t>07</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</si>
  <si>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云南省昆明市昆明市富民县款庄乡宜格村委会打磨箐村</t>
    </r>
    <r>
      <rPr>
        <sz val="12"/>
        <color rgb="FF1F2329"/>
        <rFont val="Calibri"/>
        <family val="2"/>
      </rPr>
      <t>6</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</si>
  <si>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</si>
  <si>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</si>
  <si>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云南省曲靖市宣威市西泽乡西泽村委会马家湾村</t>
    </r>
    <r>
      <rPr>
        <sz val="12"/>
        <color rgb="FF1F2329"/>
        <rFont val="Calibri"/>
        <family val="2"/>
      </rPr>
      <t>971</t>
    </r>
    <r>
      <rPr>
        <sz val="12"/>
        <color rgb="FF1F2329"/>
        <rFont val="宋体"/>
        <family val="3"/>
        <charset val="134"/>
      </rPr>
      <t>号</t>
    </r>
  </si>
  <si>
    <r>
      <t>云南省昆明市西山区融创文旅城归海花园</t>
    </r>
    <r>
      <rPr>
        <sz val="12"/>
        <color rgb="FF1F2329"/>
        <rFont val="Calibri"/>
        <family val="2"/>
      </rPr>
      <t>1</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1401</t>
    </r>
  </si>
  <si>
    <r>
      <t xml:space="preserve">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</si>
  <si>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云南省昆明市五华区建工新村</t>
    </r>
    <r>
      <rPr>
        <sz val="12"/>
        <color rgb="FF1F2329"/>
        <rFont val="Calibri"/>
        <family val="2"/>
      </rPr>
      <t>67</t>
    </r>
    <r>
      <rPr>
        <sz val="12"/>
        <color rgb="FF1F2329"/>
        <rFont val="宋体"/>
        <family val="3"/>
        <charset val="134"/>
      </rPr>
      <t>号附</t>
    </r>
    <r>
      <rPr>
        <sz val="12"/>
        <color rgb="FF1F2329"/>
        <rFont val="Calibri"/>
        <family val="2"/>
      </rPr>
      <t>302</t>
    </r>
    <r>
      <rPr>
        <sz val="12"/>
        <color rgb="FF1F2329"/>
        <rFont val="宋体"/>
        <family val="3"/>
        <charset val="134"/>
      </rPr>
      <t>号</t>
    </r>
  </si>
  <si>
    <r>
      <t>04</t>
    </r>
    <r>
      <rPr>
        <sz val="12"/>
        <color rgb="FF1F2329"/>
        <rFont val="宋体"/>
        <family val="3"/>
        <charset val="134"/>
      </rPr>
      <t>年</t>
    </r>
    <r>
      <rPr>
        <sz val="12"/>
        <color rgb="FF1F2329"/>
        <rFont val="Calibri"/>
        <family val="2"/>
      </rPr>
      <t>08</t>
    </r>
    <r>
      <rPr>
        <sz val="12"/>
        <color rgb="FF1F2329"/>
        <rFont val="宋体"/>
        <family val="3"/>
        <charset val="134"/>
      </rPr>
      <t>个月</t>
    </r>
  </si>
  <si>
    <r>
      <t>云南省曲靖市陆良县三岔河镇三岔子村委会</t>
    </r>
    <r>
      <rPr>
        <sz val="12"/>
        <color rgb="FF1F2329"/>
        <rFont val="Calibri"/>
        <family val="2"/>
      </rPr>
      <t>3</t>
    </r>
    <r>
      <rPr>
        <sz val="12"/>
        <color rgb="FF1F2329"/>
        <rFont val="宋体"/>
        <family val="3"/>
        <charset val="134"/>
      </rPr>
      <t>社</t>
    </r>
    <r>
      <rPr>
        <sz val="12"/>
        <color rgb="FF1F2329"/>
        <rFont val="Calibri"/>
        <family val="2"/>
      </rPr>
      <t>165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</si>
  <si>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</si>
  <si>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云南省昆明市昆明市富民县永定街道办事处龙潭箐村</t>
    </r>
    <r>
      <rPr>
        <sz val="12"/>
        <color rgb="FF1F2329"/>
        <rFont val="Calibri"/>
        <family val="2"/>
      </rPr>
      <t>2</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</si>
  <si>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</si>
  <si>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</si>
  <si>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云南省昆明市呈贡区大方居小区</t>
    </r>
    <r>
      <rPr>
        <sz val="12"/>
        <color rgb="FF1F2329"/>
        <rFont val="Calibri"/>
        <family val="2"/>
      </rPr>
      <t>2301</t>
    </r>
  </si>
  <si>
    <r>
      <t>云南省昆明市昆明市富民县赤就镇永富村委会龙发村</t>
    </r>
    <r>
      <rPr>
        <sz val="12"/>
        <color rgb="FF1F2329"/>
        <rFont val="Calibri"/>
        <family val="2"/>
      </rPr>
      <t>39</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</si>
  <si>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</si>
  <si>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云南省曲靖市罗平县富乐镇天水村委会红石岩村</t>
    </r>
    <r>
      <rPr>
        <sz val="12"/>
        <color rgb="FF1F2329"/>
        <rFont val="Calibri"/>
        <family val="2"/>
      </rPr>
      <t>96</t>
    </r>
    <r>
      <rPr>
        <sz val="12"/>
        <color rgb="FF1F2329"/>
        <rFont val="宋体"/>
        <family val="3"/>
        <charset val="134"/>
      </rPr>
      <t>号</t>
    </r>
  </si>
  <si>
    <r>
      <t>云南省宣威市杨柳乡水塘村委会上洋洞村</t>
    </r>
    <r>
      <rPr>
        <sz val="12"/>
        <color rgb="FF1F2329"/>
        <rFont val="Calibri"/>
        <family val="2"/>
      </rPr>
      <t>45</t>
    </r>
    <r>
      <rPr>
        <sz val="12"/>
        <color rgb="FF1F2329"/>
        <rFont val="宋体"/>
        <family val="3"/>
        <charset val="134"/>
      </rPr>
      <t>号</t>
    </r>
  </si>
  <si>
    <r>
      <t>云南省昆明市昆明市富民县西街</t>
    </r>
    <r>
      <rPr>
        <sz val="12"/>
        <color rgb="FF1F2329"/>
        <rFont val="Calibri"/>
        <family val="2"/>
      </rPr>
      <t>25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</si>
  <si>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</si>
  <si>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03</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</si>
  <si>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云南省昆明市盘龙区龙泉路</t>
    </r>
    <r>
      <rPr>
        <sz val="12"/>
        <color rgb="FF1F2329"/>
        <rFont val="Calibri"/>
        <family val="2"/>
      </rPr>
      <t>935</t>
    </r>
    <r>
      <rPr>
        <sz val="12"/>
        <color rgb="FF1F2329"/>
        <rFont val="宋体"/>
        <family val="3"/>
        <charset val="134"/>
      </rPr>
      <t>号</t>
    </r>
  </si>
  <si>
    <r>
      <t>云南省曲靖市麒麟区东山镇木村委会高头坝村</t>
    </r>
    <r>
      <rPr>
        <sz val="12"/>
        <color rgb="FF1F2329"/>
        <rFont val="Calibri"/>
        <family val="2"/>
      </rPr>
      <t>72</t>
    </r>
    <r>
      <rPr>
        <sz val="12"/>
        <color rgb="FF1F2329"/>
        <rFont val="宋体"/>
        <family val="3"/>
        <charset val="134"/>
      </rPr>
      <t>号</t>
    </r>
  </si>
  <si>
    <r>
      <t>06</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</si>
  <si>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7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</si>
  <si>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云南省昆明市昆明市富民县北城河路</t>
    </r>
    <r>
      <rPr>
        <sz val="12"/>
        <color rgb="FF1F2329"/>
        <rFont val="Calibri"/>
        <family val="2"/>
      </rPr>
      <t>3</t>
    </r>
    <r>
      <rPr>
        <sz val="12"/>
        <color rgb="FF1F2329"/>
        <rFont val="宋体"/>
        <family val="3"/>
        <charset val="134"/>
      </rPr>
      <t>号</t>
    </r>
  </si>
  <si>
    <r>
      <t xml:space="preserve">8 </t>
    </r>
    <r>
      <rPr>
        <sz val="12"/>
        <color rgb="FF1F2329"/>
        <rFont val="宋体"/>
        <family val="3"/>
        <charset val="134"/>
      </rPr>
      <t>年</t>
    </r>
  </si>
  <si>
    <r>
      <t>04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</si>
  <si>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云南省昆明市嵩明县杨林镇云林村民委员会九组</t>
    </r>
    <r>
      <rPr>
        <sz val="12"/>
        <color rgb="FF1F2329"/>
        <rFont val="Calibri"/>
        <family val="2"/>
      </rPr>
      <t>339</t>
    </r>
    <r>
      <rPr>
        <sz val="12"/>
        <color rgb="FF1F2329"/>
        <rFont val="宋体"/>
        <family val="3"/>
        <charset val="134"/>
      </rPr>
      <t>号</t>
    </r>
  </si>
  <si>
    <r>
      <t xml:space="preserve">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</si>
  <si>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云南省玉溪市江川县九溪镇中营村委会中营上村</t>
    </r>
    <r>
      <rPr>
        <sz val="12"/>
        <color rgb="FF1F2329"/>
        <rFont val="Calibri"/>
        <family val="2"/>
      </rPr>
      <t>119</t>
    </r>
    <r>
      <rPr>
        <sz val="12"/>
        <color rgb="FF1F2329"/>
        <rFont val="宋体"/>
        <family val="3"/>
        <charset val="134"/>
      </rPr>
      <t>号</t>
    </r>
  </si>
  <si>
    <r>
      <t>06</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</si>
  <si>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云南省昆明市呈贡区洛龙街道米兰园小区</t>
    </r>
    <r>
      <rPr>
        <sz val="12"/>
        <color rgb="FF1F2329"/>
        <rFont val="Calibri"/>
        <family val="2"/>
      </rPr>
      <t>C13</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301</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</si>
  <si>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信息技术部</t>
    </r>
  </si>
  <si>
    <r>
      <t>云南省昆明市昆明市富民县罗免彝族苗族镇麦加营村委会罗富村</t>
    </r>
    <r>
      <rPr>
        <sz val="12"/>
        <color rgb="FF1F2329"/>
        <rFont val="Calibri"/>
        <family val="2"/>
      </rPr>
      <t>41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</si>
  <si>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</si>
  <si>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云南省昆明市西站</t>
    </r>
    <r>
      <rPr>
        <sz val="12"/>
        <color rgb="FF1F2329"/>
        <rFont val="Calibri"/>
        <family val="2"/>
      </rPr>
      <t>13</t>
    </r>
    <r>
      <rPr>
        <sz val="12"/>
        <color rgb="FF1F2329"/>
        <rFont val="宋体"/>
        <family val="3"/>
        <charset val="134"/>
      </rPr>
      <t>号</t>
    </r>
    <r>
      <rPr>
        <sz val="12"/>
        <color rgb="FF1F2329"/>
        <rFont val="Calibri"/>
        <family val="2"/>
      </rPr>
      <t>9-1-103</t>
    </r>
  </si>
  <si>
    <r>
      <t xml:space="preserve">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</si>
  <si>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10</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</si>
  <si>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云南省昆明市昆明市富民县永定镇仓前村委会仓前村</t>
    </r>
    <r>
      <rPr>
        <sz val="12"/>
        <color rgb="FF1F2329"/>
        <rFont val="Calibri"/>
        <family val="2"/>
      </rPr>
      <t>364</t>
    </r>
    <r>
      <rPr>
        <sz val="12"/>
        <color rgb="FF1F2329"/>
        <rFont val="宋体"/>
        <family val="3"/>
        <charset val="134"/>
      </rPr>
      <t>号</t>
    </r>
  </si>
  <si>
    <r>
      <t xml:space="preserve">9 </t>
    </r>
    <r>
      <rPr>
        <sz val="12"/>
        <color rgb="FF1F2329"/>
        <rFont val="宋体"/>
        <family val="3"/>
        <charset val="134"/>
      </rPr>
      <t>年</t>
    </r>
  </si>
  <si>
    <r>
      <t>云南省昆明市禄劝县则黑村十八组</t>
    </r>
    <r>
      <rPr>
        <sz val="12"/>
        <color rgb="FF1F2329"/>
        <rFont val="Calibri"/>
        <family val="2"/>
      </rPr>
      <t>51</t>
    </r>
    <r>
      <rPr>
        <sz val="12"/>
        <color rgb="FF1F2329"/>
        <rFont val="宋体"/>
        <family val="3"/>
        <charset val="134"/>
      </rPr>
      <t>号</t>
    </r>
  </si>
  <si>
    <r>
      <t>安全工程</t>
    </r>
    <r>
      <rPr>
        <sz val="12"/>
        <color rgb="FF1F2329"/>
        <rFont val="Calibri"/>
        <family val="2"/>
      </rPr>
      <t>/</t>
    </r>
    <r>
      <rPr>
        <sz val="12"/>
        <color rgb="FF1F2329"/>
        <rFont val="宋体"/>
        <family val="3"/>
        <charset val="134"/>
      </rPr>
      <t>安全生产管理</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</si>
  <si>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安全管理部</t>
    </r>
  </si>
  <si>
    <r>
      <t>云南省昆明市昆船工业区昆船花园</t>
    </r>
    <r>
      <rPr>
        <sz val="12"/>
        <color rgb="FF1F2329"/>
        <rFont val="Calibri"/>
        <family val="2"/>
      </rPr>
      <t>2-2-302</t>
    </r>
  </si>
  <si>
    <r>
      <t xml:space="preserve">9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</si>
  <si>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26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</si>
  <si>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云南省昆明市五华区洪源路康宏小区</t>
    </r>
    <r>
      <rPr>
        <sz val="12"/>
        <color rgb="FF1F2329"/>
        <rFont val="Calibri"/>
        <family val="2"/>
      </rPr>
      <t>38</t>
    </r>
    <r>
      <rPr>
        <sz val="12"/>
        <color rgb="FF1F2329"/>
        <rFont val="宋体"/>
        <family val="3"/>
        <charset val="134"/>
      </rPr>
      <t>栋</t>
    </r>
  </si>
  <si>
    <r>
      <t xml:space="preserve">9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</si>
  <si>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云南省昆明市昆明市富民县罗免乡者北街</t>
    </r>
    <r>
      <rPr>
        <sz val="12"/>
        <color rgb="FF1F2329"/>
        <rFont val="Calibri"/>
        <family val="2"/>
      </rPr>
      <t>13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</si>
  <si>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</si>
  <si>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08</t>
    </r>
    <r>
      <rPr>
        <sz val="12"/>
        <color rgb="FF1F2329"/>
        <rFont val="宋体"/>
        <family val="3"/>
        <charset val="134"/>
      </rPr>
      <t>年</t>
    </r>
    <r>
      <rPr>
        <sz val="12"/>
        <color rgb="FF1F2329"/>
        <rFont val="Calibri"/>
        <family val="2"/>
      </rPr>
      <t>02</t>
    </r>
    <r>
      <rPr>
        <sz val="12"/>
        <color rgb="FF1F2329"/>
        <rFont val="宋体"/>
        <family val="3"/>
        <charset val="134"/>
      </rPr>
      <t>个月</t>
    </r>
  </si>
  <si>
    <r>
      <t>云南省楚雄彝族自治州姚安县栋川镇蜻蛉村委会彭家冲二组</t>
    </r>
    <r>
      <rPr>
        <sz val="12"/>
        <color rgb="FF1F2329"/>
        <rFont val="Calibri"/>
        <family val="2"/>
      </rPr>
      <t>58</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</si>
  <si>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</si>
  <si>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08</t>
    </r>
    <r>
      <rPr>
        <sz val="12"/>
        <color rgb="FF1F2329"/>
        <rFont val="宋体"/>
        <family val="3"/>
        <charset val="134"/>
      </rPr>
      <t>年</t>
    </r>
    <r>
      <rPr>
        <sz val="12"/>
        <color rgb="FF1F2329"/>
        <rFont val="Calibri"/>
        <family val="2"/>
      </rPr>
      <t>03</t>
    </r>
    <r>
      <rPr>
        <sz val="12"/>
        <color rgb="FF1F2329"/>
        <rFont val="宋体"/>
        <family val="3"/>
        <charset val="134"/>
      </rPr>
      <t>个月</t>
    </r>
  </si>
  <si>
    <r>
      <t>云南省红河哈尼族彝族自治州弥勒县竹园镇土桥村委会新街子村</t>
    </r>
    <r>
      <rPr>
        <sz val="12"/>
        <color rgb="FF1F2329"/>
        <rFont val="Calibri"/>
        <family val="2"/>
      </rPr>
      <t>130</t>
    </r>
    <r>
      <rPr>
        <sz val="12"/>
        <color rgb="FF1F2329"/>
        <rFont val="宋体"/>
        <family val="3"/>
        <charset val="134"/>
      </rPr>
      <t>号</t>
    </r>
  </si>
  <si>
    <r>
      <t>云南省昆明市昆明市富民县永定街道办事处永一村委会班张村</t>
    </r>
    <r>
      <rPr>
        <sz val="12"/>
        <color rgb="FF1F2329"/>
        <rFont val="Calibri"/>
        <family val="2"/>
      </rPr>
      <t>69</t>
    </r>
    <r>
      <rPr>
        <sz val="12"/>
        <color rgb="FF1F2329"/>
        <rFont val="宋体"/>
        <family val="3"/>
        <charset val="134"/>
      </rPr>
      <t>号</t>
    </r>
  </si>
  <si>
    <r>
      <t>云南省昆明市昆明市富民县永定镇松林村委会洞底下村</t>
    </r>
    <r>
      <rPr>
        <sz val="12"/>
        <color rgb="FF1F2329"/>
        <rFont val="Calibri"/>
        <family val="2"/>
      </rPr>
      <t>14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</si>
  <si>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维修组</t>
    </r>
  </si>
  <si>
    <r>
      <t>13</t>
    </r>
    <r>
      <rPr>
        <sz val="12"/>
        <color rgb="FF1F2329"/>
        <rFont val="宋体"/>
        <family val="3"/>
        <charset val="134"/>
      </rPr>
      <t>年</t>
    </r>
    <r>
      <rPr>
        <sz val="12"/>
        <color rgb="FF1F2329"/>
        <rFont val="Calibri"/>
        <family val="2"/>
      </rPr>
      <t>07</t>
    </r>
    <r>
      <rPr>
        <sz val="12"/>
        <color rgb="FF1F2329"/>
        <rFont val="宋体"/>
        <family val="3"/>
        <charset val="134"/>
      </rPr>
      <t>个月</t>
    </r>
  </si>
  <si>
    <r>
      <t>云南省曲靖市陆良县召夸镇果河村民民委员会大撒卜龙村</t>
    </r>
    <r>
      <rPr>
        <sz val="12"/>
        <color rgb="FF1F2329"/>
        <rFont val="Calibri"/>
        <family val="2"/>
      </rPr>
      <t>69</t>
    </r>
    <r>
      <rPr>
        <sz val="12"/>
        <color rgb="FF1F2329"/>
        <rFont val="宋体"/>
        <family val="3"/>
        <charset val="134"/>
      </rPr>
      <t>号</t>
    </r>
  </si>
  <si>
    <r>
      <t>云南省昆明市昆明市富民县永定街道办事处菜街</t>
    </r>
    <r>
      <rPr>
        <sz val="12"/>
        <color rgb="FF1F2329"/>
        <rFont val="Calibri"/>
        <family val="2"/>
      </rPr>
      <t>90</t>
    </r>
    <r>
      <rPr>
        <sz val="12"/>
        <color rgb="FF1F2329"/>
        <rFont val="宋体"/>
        <family val="3"/>
        <charset val="134"/>
      </rPr>
      <t>号</t>
    </r>
  </si>
  <si>
    <r>
      <t>采购兼</t>
    </r>
    <r>
      <rPr>
        <sz val="12"/>
        <color rgb="FF1F2329"/>
        <rFont val="Calibri"/>
        <family val="2"/>
      </rPr>
      <t>ERP</t>
    </r>
    <r>
      <rPr>
        <sz val="12"/>
        <color rgb="FF1F2329"/>
        <rFont val="宋体"/>
        <family val="3"/>
        <charset val="134"/>
      </rPr>
      <t>信息员</t>
    </r>
  </si>
  <si>
    <r>
      <t>云南省昆明市西山区新闻路</t>
    </r>
    <r>
      <rPr>
        <sz val="12"/>
        <color rgb="FF1F2329"/>
        <rFont val="Calibri"/>
        <family val="2"/>
      </rPr>
      <t>409</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303</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</si>
  <si>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</si>
  <si>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云南省大理白族自治州宾川县力角镇大会村委会三宝庄村</t>
    </r>
    <r>
      <rPr>
        <sz val="12"/>
        <color rgb="FF1F2329"/>
        <rFont val="Calibri"/>
        <family val="2"/>
      </rPr>
      <t>90</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</si>
  <si>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</si>
  <si>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01</t>
    </r>
    <r>
      <rPr>
        <sz val="12"/>
        <color rgb="FF1F2329"/>
        <rFont val="宋体"/>
        <family val="3"/>
        <charset val="134"/>
      </rPr>
      <t>年</t>
    </r>
    <r>
      <rPr>
        <sz val="12"/>
        <color rgb="FF1F2329"/>
        <rFont val="Calibri"/>
        <family val="2"/>
      </rPr>
      <t>05</t>
    </r>
    <r>
      <rPr>
        <sz val="12"/>
        <color rgb="FF1F2329"/>
        <rFont val="宋体"/>
        <family val="3"/>
        <charset val="134"/>
      </rPr>
      <t>个月</t>
    </r>
  </si>
  <si>
    <r>
      <t>云南省曲靖市陆良县马街镇杜棋堡村委会仕官村</t>
    </r>
    <r>
      <rPr>
        <sz val="12"/>
        <color rgb="FF1F2329"/>
        <rFont val="Calibri"/>
        <family val="2"/>
      </rPr>
      <t>515</t>
    </r>
    <r>
      <rPr>
        <sz val="12"/>
        <color rgb="FF1F2329"/>
        <rFont val="宋体"/>
        <family val="3"/>
        <charset val="134"/>
      </rPr>
      <t>号</t>
    </r>
  </si>
  <si>
    <r>
      <t>云南省昭通市镇雄县乌锋镇旧符村长路湾</t>
    </r>
    <r>
      <rPr>
        <sz val="12"/>
        <color rgb="FF1F2329"/>
        <rFont val="Calibri"/>
        <family val="2"/>
      </rPr>
      <t>100</t>
    </r>
    <r>
      <rPr>
        <sz val="12"/>
        <color rgb="FF1F2329"/>
        <rFont val="宋体"/>
        <family val="3"/>
        <charset val="134"/>
      </rPr>
      <t>号</t>
    </r>
  </si>
  <si>
    <r>
      <t>9</t>
    </r>
    <r>
      <rPr>
        <sz val="12"/>
        <color rgb="FF1F2329"/>
        <rFont val="宋体"/>
        <family val="3"/>
        <charset val="134"/>
      </rPr>
      <t>年</t>
    </r>
    <r>
      <rPr>
        <sz val="12"/>
        <color rgb="FF1F2329"/>
        <rFont val="Calibri"/>
        <family val="2"/>
      </rPr>
      <t>7</t>
    </r>
    <r>
      <rPr>
        <sz val="12"/>
        <color rgb="FF1F2329"/>
        <rFont val="宋体"/>
        <family val="3"/>
        <charset val="134"/>
      </rPr>
      <t>个月</t>
    </r>
  </si>
  <si>
    <r>
      <t>云南省昆明市盘龙区三环寺瓦路金色交响秋恋</t>
    </r>
    <r>
      <rPr>
        <sz val="12"/>
        <color rgb="FF1F2329"/>
        <rFont val="Calibri"/>
        <family val="2"/>
      </rPr>
      <t>6</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</si>
  <si>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</si>
  <si>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</si>
  <si>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云南省昆明市昆明市富民县大营镇奎南村委会南村</t>
    </r>
    <r>
      <rPr>
        <sz val="12"/>
        <color rgb="FF1F2329"/>
        <rFont val="Calibri"/>
        <family val="2"/>
      </rPr>
      <t>253</t>
    </r>
    <r>
      <rPr>
        <sz val="12"/>
        <color rgb="FF1F2329"/>
        <rFont val="宋体"/>
        <family val="3"/>
        <charset val="134"/>
      </rPr>
      <t>号</t>
    </r>
  </si>
  <si>
    <r>
      <t>云南省安宁市太平新城林海云霄祥云小区</t>
    </r>
    <r>
      <rPr>
        <sz val="12"/>
        <color rgb="FF1F2329"/>
        <rFont val="Calibri"/>
        <family val="2"/>
      </rPr>
      <t>17</t>
    </r>
    <r>
      <rPr>
        <sz val="12"/>
        <color rgb="FF1F2329"/>
        <rFont val="宋体"/>
        <family val="3"/>
        <charset val="134"/>
      </rPr>
      <t>栋</t>
    </r>
  </si>
  <si>
    <r>
      <t xml:space="preserve">10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</si>
  <si>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08</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</si>
  <si>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云南省昆明市昆明市富民县永定镇班张村</t>
    </r>
    <r>
      <rPr>
        <sz val="12"/>
        <color rgb="FF1F2329"/>
        <rFont val="Calibri"/>
        <family val="2"/>
      </rPr>
      <t>31</t>
    </r>
    <r>
      <rPr>
        <sz val="12"/>
        <color rgb="FF1F2329"/>
        <rFont val="宋体"/>
        <family val="3"/>
        <charset val="134"/>
      </rPr>
      <t>号</t>
    </r>
  </si>
  <si>
    <r>
      <t>云南省昆明市五华区北京路</t>
    </r>
    <r>
      <rPr>
        <sz val="12"/>
        <color rgb="FF1F2329"/>
        <rFont val="Calibri"/>
        <family val="2"/>
      </rPr>
      <t>1008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</si>
  <si>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生产制造综合管理办公室</t>
    </r>
  </si>
  <si>
    <r>
      <t xml:space="preserve">10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</si>
  <si>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河北省遵化市建明镇王庄村</t>
    </r>
    <r>
      <rPr>
        <sz val="12"/>
        <color rgb="FF1F2329"/>
        <rFont val="Calibri"/>
        <family val="2"/>
      </rPr>
      <t>4</t>
    </r>
    <r>
      <rPr>
        <sz val="12"/>
        <color rgb="FF1F2329"/>
        <rFont val="宋体"/>
        <family val="3"/>
        <charset val="134"/>
      </rPr>
      <t>排</t>
    </r>
    <r>
      <rPr>
        <sz val="12"/>
        <color rgb="FF1F2329"/>
        <rFont val="Calibri"/>
        <family val="2"/>
      </rPr>
      <t>3</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</si>
  <si>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</si>
  <si>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云南省昆明市五华区高新技术开发区科高路棕榈泉花园小区</t>
    </r>
    <r>
      <rPr>
        <sz val="12"/>
        <color rgb="FF1F2329"/>
        <rFont val="Calibri"/>
        <family val="2"/>
      </rPr>
      <t>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室</t>
    </r>
  </si>
  <si>
    <r>
      <t xml:space="preserve">10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</si>
  <si>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云南省昆明市昆明市富民县永定镇永定街道办</t>
    </r>
    <r>
      <rPr>
        <sz val="12"/>
        <color rgb="FF1F2329"/>
        <rFont val="Calibri"/>
        <family val="2"/>
      </rPr>
      <t>100</t>
    </r>
    <r>
      <rPr>
        <sz val="12"/>
        <color rgb="FF1F2329"/>
        <rFont val="宋体"/>
        <family val="3"/>
        <charset val="134"/>
      </rPr>
      <t>号</t>
    </r>
  </si>
  <si>
    <r>
      <t>云南省昆明市盘龙区龙泉路</t>
    </r>
    <r>
      <rPr>
        <sz val="12"/>
        <color rgb="FF1F2329"/>
        <rFont val="Calibri"/>
        <family val="2"/>
      </rPr>
      <t>877</t>
    </r>
    <r>
      <rPr>
        <sz val="12"/>
        <color rgb="FF1F2329"/>
        <rFont val="宋体"/>
        <family val="3"/>
        <charset val="134"/>
      </rPr>
      <t>号</t>
    </r>
    <r>
      <rPr>
        <sz val="12"/>
        <color rgb="FF1F2329"/>
        <rFont val="Calibri"/>
        <family val="2"/>
      </rPr>
      <t>38</t>
    </r>
    <r>
      <rPr>
        <sz val="12"/>
        <color rgb="FF1F2329"/>
        <rFont val="宋体"/>
        <family val="3"/>
        <charset val="134"/>
      </rPr>
      <t>栋</t>
    </r>
    <r>
      <rPr>
        <sz val="12"/>
        <color rgb="FF1F2329"/>
        <rFont val="Calibri"/>
        <family val="2"/>
      </rPr>
      <t>106</t>
    </r>
    <r>
      <rPr>
        <sz val="12"/>
        <color rgb="FF1F2329"/>
        <rFont val="宋体"/>
        <family val="3"/>
        <charset val="134"/>
      </rPr>
      <t>号</t>
    </r>
  </si>
  <si>
    <r>
      <t>13</t>
    </r>
    <r>
      <rPr>
        <sz val="12"/>
        <color rgb="FF1F2329"/>
        <rFont val="宋体"/>
        <family val="3"/>
        <charset val="134"/>
      </rPr>
      <t>年</t>
    </r>
    <r>
      <rPr>
        <sz val="12"/>
        <color rgb="FF1F2329"/>
        <rFont val="Calibri"/>
        <family val="2"/>
      </rPr>
      <t>00</t>
    </r>
    <r>
      <rPr>
        <sz val="12"/>
        <color rgb="FF1F2329"/>
        <rFont val="宋体"/>
        <family val="3"/>
        <charset val="134"/>
      </rPr>
      <t>个月</t>
    </r>
  </si>
  <si>
    <r>
      <t>云南省丽江市永胜县三川镇中洲村委会上街村</t>
    </r>
    <r>
      <rPr>
        <sz val="12"/>
        <color rgb="FF1F2329"/>
        <rFont val="Calibri"/>
        <family val="2"/>
      </rPr>
      <t>23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</si>
  <si>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</si>
  <si>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09</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</si>
  <si>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云南省楚雄彝族自治州牟定县共和镇代冲村委会代冲村</t>
    </r>
    <r>
      <rPr>
        <sz val="12"/>
        <color rgb="FF1F2329"/>
        <rFont val="Calibri"/>
        <family val="2"/>
      </rPr>
      <t>113</t>
    </r>
    <r>
      <rPr>
        <sz val="12"/>
        <color rgb="FF1F2329"/>
        <rFont val="宋体"/>
        <family val="3"/>
        <charset val="134"/>
      </rPr>
      <t>号</t>
    </r>
  </si>
  <si>
    <r>
      <t>云南省红河哈尼族彝族自治州弥勒县弥阳镇新村村委会新村村</t>
    </r>
    <r>
      <rPr>
        <sz val="12"/>
        <color rgb="FF1F2329"/>
        <rFont val="Calibri"/>
        <family val="2"/>
      </rPr>
      <t>364</t>
    </r>
    <r>
      <rPr>
        <sz val="12"/>
        <color rgb="FF1F2329"/>
        <rFont val="宋体"/>
        <family val="3"/>
        <charset val="134"/>
      </rPr>
      <t>号</t>
    </r>
  </si>
  <si>
    <r>
      <t>云南省昆明市高新区西二环鑫苑小区</t>
    </r>
    <r>
      <rPr>
        <sz val="12"/>
        <color rgb="FF1F2329"/>
        <rFont val="Calibri"/>
        <family val="2"/>
      </rPr>
      <t>14</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号</t>
    </r>
  </si>
  <si>
    <r>
      <t>22</t>
    </r>
    <r>
      <rPr>
        <sz val="12"/>
        <color rgb="FF1F2329"/>
        <rFont val="宋体"/>
        <family val="3"/>
        <charset val="134"/>
      </rPr>
      <t>年</t>
    </r>
    <r>
      <rPr>
        <sz val="12"/>
        <color rgb="FF1F2329"/>
        <rFont val="Calibri"/>
        <family val="2"/>
      </rPr>
      <t>00</t>
    </r>
    <r>
      <rPr>
        <sz val="12"/>
        <color rgb="FF1F2329"/>
        <rFont val="宋体"/>
        <family val="3"/>
        <charset val="134"/>
      </rPr>
      <t>个月</t>
    </r>
  </si>
  <si>
    <r>
      <t>云南省保山市施甸县万兴乡万兴村委会核桃寨二组</t>
    </r>
    <r>
      <rPr>
        <sz val="12"/>
        <color rgb="FF1F2329"/>
        <rFont val="Calibri"/>
        <family val="2"/>
      </rPr>
      <t>055</t>
    </r>
    <r>
      <rPr>
        <sz val="12"/>
        <color rgb="FF1F2329"/>
        <rFont val="宋体"/>
        <family val="3"/>
        <charset val="134"/>
      </rPr>
      <t>号</t>
    </r>
  </si>
  <si>
    <r>
      <t>01</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</si>
  <si>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云南省昆明市昆明市富民县东村乡中民村委会龙潭村</t>
    </r>
    <r>
      <rPr>
        <sz val="12"/>
        <color rgb="FF1F2329"/>
        <rFont val="Calibri"/>
        <family val="2"/>
      </rPr>
      <t>10</t>
    </r>
    <r>
      <rPr>
        <sz val="12"/>
        <color rgb="FF1F2329"/>
        <rFont val="宋体"/>
        <family val="3"/>
        <charset val="134"/>
      </rPr>
      <t>号</t>
    </r>
  </si>
  <si>
    <r>
      <t>云南省昆明市五华区普吉街道办事处新希望白麓城郦璟苑</t>
    </r>
    <r>
      <rPr>
        <sz val="12"/>
        <color rgb="FF1F2329"/>
        <rFont val="Calibri"/>
        <family val="2"/>
      </rPr>
      <t>1</t>
    </r>
    <r>
      <rPr>
        <sz val="12"/>
        <color rgb="FF1F2329"/>
        <rFont val="宋体"/>
        <family val="3"/>
        <charset val="134"/>
      </rPr>
      <t>栋</t>
    </r>
    <r>
      <rPr>
        <sz val="12"/>
        <color rgb="FF1F2329"/>
        <rFont val="Calibri"/>
        <family val="2"/>
      </rPr>
      <t>1001</t>
    </r>
    <r>
      <rPr>
        <sz val="12"/>
        <color rgb="FF1F2329"/>
        <rFont val="宋体"/>
        <family val="3"/>
        <charset val="134"/>
      </rPr>
      <t>号</t>
    </r>
  </si>
  <si>
    <r>
      <t>云南省昆明市昆明市富民县永定镇清河村</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</si>
  <si>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</si>
  <si>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09</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</si>
  <si>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11 </t>
    </r>
    <r>
      <rPr>
        <sz val="12"/>
        <color rgb="FF1F2329"/>
        <rFont val="宋体"/>
        <family val="3"/>
        <charset val="134"/>
      </rPr>
      <t>年</t>
    </r>
  </si>
  <si>
    <r>
      <t>09</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</si>
  <si>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云南省昆明市昆明市富民县环城西路</t>
    </r>
    <r>
      <rPr>
        <sz val="12"/>
        <color rgb="FF1F2329"/>
        <rFont val="Calibri"/>
        <family val="2"/>
      </rPr>
      <t>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</si>
  <si>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</si>
  <si>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云南省昆明市昆明市富民县永定镇元山村委会元山村</t>
    </r>
    <r>
      <rPr>
        <sz val="12"/>
        <color rgb="FF1F2329"/>
        <rFont val="Calibri"/>
        <family val="2"/>
      </rPr>
      <t>290</t>
    </r>
    <r>
      <rPr>
        <sz val="12"/>
        <color rgb="FF1F2329"/>
        <rFont val="宋体"/>
        <family val="3"/>
        <charset val="134"/>
      </rPr>
      <t>号</t>
    </r>
  </si>
  <si>
    <r>
      <t>10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</si>
  <si>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云南省昆明市昆明市富民县永定镇北邑村委会廖家营村</t>
    </r>
    <r>
      <rPr>
        <sz val="12"/>
        <color rgb="FF1F2329"/>
        <rFont val="Calibri"/>
        <family val="2"/>
      </rPr>
      <t>54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</si>
  <si>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</si>
  <si>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10</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</si>
  <si>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云南省昆明市五华区春风十里云秀苑</t>
    </r>
    <r>
      <rPr>
        <sz val="12"/>
        <color rgb="FF1F2329"/>
        <rFont val="Calibri"/>
        <family val="2"/>
      </rPr>
      <t>4</t>
    </r>
    <r>
      <rPr>
        <sz val="12"/>
        <color rgb="FF1F2329"/>
        <rFont val="宋体"/>
        <family val="3"/>
        <charset val="134"/>
      </rPr>
      <t>栋</t>
    </r>
    <r>
      <rPr>
        <sz val="12"/>
        <color rgb="FF1F2329"/>
        <rFont val="Calibri"/>
        <family val="2"/>
      </rPr>
      <t>2202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</si>
  <si>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</si>
  <si>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10</t>
    </r>
    <r>
      <rPr>
        <sz val="12"/>
        <color rgb="FF1F2329"/>
        <rFont val="宋体"/>
        <family val="3"/>
        <charset val="134"/>
      </rPr>
      <t>年</t>
    </r>
    <r>
      <rPr>
        <sz val="12"/>
        <color rgb="FF1F2329"/>
        <rFont val="Calibri"/>
        <family val="2"/>
      </rPr>
      <t>02</t>
    </r>
    <r>
      <rPr>
        <sz val="12"/>
        <color rgb="FF1F2329"/>
        <rFont val="宋体"/>
        <family val="3"/>
        <charset val="134"/>
      </rPr>
      <t>个月</t>
    </r>
  </si>
  <si>
    <r>
      <t>云南省昭通市彝良县洛河镇虎尚存</t>
    </r>
    <r>
      <rPr>
        <sz val="12"/>
        <color rgb="FF1F2329"/>
        <rFont val="Calibri"/>
        <family val="2"/>
      </rPr>
      <t>24</t>
    </r>
    <r>
      <rPr>
        <sz val="12"/>
        <color rgb="FF1F2329"/>
        <rFont val="宋体"/>
        <family val="3"/>
        <charset val="134"/>
      </rPr>
      <t>号</t>
    </r>
  </si>
  <si>
    <r>
      <t>云南省曲靖市沾益县菱角乡块所村委会块所村</t>
    </r>
    <r>
      <rPr>
        <sz val="12"/>
        <color rgb="FF1F2329"/>
        <rFont val="Calibri"/>
        <family val="2"/>
      </rPr>
      <t>194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</si>
  <si>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</si>
  <si>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10</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</si>
  <si>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云南省楚雄彝族自治州禄丰县勤丰镇高楼村委会大村</t>
    </r>
    <r>
      <rPr>
        <sz val="12"/>
        <color rgb="FF1F2329"/>
        <rFont val="Calibri"/>
        <family val="2"/>
      </rPr>
      <t>20</t>
    </r>
    <r>
      <rPr>
        <sz val="12"/>
        <color rgb="FF1F2329"/>
        <rFont val="宋体"/>
        <family val="3"/>
        <charset val="134"/>
      </rPr>
      <t>号</t>
    </r>
  </si>
  <si>
    <r>
      <t>云南省昭通市镇雄县盐源乡温水村民委员会河边村民小组</t>
    </r>
    <r>
      <rPr>
        <sz val="12"/>
        <color rgb="FF1F2329"/>
        <rFont val="Calibri"/>
        <family val="2"/>
      </rPr>
      <t>36</t>
    </r>
    <r>
      <rPr>
        <sz val="12"/>
        <color rgb="FF1F2329"/>
        <rFont val="宋体"/>
        <family val="3"/>
        <charset val="134"/>
      </rPr>
      <t>号附</t>
    </r>
    <r>
      <rPr>
        <sz val="12"/>
        <color rgb="FF1F2329"/>
        <rFont val="Calibri"/>
        <family val="2"/>
      </rPr>
      <t>1</t>
    </r>
    <r>
      <rPr>
        <sz val="12"/>
        <color rgb="FF1F2329"/>
        <rFont val="宋体"/>
        <family val="3"/>
        <charset val="134"/>
      </rPr>
      <t>号</t>
    </r>
  </si>
  <si>
    <r>
      <t>云南省曲靖市沾益区菱角乡赤章村委会小洞村</t>
    </r>
    <r>
      <rPr>
        <sz val="12"/>
        <color rgb="FF1F2329"/>
        <rFont val="Calibri"/>
        <family val="2"/>
      </rPr>
      <t>052</t>
    </r>
    <r>
      <rPr>
        <sz val="12"/>
        <color rgb="FF1F2329"/>
        <rFont val="宋体"/>
        <family val="3"/>
        <charset val="134"/>
      </rPr>
      <t>号</t>
    </r>
  </si>
  <si>
    <r>
      <t>云南省昭通市永善县青胜乡青胜村委会青坪三社</t>
    </r>
    <r>
      <rPr>
        <sz val="12"/>
        <color rgb="FF1F2329"/>
        <rFont val="Calibri"/>
        <family val="2"/>
      </rPr>
      <t>18</t>
    </r>
    <r>
      <rPr>
        <sz val="12"/>
        <color rgb="FF1F2329"/>
        <rFont val="宋体"/>
        <family val="3"/>
        <charset val="134"/>
      </rPr>
      <t>号</t>
    </r>
  </si>
  <si>
    <r>
      <t>云南省曲靖市麒麟区沿江乡四圩村委会龚家台子村</t>
    </r>
    <r>
      <rPr>
        <sz val="12"/>
        <color rgb="FF1F2329"/>
        <rFont val="Calibri"/>
        <family val="2"/>
      </rPr>
      <t>54</t>
    </r>
    <r>
      <rPr>
        <sz val="12"/>
        <color rgb="FF1F2329"/>
        <rFont val="宋体"/>
        <family val="3"/>
        <charset val="134"/>
      </rPr>
      <t>号</t>
    </r>
  </si>
  <si>
    <r>
      <t>云南省曲靖市师宗县五龙乡得勒村委会小兴寨村</t>
    </r>
    <r>
      <rPr>
        <sz val="12"/>
        <color rgb="FF1F2329"/>
        <rFont val="Calibri"/>
        <family val="2"/>
      </rPr>
      <t>46</t>
    </r>
    <r>
      <rPr>
        <sz val="12"/>
        <color rgb="FF1F2329"/>
        <rFont val="宋体"/>
        <family val="3"/>
        <charset val="134"/>
      </rPr>
      <t>号</t>
    </r>
  </si>
  <si>
    <r>
      <t>云南省宣威市乐丰乡三联村委会景新村</t>
    </r>
    <r>
      <rPr>
        <sz val="12"/>
        <color rgb="FF1F2329"/>
        <rFont val="Calibri"/>
        <family val="2"/>
      </rPr>
      <t>62</t>
    </r>
    <r>
      <rPr>
        <sz val="12"/>
        <color rgb="FF1F2329"/>
        <rFont val="宋体"/>
        <family val="3"/>
        <charset val="134"/>
      </rPr>
      <t>号</t>
    </r>
  </si>
  <si>
    <r>
      <t>云南省大理白族自治州鹤庆县辛屯镇三合村民委员会三贝河村</t>
    </r>
    <r>
      <rPr>
        <sz val="12"/>
        <color rgb="FF1F2329"/>
        <rFont val="Calibri"/>
        <family val="2"/>
      </rPr>
      <t>258</t>
    </r>
    <r>
      <rPr>
        <sz val="12"/>
        <color rgb="FF1F2329"/>
        <rFont val="宋体"/>
        <family val="3"/>
        <charset val="134"/>
      </rPr>
      <t>号</t>
    </r>
  </si>
  <si>
    <r>
      <t>云南省玉溪市通海县河西镇下和巷</t>
    </r>
    <r>
      <rPr>
        <sz val="12"/>
        <color rgb="FF1F2329"/>
        <rFont val="Calibri"/>
        <family val="2"/>
      </rPr>
      <t>12</t>
    </r>
    <r>
      <rPr>
        <sz val="12"/>
        <color rgb="FF1F2329"/>
        <rFont val="宋体"/>
        <family val="3"/>
        <charset val="134"/>
      </rPr>
      <t>号</t>
    </r>
  </si>
  <si>
    <r>
      <t>云南省宣威市宛水街道柳林社区钱屯下村</t>
    </r>
    <r>
      <rPr>
        <sz val="12"/>
        <color rgb="FF1F2329"/>
        <rFont val="Calibri"/>
        <family val="2"/>
      </rPr>
      <t>360</t>
    </r>
    <r>
      <rPr>
        <sz val="12"/>
        <color rgb="FF1F2329"/>
        <rFont val="宋体"/>
        <family val="3"/>
        <charset val="134"/>
      </rPr>
      <t>号</t>
    </r>
  </si>
  <si>
    <r>
      <t>云南省昆明市昆明市富民县永定镇永一村班张村</t>
    </r>
    <r>
      <rPr>
        <sz val="12"/>
        <color rgb="FF1F2329"/>
        <rFont val="Calibri"/>
        <family val="2"/>
      </rPr>
      <t>53</t>
    </r>
    <r>
      <rPr>
        <sz val="12"/>
        <color rgb="FF1F2329"/>
        <rFont val="宋体"/>
        <family val="3"/>
        <charset val="134"/>
      </rPr>
      <t>号</t>
    </r>
  </si>
  <si>
    <r>
      <t>云南省昆明市嵩明县嵩阳镇寺脚村</t>
    </r>
    <r>
      <rPr>
        <sz val="12"/>
        <color rgb="FF1F2329"/>
        <rFont val="Calibri"/>
        <family val="2"/>
      </rPr>
      <t>60</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</si>
  <si>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</si>
  <si>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云南省昆明市五华区王家桥云冶生活区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1302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</si>
  <si>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</si>
  <si>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02</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</si>
  <si>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云南省昆明市昆明市富民县环城西路</t>
    </r>
    <r>
      <rPr>
        <sz val="12"/>
        <color rgb="FF1F2329"/>
        <rFont val="Calibri"/>
        <family val="2"/>
      </rPr>
      <t>33</t>
    </r>
    <r>
      <rPr>
        <sz val="12"/>
        <color rgb="FF1F2329"/>
        <rFont val="宋体"/>
        <family val="3"/>
        <charset val="134"/>
      </rPr>
      <t>号</t>
    </r>
  </si>
  <si>
    <r>
      <t>10</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</si>
  <si>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云南省昆明市瓦仓庄</t>
    </r>
    <r>
      <rPr>
        <sz val="12"/>
        <color rgb="FF1F2329"/>
        <rFont val="Calibri"/>
        <family val="2"/>
      </rPr>
      <t>33</t>
    </r>
    <r>
      <rPr>
        <sz val="12"/>
        <color rgb="FF1F2329"/>
        <rFont val="宋体"/>
        <family val="3"/>
        <charset val="134"/>
      </rPr>
      <t>号</t>
    </r>
  </si>
  <si>
    <r>
      <t xml:space="preserve">12 </t>
    </r>
    <r>
      <rPr>
        <sz val="12"/>
        <color rgb="FF1F2329"/>
        <rFont val="宋体"/>
        <family val="3"/>
        <charset val="134"/>
      </rPr>
      <t>年</t>
    </r>
  </si>
  <si>
    <r>
      <t>13</t>
    </r>
    <r>
      <rPr>
        <sz val="12"/>
        <color rgb="FF1F2329"/>
        <rFont val="宋体"/>
        <family val="3"/>
        <charset val="134"/>
      </rPr>
      <t>年</t>
    </r>
    <r>
      <rPr>
        <sz val="12"/>
        <color rgb="FF1F2329"/>
        <rFont val="Calibri"/>
        <family val="2"/>
      </rPr>
      <t>03</t>
    </r>
    <r>
      <rPr>
        <sz val="12"/>
        <color rgb="FF1F2329"/>
        <rFont val="宋体"/>
        <family val="3"/>
        <charset val="134"/>
      </rPr>
      <t>个月</t>
    </r>
  </si>
  <si>
    <r>
      <t>印刷机械</t>
    </r>
    <r>
      <rPr>
        <sz val="12"/>
        <color rgb="FF1F2329"/>
        <rFont val="Calibri"/>
        <family val="2"/>
      </rPr>
      <t>/</t>
    </r>
    <r>
      <rPr>
        <sz val="12"/>
        <color rgb="FF1F2329"/>
        <rFont val="宋体"/>
        <family val="3"/>
        <charset val="134"/>
      </rPr>
      <t>计算机及应用</t>
    </r>
  </si>
  <si>
    <r>
      <t>云南省昆明市昆明市富民县大营街道办事处时代俊园</t>
    </r>
    <r>
      <rPr>
        <sz val="12"/>
        <color rgb="FF1F2329"/>
        <rFont val="Calibri"/>
        <family val="2"/>
      </rPr>
      <t>12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</si>
  <si>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</si>
  <si>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云南省大理白族自治州鹤庆县六合乡大甸村民委员会东营村</t>
    </r>
    <r>
      <rPr>
        <sz val="12"/>
        <color rgb="FF1F2329"/>
        <rFont val="Calibri"/>
        <family val="2"/>
      </rPr>
      <t>42</t>
    </r>
    <r>
      <rPr>
        <sz val="12"/>
        <color rgb="FF1F2329"/>
        <rFont val="宋体"/>
        <family val="3"/>
        <charset val="134"/>
      </rPr>
      <t>号</t>
    </r>
  </si>
  <si>
    <r>
      <t>00</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</si>
  <si>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云南省昆明市昆明市富民县大营镇上村</t>
    </r>
    <r>
      <rPr>
        <sz val="12"/>
        <color rgb="FF1F2329"/>
        <rFont val="Calibri"/>
        <family val="2"/>
      </rPr>
      <t>278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</si>
  <si>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保洁组</t>
    </r>
  </si>
  <si>
    <r>
      <t>10</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</si>
  <si>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云南省昆明市昆明市富民县永定镇西邑村东邑村</t>
    </r>
    <r>
      <rPr>
        <sz val="12"/>
        <color rgb="FF1F2329"/>
        <rFont val="Calibri"/>
        <family val="2"/>
      </rPr>
      <t>139</t>
    </r>
    <r>
      <rPr>
        <sz val="12"/>
        <color rgb="FF1F2329"/>
        <rFont val="宋体"/>
        <family val="3"/>
        <charset val="134"/>
      </rPr>
      <t>号</t>
    </r>
  </si>
  <si>
    <r>
      <t>云南省昆明市昆明市富民县永定街道办事处兴贡村委会牧羊场村</t>
    </r>
    <r>
      <rPr>
        <sz val="12"/>
        <color rgb="FF1F2329"/>
        <rFont val="Calibri"/>
        <family val="2"/>
      </rPr>
      <t>78</t>
    </r>
    <r>
      <rPr>
        <sz val="12"/>
        <color rgb="FF1F2329"/>
        <rFont val="宋体"/>
        <family val="3"/>
        <charset val="134"/>
      </rPr>
      <t>号</t>
    </r>
  </si>
  <si>
    <r>
      <t>云南省昆明市昆明市富民县永定镇西邑村中西邑村</t>
    </r>
    <r>
      <rPr>
        <sz val="12"/>
        <color rgb="FF1F2329"/>
        <rFont val="Calibri"/>
        <family val="2"/>
      </rPr>
      <t>32</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</si>
  <si>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</si>
  <si>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 xml:space="preserve">12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</si>
  <si>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云南省昆明市昆明市富民县永定镇沙家庄村</t>
    </r>
    <r>
      <rPr>
        <sz val="12"/>
        <color rgb="FF1F2329"/>
        <rFont val="Calibri"/>
        <family val="2"/>
      </rPr>
      <t>1</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</si>
  <si>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</si>
  <si>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云南省昆明市昆明市富民县永定镇西邑村委会下西邑村</t>
    </r>
    <r>
      <rPr>
        <sz val="12"/>
        <color rgb="FF1F2329"/>
        <rFont val="Calibri"/>
        <family val="2"/>
      </rPr>
      <t>86</t>
    </r>
    <r>
      <rPr>
        <sz val="12"/>
        <color rgb="FF1F2329"/>
        <rFont val="宋体"/>
        <family val="3"/>
        <charset val="134"/>
      </rPr>
      <t>号</t>
    </r>
  </si>
  <si>
    <r>
      <t>ERP</t>
    </r>
    <r>
      <rPr>
        <sz val="12"/>
        <color rgb="FF1F2329"/>
        <rFont val="宋体"/>
        <family val="3"/>
        <charset val="134"/>
      </rPr>
      <t>信息员（内加工）</t>
    </r>
  </si>
  <si>
    <r>
      <t>11</t>
    </r>
    <r>
      <rPr>
        <sz val="12"/>
        <color rgb="FF1F2329"/>
        <rFont val="宋体"/>
        <family val="3"/>
        <charset val="134"/>
      </rPr>
      <t>年</t>
    </r>
    <r>
      <rPr>
        <sz val="12"/>
        <color rgb="FF1F2329"/>
        <rFont val="Calibri"/>
        <family val="2"/>
      </rPr>
      <t>00</t>
    </r>
    <r>
      <rPr>
        <sz val="12"/>
        <color rgb="FF1F2329"/>
        <rFont val="宋体"/>
        <family val="3"/>
        <charset val="134"/>
      </rPr>
      <t>个月</t>
    </r>
  </si>
  <si>
    <r>
      <t>云南省楚雄州禄丰县妥安乡硝井村</t>
    </r>
    <r>
      <rPr>
        <sz val="12"/>
        <color rgb="FF1F2329"/>
        <rFont val="Calibri"/>
        <family val="2"/>
      </rPr>
      <t>10</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</si>
  <si>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</si>
  <si>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11</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</si>
  <si>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云南省昆明市昆明市富民县逢源路</t>
    </r>
    <r>
      <rPr>
        <sz val="12"/>
        <color rgb="FF1F2329"/>
        <rFont val="Calibri"/>
        <family val="2"/>
      </rPr>
      <t>16</t>
    </r>
    <r>
      <rPr>
        <sz val="12"/>
        <color rgb="FF1F2329"/>
        <rFont val="宋体"/>
        <family val="3"/>
        <charset val="134"/>
      </rPr>
      <t>号</t>
    </r>
  </si>
  <si>
    <r>
      <t>17</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</si>
  <si>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云南省昆明市西山区丽苑路梁源小区</t>
    </r>
    <r>
      <rPr>
        <sz val="12"/>
        <color rgb="FF1F2329"/>
        <rFont val="Calibri"/>
        <family val="2"/>
      </rPr>
      <t>66</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502</t>
    </r>
    <r>
      <rPr>
        <sz val="12"/>
        <color rgb="FF1F2329"/>
        <rFont val="宋体"/>
        <family val="3"/>
        <charset val="134"/>
      </rPr>
      <t>室</t>
    </r>
  </si>
  <si>
    <r>
      <t>云南省昆明市昆明市富民县永定镇东元村委会完家村</t>
    </r>
    <r>
      <rPr>
        <sz val="12"/>
        <color rgb="FF1F2329"/>
        <rFont val="Calibri"/>
        <family val="2"/>
      </rPr>
      <t>58</t>
    </r>
    <r>
      <rPr>
        <sz val="12"/>
        <color rgb="FF1F2329"/>
        <rFont val="宋体"/>
        <family val="3"/>
        <charset val="134"/>
      </rPr>
      <t>号</t>
    </r>
  </si>
  <si>
    <r>
      <t>11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</si>
  <si>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云南省昆明市机器厂宿舍</t>
    </r>
    <r>
      <rPr>
        <sz val="12"/>
        <color rgb="FF1F2329"/>
        <rFont val="Calibri"/>
        <family val="2"/>
      </rPr>
      <t>7</t>
    </r>
    <r>
      <rPr>
        <sz val="12"/>
        <color rgb="FF1F2329"/>
        <rFont val="宋体"/>
        <family val="3"/>
        <charset val="134"/>
      </rPr>
      <t>栋</t>
    </r>
    <r>
      <rPr>
        <sz val="12"/>
        <color rgb="FF1F2329"/>
        <rFont val="Calibri"/>
        <family val="2"/>
      </rPr>
      <t>2</t>
    </r>
    <r>
      <rPr>
        <sz val="12"/>
        <color rgb="FF1F2329"/>
        <rFont val="宋体"/>
        <family val="3"/>
        <charset val="134"/>
      </rPr>
      <t>单元</t>
    </r>
  </si>
  <si>
    <r>
      <t>15</t>
    </r>
    <r>
      <rPr>
        <sz val="12"/>
        <color rgb="FF1F2329"/>
        <rFont val="宋体"/>
        <family val="3"/>
        <charset val="134"/>
      </rPr>
      <t>年</t>
    </r>
    <r>
      <rPr>
        <sz val="12"/>
        <color rgb="FF1F2329"/>
        <rFont val="Calibri"/>
        <family val="2"/>
      </rPr>
      <t>04</t>
    </r>
    <r>
      <rPr>
        <sz val="12"/>
        <color rgb="FF1F2329"/>
        <rFont val="宋体"/>
        <family val="3"/>
        <charset val="134"/>
      </rPr>
      <t>个月</t>
    </r>
  </si>
  <si>
    <r>
      <t>云南省保山市腾冲县固东镇河头村委会龙塘组</t>
    </r>
    <r>
      <rPr>
        <sz val="12"/>
        <color rgb="FF1F2329"/>
        <rFont val="Calibri"/>
        <family val="2"/>
      </rPr>
      <t>89</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</si>
  <si>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</si>
  <si>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11</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</si>
  <si>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云南省楚雄彝族州禄丰县妥安乡安乐村委会干箐凤家村</t>
    </r>
    <r>
      <rPr>
        <sz val="12"/>
        <color rgb="FF1F2329"/>
        <rFont val="Calibri"/>
        <family val="2"/>
      </rPr>
      <t>15</t>
    </r>
    <r>
      <rPr>
        <sz val="12"/>
        <color rgb="FF1F2329"/>
        <rFont val="宋体"/>
        <family val="3"/>
        <charset val="134"/>
      </rPr>
      <t>号</t>
    </r>
    <r>
      <rPr>
        <sz val="12"/>
        <color rgb="FF1F2329"/>
        <rFont val="Calibri"/>
        <family val="2"/>
      </rPr>
      <t>2</t>
    </r>
    <r>
      <rPr>
        <sz val="12"/>
        <color rgb="FF1F2329"/>
        <rFont val="宋体"/>
        <family val="3"/>
        <charset val="134"/>
      </rPr>
      <t>号</t>
    </r>
  </si>
  <si>
    <r>
      <t>云南省曲靖市师宗县下鸭子塘村委会下鸭子塘村</t>
    </r>
    <r>
      <rPr>
        <sz val="12"/>
        <color rgb="FF1F2329"/>
        <rFont val="Calibri"/>
        <family val="2"/>
      </rPr>
      <t>383</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</si>
  <si>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云南省宣威市倘塘镇旧堡村委会迤头田村</t>
    </r>
    <r>
      <rPr>
        <sz val="12"/>
        <color rgb="FF1F2329"/>
        <rFont val="Calibri"/>
        <family val="2"/>
      </rPr>
      <t>17</t>
    </r>
    <r>
      <rPr>
        <sz val="12"/>
        <color rgb="FF1F2329"/>
        <rFont val="宋体"/>
        <family val="3"/>
        <charset val="134"/>
      </rPr>
      <t>号</t>
    </r>
  </si>
  <si>
    <r>
      <t>云南省宣威市龙潭镇下格村委会管家村</t>
    </r>
    <r>
      <rPr>
        <sz val="12"/>
        <color rgb="FF1F2329"/>
        <rFont val="Calibri"/>
        <family val="2"/>
      </rPr>
      <t>20</t>
    </r>
    <r>
      <rPr>
        <sz val="12"/>
        <color rgb="FF1F2329"/>
        <rFont val="宋体"/>
        <family val="3"/>
        <charset val="134"/>
      </rPr>
      <t>号</t>
    </r>
  </si>
  <si>
    <r>
      <t>云南省昆明市昆明市富民县款庄乡马街村委会小庄村</t>
    </r>
    <r>
      <rPr>
        <sz val="12"/>
        <color rgb="FF1F2329"/>
        <rFont val="Calibri"/>
        <family val="2"/>
      </rPr>
      <t>10</t>
    </r>
    <r>
      <rPr>
        <sz val="12"/>
        <color rgb="FF1F2329"/>
        <rFont val="宋体"/>
        <family val="3"/>
        <charset val="134"/>
      </rPr>
      <t>号</t>
    </r>
  </si>
  <si>
    <r>
      <t>云南省曲靖市沾益县西平镇太平村委会蔡家山村</t>
    </r>
    <r>
      <rPr>
        <sz val="12"/>
        <color rgb="FF1F2329"/>
        <rFont val="Calibri"/>
        <family val="2"/>
      </rPr>
      <t>38</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</si>
  <si>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云南省昆明市昆明市富民县永定镇西邑村委会东邑村</t>
    </r>
    <r>
      <rPr>
        <sz val="12"/>
        <color rgb="FF1F2329"/>
        <rFont val="Calibri"/>
        <family val="2"/>
      </rPr>
      <t>91</t>
    </r>
    <r>
      <rPr>
        <sz val="12"/>
        <color rgb="FF1F2329"/>
        <rFont val="宋体"/>
        <family val="3"/>
        <charset val="134"/>
      </rPr>
      <t>号</t>
    </r>
  </si>
  <si>
    <r>
      <t>云南省楚雄鹿镇西城社区西园路</t>
    </r>
    <r>
      <rPr>
        <sz val="12"/>
        <color rgb="FF1F2329"/>
        <rFont val="Calibri"/>
        <family val="2"/>
      </rPr>
      <t>49</t>
    </r>
    <r>
      <rPr>
        <sz val="12"/>
        <color rgb="FF1F2329"/>
        <rFont val="宋体"/>
        <family val="3"/>
        <charset val="134"/>
      </rPr>
      <t>号七彩嘉园</t>
    </r>
    <r>
      <rPr>
        <sz val="12"/>
        <color rgb="FF1F2329"/>
        <rFont val="Calibri"/>
        <family val="2"/>
      </rPr>
      <t>2-1703</t>
    </r>
    <r>
      <rPr>
        <sz val="12"/>
        <color rgb="FF1F2329"/>
        <rFont val="宋体"/>
        <family val="3"/>
        <charset val="134"/>
      </rPr>
      <t>室</t>
    </r>
  </si>
  <si>
    <r>
      <t>云南省昆明市昆明市富民县永定街道办事处西邑村委会下西邑村</t>
    </r>
    <r>
      <rPr>
        <sz val="12"/>
        <color rgb="FF1F2329"/>
        <rFont val="Calibri"/>
        <family val="2"/>
      </rPr>
      <t>158</t>
    </r>
    <r>
      <rPr>
        <sz val="12"/>
        <color rgb="FF1F2329"/>
        <rFont val="宋体"/>
        <family val="3"/>
        <charset val="134"/>
      </rPr>
      <t>号</t>
    </r>
  </si>
  <si>
    <r>
      <t>云南省文山壮族苗族自治州西畴县新马街乡马街村民委烂泥小寨村</t>
    </r>
    <r>
      <rPr>
        <sz val="12"/>
        <color rgb="FF1F2329"/>
        <rFont val="Calibri"/>
        <family val="2"/>
      </rPr>
      <t>8</t>
    </r>
    <r>
      <rPr>
        <sz val="12"/>
        <color rgb="FF1F2329"/>
        <rFont val="宋体"/>
        <family val="3"/>
        <charset val="134"/>
      </rPr>
      <t>号</t>
    </r>
  </si>
  <si>
    <r>
      <t>云南省昭通市昭阳区洒渔乡联合村民委员会高山寨村二十一组</t>
    </r>
    <r>
      <rPr>
        <sz val="12"/>
        <color rgb="FF1F2329"/>
        <rFont val="Calibri"/>
        <family val="2"/>
      </rPr>
      <t>193</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</si>
  <si>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云南省昆明市五华区虹山南路林岗新村</t>
    </r>
    <r>
      <rPr>
        <sz val="12"/>
        <color rgb="FF1F2329"/>
        <rFont val="Calibri"/>
        <family val="2"/>
      </rPr>
      <t>14-102</t>
    </r>
  </si>
  <si>
    <r>
      <t xml:space="preserve">12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</si>
  <si>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云南省昆明市昆明市富民县丽水湾小区</t>
    </r>
    <r>
      <rPr>
        <sz val="12"/>
        <color rgb="FF1F2329"/>
        <rFont val="Calibri"/>
        <family val="2"/>
      </rPr>
      <t>7-7-302</t>
    </r>
  </si>
  <si>
    <r>
      <t>15</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</si>
  <si>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云南省昆明市昆明市富民县伍加营村</t>
    </r>
    <r>
      <rPr>
        <sz val="12"/>
        <color rgb="FF1F2329"/>
        <rFont val="Calibri"/>
        <family val="2"/>
      </rPr>
      <t>119</t>
    </r>
    <r>
      <rPr>
        <sz val="12"/>
        <color rgb="FF1F2329"/>
        <rFont val="宋体"/>
        <family val="3"/>
        <charset val="134"/>
      </rPr>
      <t>号</t>
    </r>
  </si>
  <si>
    <r>
      <t xml:space="preserve">13 </t>
    </r>
    <r>
      <rPr>
        <sz val="12"/>
        <color rgb="FF1F2329"/>
        <rFont val="宋体"/>
        <family val="3"/>
        <charset val="134"/>
      </rPr>
      <t>年</t>
    </r>
  </si>
  <si>
    <r>
      <t>11</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</si>
  <si>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云南省昆明市昆明市富民县赤鹫镇咀咪哩村委会小龙潭村</t>
    </r>
    <r>
      <rPr>
        <sz val="12"/>
        <color rgb="FF1F2329"/>
        <rFont val="Calibri"/>
        <family val="2"/>
      </rPr>
      <t>12</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</si>
  <si>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</si>
  <si>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11</t>
    </r>
    <r>
      <rPr>
        <sz val="12"/>
        <color rgb="FF1F2329"/>
        <rFont val="宋体"/>
        <family val="3"/>
        <charset val="134"/>
      </rPr>
      <t>年</t>
    </r>
    <r>
      <rPr>
        <sz val="12"/>
        <color rgb="FF1F2329"/>
        <rFont val="Calibri"/>
        <family val="2"/>
      </rPr>
      <t>08</t>
    </r>
    <r>
      <rPr>
        <sz val="12"/>
        <color rgb="FF1F2329"/>
        <rFont val="宋体"/>
        <family val="3"/>
        <charset val="134"/>
      </rPr>
      <t>个月</t>
    </r>
  </si>
  <si>
    <r>
      <t>云南省昭通市彝良县龙安乡新街</t>
    </r>
    <r>
      <rPr>
        <sz val="12"/>
        <color rgb="FF1F2329"/>
        <rFont val="Calibri"/>
        <family val="2"/>
      </rPr>
      <t>291</t>
    </r>
    <r>
      <rPr>
        <sz val="12"/>
        <color rgb="FF1F2329"/>
        <rFont val="宋体"/>
        <family val="3"/>
        <charset val="134"/>
      </rPr>
      <t>号</t>
    </r>
  </si>
  <si>
    <r>
      <t>云南省昆明市昆明市富民县永定街道办事处北邑村委会廖家营村</t>
    </r>
    <r>
      <rPr>
        <sz val="12"/>
        <color rgb="FF1F2329"/>
        <rFont val="Calibri"/>
        <family val="2"/>
      </rPr>
      <t>106</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</si>
  <si>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</si>
  <si>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</si>
  <si>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云南省昆明市寻甸回族彝族自治县柯渡镇乐朗村委会旧村</t>
    </r>
    <r>
      <rPr>
        <sz val="12"/>
        <color rgb="FF1F2329"/>
        <rFont val="Calibri"/>
        <family val="2"/>
      </rPr>
      <t>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</si>
  <si>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</si>
  <si>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11</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</si>
  <si>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云南省昆明市昆明市富民县罗免乡小罗免村</t>
    </r>
    <r>
      <rPr>
        <sz val="12"/>
        <color rgb="FF1F2329"/>
        <rFont val="Calibri"/>
        <family val="2"/>
      </rPr>
      <t>35</t>
    </r>
    <r>
      <rPr>
        <sz val="12"/>
        <color rgb="FF1F2329"/>
        <rFont val="宋体"/>
        <family val="3"/>
        <charset val="134"/>
      </rPr>
      <t>号</t>
    </r>
  </si>
  <si>
    <r>
      <t>云南省曲靖市陆良县马街镇郭家村村委会常家村</t>
    </r>
    <r>
      <rPr>
        <sz val="12"/>
        <color rgb="FF1F2329"/>
        <rFont val="Calibri"/>
        <family val="2"/>
      </rPr>
      <t>186</t>
    </r>
    <r>
      <rPr>
        <sz val="12"/>
        <color rgb="FF1F2329"/>
        <rFont val="宋体"/>
        <family val="3"/>
        <charset val="134"/>
      </rPr>
      <t>号</t>
    </r>
  </si>
  <si>
    <r>
      <t>玉溪市新平彝族傣族自治县桂山镇古城村委会大啊秀</t>
    </r>
    <r>
      <rPr>
        <sz val="12"/>
        <color rgb="FF1F2329"/>
        <rFont val="Calibri"/>
        <family val="2"/>
      </rPr>
      <t>20</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</si>
  <si>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</si>
  <si>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云南省昭通市大关县悦乐镇太坪村委会易家坪村</t>
    </r>
    <r>
      <rPr>
        <sz val="12"/>
        <color rgb="FF1F2329"/>
        <rFont val="Calibri"/>
        <family val="2"/>
      </rPr>
      <t>26</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</si>
  <si>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</si>
  <si>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云南省楚雄彝族自治州武定县高桥镇庄良村委会马房箐村</t>
    </r>
    <r>
      <rPr>
        <sz val="12"/>
        <color rgb="FF1F2329"/>
        <rFont val="Calibri"/>
        <family val="2"/>
      </rPr>
      <t>81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</si>
  <si>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</si>
  <si>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12</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</si>
  <si>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云南省昆明市昆明市富民县永定镇黄坡村委会黄坡村</t>
    </r>
    <r>
      <rPr>
        <sz val="12"/>
        <color rgb="FF1F2329"/>
        <rFont val="Calibri"/>
        <family val="2"/>
      </rPr>
      <t>43</t>
    </r>
    <r>
      <rPr>
        <sz val="12"/>
        <color rgb="FF1F2329"/>
        <rFont val="宋体"/>
        <family val="3"/>
        <charset val="134"/>
      </rPr>
      <t>号</t>
    </r>
  </si>
  <si>
    <r>
      <t>云南省昆明市学府路莲花小区</t>
    </r>
    <r>
      <rPr>
        <sz val="12"/>
        <color rgb="FF1F2329"/>
        <rFont val="Calibri"/>
        <family val="2"/>
      </rPr>
      <t>6</t>
    </r>
    <r>
      <rPr>
        <sz val="12"/>
        <color rgb="FF1F2329"/>
        <rFont val="宋体"/>
        <family val="3"/>
        <charset val="134"/>
      </rPr>
      <t>幢</t>
    </r>
    <r>
      <rPr>
        <sz val="12"/>
        <color rgb="FF1F2329"/>
        <rFont val="Calibri"/>
        <family val="2"/>
      </rPr>
      <t>3</t>
    </r>
    <r>
      <rPr>
        <sz val="12"/>
        <color rgb="FF1F2329"/>
        <rFont val="宋体"/>
        <family val="3"/>
        <charset val="134"/>
      </rPr>
      <t>单元</t>
    </r>
  </si>
  <si>
    <r>
      <t>湖北省恩施土家族苗族自治州利川市谋道镇光明村</t>
    </r>
    <r>
      <rPr>
        <sz val="12"/>
        <color rgb="FF1F2329"/>
        <rFont val="Calibri"/>
        <family val="2"/>
      </rPr>
      <t>4</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</si>
  <si>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</si>
  <si>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12</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</si>
  <si>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云南省昆明市嵩明县嵩阳镇新桥村</t>
    </r>
    <r>
      <rPr>
        <sz val="12"/>
        <color rgb="FF1F2329"/>
        <rFont val="Calibri"/>
        <family val="2"/>
      </rPr>
      <t>10</t>
    </r>
    <r>
      <rPr>
        <sz val="12"/>
        <color rgb="FF1F2329"/>
        <rFont val="宋体"/>
        <family val="3"/>
        <charset val="134"/>
      </rPr>
      <t>号</t>
    </r>
  </si>
  <si>
    <r>
      <t>云南省文山壮族苗族自治州马关县马白镇马安山村民委塘子边村民小组</t>
    </r>
    <r>
      <rPr>
        <sz val="12"/>
        <color rgb="FF1F2329"/>
        <rFont val="Calibri"/>
        <family val="2"/>
      </rPr>
      <t>73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</si>
  <si>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</si>
  <si>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14 </t>
    </r>
    <r>
      <rPr>
        <sz val="12"/>
        <color rgb="FF1F2329"/>
        <rFont val="宋体"/>
        <family val="3"/>
        <charset val="134"/>
      </rPr>
      <t>年</t>
    </r>
  </si>
  <si>
    <r>
      <t>云南省昆明市五华区科普路</t>
    </r>
    <r>
      <rPr>
        <sz val="12"/>
        <color rgb="FF1F2329"/>
        <rFont val="Calibri"/>
        <family val="2"/>
      </rPr>
      <t>501</t>
    </r>
    <r>
      <rPr>
        <sz val="12"/>
        <color rgb="FF1F2329"/>
        <rFont val="宋体"/>
        <family val="3"/>
        <charset val="134"/>
      </rPr>
      <t>号联想科技城二期</t>
    </r>
  </si>
  <si>
    <r>
      <t>云南省楚雄彝族自治州姚安县太平镇白石地村委会白沙冲二组</t>
    </r>
    <r>
      <rPr>
        <sz val="12"/>
        <color rgb="FF1F2329"/>
        <rFont val="Calibri"/>
        <family val="2"/>
      </rPr>
      <t>51</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</si>
  <si>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</si>
  <si>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03</t>
    </r>
    <r>
      <rPr>
        <sz val="12"/>
        <color rgb="FF1F2329"/>
        <rFont val="宋体"/>
        <family val="3"/>
        <charset val="134"/>
      </rPr>
      <t>年</t>
    </r>
    <r>
      <rPr>
        <sz val="12"/>
        <color rgb="FF1F2329"/>
        <rFont val="Calibri"/>
        <family val="2"/>
      </rPr>
      <t>01</t>
    </r>
    <r>
      <rPr>
        <sz val="12"/>
        <color rgb="FF1F2329"/>
        <rFont val="宋体"/>
        <family val="3"/>
        <charset val="134"/>
      </rPr>
      <t>个月</t>
    </r>
  </si>
  <si>
    <r>
      <t>湖北省京山县罗店镇金龙街</t>
    </r>
    <r>
      <rPr>
        <sz val="12"/>
        <color rgb="FF1F2329"/>
        <rFont val="Calibri"/>
        <family val="2"/>
      </rPr>
      <t>72</t>
    </r>
    <r>
      <rPr>
        <sz val="12"/>
        <color rgb="FF1F2329"/>
        <rFont val="宋体"/>
        <family val="3"/>
        <charset val="134"/>
      </rPr>
      <t>号</t>
    </r>
  </si>
  <si>
    <r>
      <t>注册职业采购经理（</t>
    </r>
    <r>
      <rPr>
        <sz val="12"/>
        <color rgb="FF1F2329"/>
        <rFont val="Calibri"/>
        <family val="2"/>
      </rPr>
      <t>CPPM</t>
    </r>
    <r>
      <rPr>
        <sz val="12"/>
        <color rgb="FF1F2329"/>
        <rFont val="宋体"/>
        <family val="3"/>
        <charset val="134"/>
      </rPr>
      <t>）</t>
    </r>
  </si>
  <si>
    <r>
      <t>12</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</si>
  <si>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云南省昆明市昆明市富民县永定街道办事处环城南路时代俊园</t>
    </r>
    <r>
      <rPr>
        <sz val="12"/>
        <color rgb="FF1F2329"/>
        <rFont val="Calibri"/>
        <family val="2"/>
      </rPr>
      <t>11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</si>
  <si>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</si>
  <si>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云南省宣威市双河乡梨树坪村委会月亮田村</t>
    </r>
    <r>
      <rPr>
        <sz val="12"/>
        <color rgb="FF1F2329"/>
        <rFont val="Calibri"/>
        <family val="2"/>
      </rPr>
      <t>58</t>
    </r>
    <r>
      <rPr>
        <sz val="12"/>
        <color rgb="FF1F2329"/>
        <rFont val="宋体"/>
        <family val="3"/>
        <charset val="134"/>
      </rPr>
      <t>号</t>
    </r>
  </si>
  <si>
    <r>
      <t>13</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</si>
  <si>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云南省昆明市盘龙区新迎路胜利花园一区</t>
    </r>
    <r>
      <rPr>
        <sz val="12"/>
        <color rgb="FF1F2329"/>
        <rFont val="Calibri"/>
        <family val="2"/>
      </rPr>
      <t>28</t>
    </r>
    <r>
      <rPr>
        <sz val="12"/>
        <color rgb="FF1F2329"/>
        <rFont val="宋体"/>
        <family val="3"/>
        <charset val="134"/>
      </rPr>
      <t>栋</t>
    </r>
    <r>
      <rPr>
        <sz val="12"/>
        <color rgb="FF1F2329"/>
        <rFont val="Calibri"/>
        <family val="2"/>
      </rPr>
      <t>3</t>
    </r>
    <r>
      <rPr>
        <sz val="12"/>
        <color rgb="FF1F2329"/>
        <rFont val="宋体"/>
        <family val="3"/>
        <charset val="134"/>
      </rPr>
      <t>单元</t>
    </r>
    <r>
      <rPr>
        <sz val="12"/>
        <color rgb="FF1F2329"/>
        <rFont val="Calibri"/>
        <family val="2"/>
      </rPr>
      <t>402</t>
    </r>
  </si>
  <si>
    <r>
      <t>云南省昆明市高新区国际花园</t>
    </r>
    <r>
      <rPr>
        <sz val="12"/>
        <color rgb="FF1F2329"/>
        <rFont val="Calibri"/>
        <family val="2"/>
      </rPr>
      <t>20</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401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</si>
  <si>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</si>
  <si>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云南工商学院</t>
    </r>
    <r>
      <rPr>
        <sz val="12"/>
        <color rgb="FF1F2329"/>
        <rFont val="Calibri"/>
        <family val="2"/>
      </rPr>
      <t>/</t>
    </r>
    <r>
      <rPr>
        <sz val="12"/>
        <color rgb="FF1F2329"/>
        <rFont val="宋体"/>
        <family val="3"/>
        <charset val="134"/>
      </rPr>
      <t>对外经济贸易大学</t>
    </r>
  </si>
  <si>
    <r>
      <t>会计电算化</t>
    </r>
    <r>
      <rPr>
        <sz val="12"/>
        <color rgb="FF1F2329"/>
        <rFont val="Calibri"/>
        <family val="2"/>
      </rPr>
      <t>/</t>
    </r>
    <r>
      <rPr>
        <sz val="12"/>
        <color rgb="FF1F2329"/>
        <rFont val="宋体"/>
        <family val="3"/>
        <charset val="134"/>
      </rPr>
      <t>金融学</t>
    </r>
  </si>
  <si>
    <r>
      <t>云南省昆明市昆明市富民县永定街</t>
    </r>
    <r>
      <rPr>
        <sz val="12"/>
        <color rgb="FF1F2329"/>
        <rFont val="Calibri"/>
        <family val="2"/>
      </rPr>
      <t>386</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</si>
  <si>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</si>
  <si>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05</t>
    </r>
    <r>
      <rPr>
        <sz val="12"/>
        <color rgb="FF1F2329"/>
        <rFont val="宋体"/>
        <family val="3"/>
        <charset val="134"/>
      </rPr>
      <t>年</t>
    </r>
    <r>
      <rPr>
        <sz val="12"/>
        <color rgb="FF1F2329"/>
        <rFont val="Calibri"/>
        <family val="2"/>
      </rPr>
      <t>04</t>
    </r>
    <r>
      <rPr>
        <sz val="12"/>
        <color rgb="FF1F2329"/>
        <rFont val="宋体"/>
        <family val="3"/>
        <charset val="134"/>
      </rPr>
      <t>个月</t>
    </r>
  </si>
  <si>
    <r>
      <t>保山市施甸曲旺镇银川乡大南村</t>
    </r>
    <r>
      <rPr>
        <sz val="12"/>
        <color rgb="FF1F2329"/>
        <rFont val="Calibri"/>
        <family val="2"/>
      </rPr>
      <t>3</t>
    </r>
    <r>
      <rPr>
        <sz val="12"/>
        <color rgb="FF1F2329"/>
        <rFont val="宋体"/>
        <family val="3"/>
        <charset val="134"/>
      </rPr>
      <t>组</t>
    </r>
  </si>
  <si>
    <r>
      <t>13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</si>
  <si>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云南省昆明市胜利花园</t>
    </r>
    <r>
      <rPr>
        <sz val="12"/>
        <color rgb="FF1F2329"/>
        <rFont val="Calibri"/>
        <family val="2"/>
      </rPr>
      <t>4-1-707</t>
    </r>
  </si>
  <si>
    <r>
      <t xml:space="preserve">14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</si>
  <si>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13</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</si>
  <si>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15 </t>
    </r>
    <r>
      <rPr>
        <sz val="12"/>
        <color rgb="FF1F2329"/>
        <rFont val="宋体"/>
        <family val="3"/>
        <charset val="134"/>
      </rPr>
      <t>年</t>
    </r>
  </si>
  <si>
    <r>
      <t>云南省昆明市五华区黑林铺街道经典双城</t>
    </r>
    <r>
      <rPr>
        <sz val="12"/>
        <color rgb="FF1F2329"/>
        <rFont val="Calibri"/>
        <family val="2"/>
      </rPr>
      <t>C</t>
    </r>
    <r>
      <rPr>
        <sz val="12"/>
        <color rgb="FF1F2329"/>
        <rFont val="宋体"/>
        <family val="3"/>
        <charset val="134"/>
      </rPr>
      <t>区</t>
    </r>
  </si>
  <si>
    <r>
      <t xml:space="preserve">15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</si>
  <si>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02</t>
    </r>
    <r>
      <rPr>
        <sz val="12"/>
        <color rgb="FF1F2329"/>
        <rFont val="宋体"/>
        <family val="3"/>
        <charset val="134"/>
      </rPr>
      <t>年</t>
    </r>
    <r>
      <rPr>
        <sz val="12"/>
        <color rgb="FF1F2329"/>
        <rFont val="Calibri"/>
        <family val="2"/>
      </rPr>
      <t>05</t>
    </r>
    <r>
      <rPr>
        <sz val="12"/>
        <color rgb="FF1F2329"/>
        <rFont val="宋体"/>
        <family val="3"/>
        <charset val="134"/>
      </rPr>
      <t>个月</t>
    </r>
  </si>
  <si>
    <r>
      <t>云南省红河哈尼族彝族自治州个旧市锡行街</t>
    </r>
    <r>
      <rPr>
        <sz val="12"/>
        <color rgb="FF1F2329"/>
        <rFont val="Calibri"/>
        <family val="2"/>
      </rPr>
      <t>48</t>
    </r>
    <r>
      <rPr>
        <sz val="12"/>
        <color rgb="FF1F2329"/>
        <rFont val="宋体"/>
        <family val="3"/>
        <charset val="134"/>
      </rPr>
      <t>号</t>
    </r>
    <r>
      <rPr>
        <sz val="12"/>
        <color rgb="FF1F2329"/>
        <rFont val="Calibri"/>
        <family val="2"/>
      </rPr>
      <t>1</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</si>
  <si>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</si>
  <si>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</si>
  <si>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云南省昆明市昆明市富民县永定镇西邑村委会上西邑村</t>
    </r>
    <r>
      <rPr>
        <sz val="12"/>
        <color rgb="FF1F2329"/>
        <rFont val="Calibri"/>
        <family val="2"/>
      </rPr>
      <t>68</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</si>
  <si>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</si>
  <si>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云南省昆明市昆明市富民县罗免彝族苗族乡麦加营村委会荞地山村</t>
    </r>
    <r>
      <rPr>
        <sz val="12"/>
        <color rgb="FF1F2329"/>
        <rFont val="Calibri"/>
        <family val="2"/>
      </rPr>
      <t>101</t>
    </r>
    <r>
      <rPr>
        <sz val="12"/>
        <color rgb="FF1F2329"/>
        <rFont val="宋体"/>
        <family val="3"/>
        <charset val="134"/>
      </rPr>
      <t>号</t>
    </r>
  </si>
  <si>
    <r>
      <t>云南省昆明市昆明市富民县赤鹫乡玉屏村委会山半腰村</t>
    </r>
    <r>
      <rPr>
        <sz val="12"/>
        <color rgb="FF1F2329"/>
        <rFont val="Calibri"/>
        <family val="2"/>
      </rPr>
      <t>4</t>
    </r>
    <r>
      <rPr>
        <sz val="12"/>
        <color rgb="FF1F2329"/>
        <rFont val="宋体"/>
        <family val="3"/>
        <charset val="134"/>
      </rPr>
      <t>号</t>
    </r>
  </si>
  <si>
    <r>
      <t>云南省昆明市五华区小屯路万科城乘峰上小区</t>
    </r>
    <r>
      <rPr>
        <sz val="12"/>
        <color rgb="FF1F2329"/>
        <rFont val="Calibri"/>
        <family val="2"/>
      </rPr>
      <t>10</t>
    </r>
    <r>
      <rPr>
        <sz val="12"/>
        <color rgb="FF1F2329"/>
        <rFont val="宋体"/>
        <family val="3"/>
        <charset val="134"/>
      </rPr>
      <t>栋</t>
    </r>
    <r>
      <rPr>
        <sz val="12"/>
        <color rgb="FF1F2329"/>
        <rFont val="Calibri"/>
        <family val="2"/>
      </rPr>
      <t>607</t>
    </r>
    <r>
      <rPr>
        <sz val="12"/>
        <color rgb="FF1F2329"/>
        <rFont val="宋体"/>
        <family val="3"/>
        <charset val="134"/>
      </rPr>
      <t>室</t>
    </r>
  </si>
  <si>
    <r>
      <t>云南省昆明市龙泉镇金刀营村</t>
    </r>
    <r>
      <rPr>
        <sz val="12"/>
        <color rgb="FF1F2329"/>
        <rFont val="Calibri"/>
        <family val="2"/>
      </rPr>
      <t>116</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</si>
  <si>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</si>
  <si>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00</t>
    </r>
    <r>
      <rPr>
        <sz val="12"/>
        <color rgb="FF1F2329"/>
        <rFont val="宋体"/>
        <family val="3"/>
        <charset val="134"/>
      </rPr>
      <t>年</t>
    </r>
    <r>
      <rPr>
        <sz val="12"/>
        <color rgb="FF1F2329"/>
        <rFont val="Calibri"/>
        <family val="2"/>
      </rPr>
      <t>02</t>
    </r>
    <r>
      <rPr>
        <sz val="12"/>
        <color rgb="FF1F2329"/>
        <rFont val="宋体"/>
        <family val="3"/>
        <charset val="134"/>
      </rPr>
      <t>个月</t>
    </r>
  </si>
  <si>
    <r>
      <t>云南省红河哈尼族彝族自治州弥勒县弥阳镇占马村委会占马田村</t>
    </r>
    <r>
      <rPr>
        <sz val="12"/>
        <color rgb="FF1F2329"/>
        <rFont val="Calibri"/>
        <family val="2"/>
      </rPr>
      <t>62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</si>
  <si>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</si>
  <si>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14</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</si>
  <si>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云南省昆明市昆明市富民县永定镇西庄村</t>
    </r>
    <r>
      <rPr>
        <sz val="12"/>
        <color rgb="FF1F2329"/>
        <rFont val="Calibri"/>
        <family val="2"/>
      </rPr>
      <t>35</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</si>
  <si>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</si>
  <si>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</si>
  <si>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云南省昆明市昆明市富民县前街</t>
    </r>
    <r>
      <rPr>
        <sz val="12"/>
        <color rgb="FF1F2329"/>
        <rFont val="Calibri"/>
        <family val="2"/>
      </rPr>
      <t>151</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</si>
  <si>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</si>
  <si>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云南省昆明市昆明市富民县永定镇西邑村委会东邑村</t>
    </r>
    <r>
      <rPr>
        <sz val="12"/>
        <color rgb="FF1F2329"/>
        <rFont val="Calibri"/>
        <family val="2"/>
      </rPr>
      <t>125</t>
    </r>
    <r>
      <rPr>
        <sz val="12"/>
        <color rgb="FF1F2329"/>
        <rFont val="宋体"/>
        <family val="3"/>
        <charset val="134"/>
      </rPr>
      <t>号</t>
    </r>
  </si>
  <si>
    <r>
      <t>14</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</si>
  <si>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云南省昆明市昆明市富民县散旦乡羊槽箐村</t>
    </r>
    <r>
      <rPr>
        <sz val="12"/>
        <color rgb="FF1F2329"/>
        <rFont val="Calibri"/>
        <family val="2"/>
      </rPr>
      <t>5</t>
    </r>
    <r>
      <rPr>
        <sz val="12"/>
        <color rgb="FF1F2329"/>
        <rFont val="宋体"/>
        <family val="3"/>
        <charset val="134"/>
      </rPr>
      <t>号</t>
    </r>
  </si>
  <si>
    <r>
      <t>CNC</t>
    </r>
    <r>
      <rPr>
        <sz val="12"/>
        <color rgb="FF1F2329"/>
        <rFont val="宋体"/>
        <family val="3"/>
        <charset val="134"/>
      </rPr>
      <t>编程员兼数控组长</t>
    </r>
  </si>
  <si>
    <r>
      <t xml:space="preserve">16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</si>
  <si>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04</t>
    </r>
    <r>
      <rPr>
        <sz val="12"/>
        <color rgb="FF1F2329"/>
        <rFont val="宋体"/>
        <family val="3"/>
        <charset val="134"/>
      </rPr>
      <t>年</t>
    </r>
    <r>
      <rPr>
        <sz val="12"/>
        <color rgb="FF1F2329"/>
        <rFont val="Calibri"/>
        <family val="2"/>
      </rPr>
      <t>00</t>
    </r>
    <r>
      <rPr>
        <sz val="12"/>
        <color rgb="FF1F2329"/>
        <rFont val="宋体"/>
        <family val="3"/>
        <charset val="134"/>
      </rPr>
      <t>个月</t>
    </r>
  </si>
  <si>
    <r>
      <t>昆明轻工学校（中专）</t>
    </r>
    <r>
      <rPr>
        <sz val="12"/>
        <color rgb="FF1F2329"/>
        <rFont val="Calibri"/>
        <family val="2"/>
      </rPr>
      <t>/</t>
    </r>
    <r>
      <rPr>
        <sz val="12"/>
        <color rgb="FF1F2329"/>
        <rFont val="宋体"/>
        <family val="3"/>
        <charset val="134"/>
      </rPr>
      <t>东北财经大学</t>
    </r>
  </si>
  <si>
    <r>
      <t>机电电气化（中专）</t>
    </r>
    <r>
      <rPr>
        <sz val="12"/>
        <color rgb="FF1F2329"/>
        <rFont val="Calibri"/>
        <family val="2"/>
      </rPr>
      <t>/</t>
    </r>
    <r>
      <rPr>
        <sz val="12"/>
        <color rgb="FF1F2329"/>
        <rFont val="宋体"/>
        <family val="3"/>
        <charset val="134"/>
      </rPr>
      <t>工程质量监督与管理</t>
    </r>
  </si>
  <si>
    <r>
      <t>云南省昆明市宜良县马街乡马街村委会龚家营村</t>
    </r>
    <r>
      <rPr>
        <sz val="12"/>
        <color rgb="FF1F2329"/>
        <rFont val="Calibri"/>
        <family val="2"/>
      </rPr>
      <t>62</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</si>
  <si>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</si>
  <si>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云南省昆明市昆明市富民县永定街</t>
    </r>
    <r>
      <rPr>
        <sz val="12"/>
        <color rgb="FF1F2329"/>
        <rFont val="Calibri"/>
        <family val="2"/>
      </rPr>
      <t>421</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601</t>
    </r>
    <r>
      <rPr>
        <sz val="12"/>
        <color rgb="FF1F2329"/>
        <rFont val="宋体"/>
        <family val="3"/>
        <charset val="134"/>
      </rPr>
      <t>室</t>
    </r>
  </si>
  <si>
    <r>
      <t>云南省昆明市盘龙区水晶村</t>
    </r>
    <r>
      <rPr>
        <sz val="12"/>
        <color rgb="FF1F2329"/>
        <rFont val="Calibri"/>
        <family val="2"/>
      </rPr>
      <t>3</t>
    </r>
    <r>
      <rPr>
        <sz val="12"/>
        <color rgb="FF1F2329"/>
        <rFont val="宋体"/>
        <family val="3"/>
        <charset val="134"/>
      </rPr>
      <t>号院</t>
    </r>
    <r>
      <rPr>
        <sz val="12"/>
        <color rgb="FF1F2329"/>
        <rFont val="Calibri"/>
        <family val="2"/>
      </rPr>
      <t>704</t>
    </r>
  </si>
  <si>
    <r>
      <t xml:space="preserve">16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</si>
  <si>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</si>
  <si>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t>
    </r>
    <r>
      <rPr>
        <sz val="12"/>
        <color rgb="FF1F2329"/>
        <rFont val="Calibri"/>
        <family val="2"/>
      </rPr>
      <t>90</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504</t>
    </r>
    <r>
      <rPr>
        <sz val="12"/>
        <color rgb="FF1F2329"/>
        <rFont val="宋体"/>
        <family val="3"/>
        <charset val="134"/>
      </rPr>
      <t>室</t>
    </r>
  </si>
  <si>
    <r>
      <t xml:space="preserve">16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</si>
  <si>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15</t>
    </r>
    <r>
      <rPr>
        <sz val="12"/>
        <color rgb="FF1F2329"/>
        <rFont val="宋体"/>
        <family val="3"/>
        <charset val="134"/>
      </rPr>
      <t>年</t>
    </r>
    <r>
      <rPr>
        <sz val="12"/>
        <color rgb="FF1F2329"/>
        <rFont val="Calibri"/>
        <family val="2"/>
      </rPr>
      <t>02</t>
    </r>
    <r>
      <rPr>
        <sz val="12"/>
        <color rgb="FF1F2329"/>
        <rFont val="宋体"/>
        <family val="3"/>
        <charset val="134"/>
      </rPr>
      <t>个月</t>
    </r>
  </si>
  <si>
    <r>
      <t xml:space="preserve">16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</si>
  <si>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15</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</si>
  <si>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云南省昆明市昆明市富民县永定街道办事处滨河村</t>
    </r>
    <r>
      <rPr>
        <sz val="12"/>
        <color rgb="FF1F2329"/>
        <rFont val="Calibri"/>
        <family val="2"/>
      </rPr>
      <t>3</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</si>
  <si>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</si>
  <si>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云南省昆明市富民县永定镇仓前村</t>
    </r>
    <r>
      <rPr>
        <sz val="12"/>
        <color rgb="FF1F2329"/>
        <rFont val="Calibri"/>
        <family val="2"/>
      </rPr>
      <t>249</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</si>
  <si>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</si>
  <si>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云南省昆明市五华区学府路</t>
    </r>
    <r>
      <rPr>
        <sz val="12"/>
        <color rgb="FF1F2329"/>
        <rFont val="Calibri"/>
        <family val="2"/>
      </rPr>
      <t>2</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</si>
  <si>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</si>
  <si>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15</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</si>
  <si>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云南省昆明市桂鑫园</t>
    </r>
    <r>
      <rPr>
        <sz val="12"/>
        <color rgb="FF1F2329"/>
        <rFont val="Calibri"/>
        <family val="2"/>
      </rPr>
      <t>2-2-801</t>
    </r>
  </si>
  <si>
    <r>
      <t>云南省昆明市昆明市富民县永定镇北邑村委会上文明村</t>
    </r>
    <r>
      <rPr>
        <sz val="12"/>
        <color rgb="FF1F2329"/>
        <rFont val="Calibri"/>
        <family val="2"/>
      </rPr>
      <t>73</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</si>
  <si>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</si>
  <si>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</si>
  <si>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云南省昆明市西山区大观路</t>
    </r>
    <r>
      <rPr>
        <sz val="12"/>
        <color rgb="FF1F2329"/>
        <rFont val="Calibri"/>
        <family val="2"/>
      </rPr>
      <t>168</t>
    </r>
    <r>
      <rPr>
        <sz val="12"/>
        <color rgb="FF1F2329"/>
        <rFont val="宋体"/>
        <family val="3"/>
        <charset val="134"/>
      </rPr>
      <t>号</t>
    </r>
    <r>
      <rPr>
        <sz val="12"/>
        <color rgb="FF1F2329"/>
        <rFont val="Calibri"/>
        <family val="2"/>
      </rPr>
      <t>2</t>
    </r>
    <r>
      <rPr>
        <sz val="12"/>
        <color rgb="FF1F2329"/>
        <rFont val="宋体"/>
        <family val="3"/>
        <charset val="134"/>
      </rPr>
      <t>幢</t>
    </r>
    <r>
      <rPr>
        <sz val="12"/>
        <color rgb="FF1F2329"/>
        <rFont val="Calibri"/>
        <family val="2"/>
      </rPr>
      <t>B</t>
    </r>
    <r>
      <rPr>
        <sz val="12"/>
        <color rgb="FF1F2329"/>
        <rFont val="宋体"/>
        <family val="3"/>
        <charset val="134"/>
      </rPr>
      <t>座</t>
    </r>
    <r>
      <rPr>
        <sz val="12"/>
        <color rgb="FF1F2329"/>
        <rFont val="Calibri"/>
        <family val="2"/>
      </rPr>
      <t>9</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</si>
  <si>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</si>
  <si>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云南省玉溪市江川县江城镇左卫村委会东街村</t>
    </r>
    <r>
      <rPr>
        <sz val="12"/>
        <color rgb="FF1F2329"/>
        <rFont val="Calibri"/>
        <family val="2"/>
      </rPr>
      <t>96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</si>
  <si>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</si>
  <si>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16</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</si>
  <si>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云南省昆明市盘龙区龙泉路</t>
    </r>
    <r>
      <rPr>
        <sz val="12"/>
        <color rgb="FF1F2329"/>
        <rFont val="Calibri"/>
        <family val="2"/>
      </rPr>
      <t>871</t>
    </r>
    <r>
      <rPr>
        <sz val="12"/>
        <color rgb="FF1F2329"/>
        <rFont val="宋体"/>
        <family val="3"/>
        <charset val="134"/>
      </rPr>
      <t>号</t>
    </r>
  </si>
  <si>
    <r>
      <t>广东省湛江市霞山区青岛路</t>
    </r>
    <r>
      <rPr>
        <sz val="12"/>
        <color rgb="FF1F2329"/>
        <rFont val="Calibri"/>
        <family val="2"/>
      </rPr>
      <t>2</t>
    </r>
    <r>
      <rPr>
        <sz val="12"/>
        <color rgb="FF1F2329"/>
        <rFont val="宋体"/>
        <family val="3"/>
        <charset val="134"/>
      </rPr>
      <t>号</t>
    </r>
    <r>
      <rPr>
        <sz val="12"/>
        <color rgb="FF1F2329"/>
        <rFont val="Calibri"/>
        <family val="2"/>
      </rPr>
      <t>6</t>
    </r>
    <r>
      <rPr>
        <sz val="12"/>
        <color rgb="FF1F2329"/>
        <rFont val="宋体"/>
        <family val="3"/>
        <charset val="134"/>
      </rPr>
      <t>幢</t>
    </r>
    <r>
      <rPr>
        <sz val="12"/>
        <color rgb="FF1F2329"/>
        <rFont val="Calibri"/>
        <family val="2"/>
      </rPr>
      <t>910</t>
    </r>
    <r>
      <rPr>
        <sz val="12"/>
        <color rgb="FF1F2329"/>
        <rFont val="宋体"/>
        <family val="3"/>
        <charset val="134"/>
      </rPr>
      <t>房</t>
    </r>
  </si>
  <si>
    <r>
      <t xml:space="preserve">18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</si>
  <si>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</si>
  <si>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云南省昆明市昆明市富民县罗免彝族苗族乡高仓村委会张湾路</t>
    </r>
    <r>
      <rPr>
        <sz val="12"/>
        <color rgb="FF1F2329"/>
        <rFont val="Calibri"/>
        <family val="2"/>
      </rPr>
      <t>25</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</si>
  <si>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</si>
  <si>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</si>
  <si>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云南省昆明市昆明市富民县大营镇大营村委会上村</t>
    </r>
    <r>
      <rPr>
        <sz val="12"/>
        <color rgb="FF1F2329"/>
        <rFont val="Calibri"/>
        <family val="2"/>
      </rPr>
      <t>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</si>
  <si>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</si>
  <si>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17</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</si>
  <si>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云南省昆明市昆明市富民县罗免彝族苗族镇高仓村委会小高仓村</t>
    </r>
    <r>
      <rPr>
        <sz val="12"/>
        <color rgb="FF1F2329"/>
        <rFont val="Calibri"/>
        <family val="2"/>
      </rPr>
      <t>3</t>
    </r>
    <r>
      <rPr>
        <sz val="12"/>
        <color rgb="FF1F2329"/>
        <rFont val="宋体"/>
        <family val="3"/>
        <charset val="134"/>
      </rPr>
      <t>号</t>
    </r>
  </si>
  <si>
    <r>
      <t>云南省昆明市昆明市富民县永定镇兴贡村委会烟墩村</t>
    </r>
    <r>
      <rPr>
        <sz val="12"/>
        <color rgb="FF1F2329"/>
        <rFont val="Calibri"/>
        <family val="2"/>
      </rPr>
      <t>101</t>
    </r>
    <r>
      <rPr>
        <sz val="12"/>
        <color rgb="FF1F2329"/>
        <rFont val="宋体"/>
        <family val="3"/>
        <charset val="134"/>
      </rPr>
      <t>号</t>
    </r>
  </si>
  <si>
    <r>
      <t>云南省昆明市富民县永定镇清河村民委员会</t>
    </r>
    <r>
      <rPr>
        <sz val="12"/>
        <color rgb="FF1F2329"/>
        <rFont val="Calibri"/>
        <family val="2"/>
      </rPr>
      <t>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</si>
  <si>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</si>
  <si>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17</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</si>
  <si>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云南省昆明市昆明市富民县永定街道城北社区环城西路黎阳晟市小区</t>
    </r>
    <r>
      <rPr>
        <sz val="12"/>
        <color rgb="FF1F2329"/>
        <rFont val="Calibri"/>
        <family val="2"/>
      </rPr>
      <t>3</t>
    </r>
    <r>
      <rPr>
        <sz val="12"/>
        <color rgb="FF1F2329"/>
        <rFont val="宋体"/>
        <family val="3"/>
        <charset val="134"/>
      </rPr>
      <t>组团</t>
    </r>
    <r>
      <rPr>
        <sz val="12"/>
        <color rgb="FF1F2329"/>
        <rFont val="Calibri"/>
        <family val="2"/>
      </rPr>
      <t>2</t>
    </r>
    <r>
      <rPr>
        <sz val="12"/>
        <color rgb="FF1F2329"/>
        <rFont val="宋体"/>
        <family val="3"/>
        <charset val="134"/>
      </rPr>
      <t>幢</t>
    </r>
    <r>
      <rPr>
        <sz val="12"/>
        <color rgb="FF1F2329"/>
        <rFont val="Calibri"/>
        <family val="2"/>
      </rPr>
      <t>5</t>
    </r>
    <r>
      <rPr>
        <sz val="12"/>
        <color rgb="FF1F2329"/>
        <rFont val="宋体"/>
        <family val="3"/>
        <charset val="134"/>
      </rPr>
      <t>单元</t>
    </r>
    <r>
      <rPr>
        <sz val="12"/>
        <color rgb="FF1F2329"/>
        <rFont val="Calibri"/>
        <family val="2"/>
      </rPr>
      <t>401</t>
    </r>
    <r>
      <rPr>
        <sz val="12"/>
        <color rgb="FF1F2329"/>
        <rFont val="宋体"/>
        <family val="3"/>
        <charset val="134"/>
      </rPr>
      <t>室</t>
    </r>
  </si>
  <si>
    <r>
      <t>云南省昆明市五华区科锦路中联花园小区</t>
    </r>
    <r>
      <rPr>
        <sz val="12"/>
        <color rgb="FF1F2329"/>
        <rFont val="Calibri"/>
        <family val="2"/>
      </rPr>
      <t>8</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602</t>
    </r>
    <r>
      <rPr>
        <sz val="12"/>
        <color rgb="FF1F2329"/>
        <rFont val="宋体"/>
        <family val="3"/>
        <charset val="134"/>
      </rPr>
      <t>室</t>
    </r>
  </si>
  <si>
    <r>
      <t>03</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</si>
  <si>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云南省昆明市梁家河车场上栗村</t>
    </r>
    <r>
      <rPr>
        <sz val="12"/>
        <color rgb="FF1F2329"/>
        <rFont val="Calibri"/>
        <family val="2"/>
      </rPr>
      <t>118</t>
    </r>
    <r>
      <rPr>
        <sz val="12"/>
        <color rgb="FF1F2329"/>
        <rFont val="宋体"/>
        <family val="3"/>
        <charset val="134"/>
      </rPr>
      <t>号</t>
    </r>
  </si>
  <si>
    <r>
      <t>云南省昆明市五华区昌源中路美丽新世界</t>
    </r>
    <r>
      <rPr>
        <sz val="12"/>
        <color rgb="FF1F2329"/>
        <rFont val="Calibri"/>
        <family val="2"/>
      </rPr>
      <t>30</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701</t>
    </r>
    <r>
      <rPr>
        <sz val="12"/>
        <color rgb="FF1F2329"/>
        <rFont val="宋体"/>
        <family val="3"/>
        <charset val="134"/>
      </rPr>
      <t>室</t>
    </r>
  </si>
  <si>
    <r>
      <t xml:space="preserve">18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</si>
  <si>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云南省昆明市昆明市富民县散旦乡散旦村委会关家营村</t>
    </r>
    <r>
      <rPr>
        <sz val="12"/>
        <color rgb="FF1F2329"/>
        <rFont val="Calibri"/>
        <family val="2"/>
      </rPr>
      <t>63</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</si>
  <si>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</si>
  <si>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云南省昆明市昆明市富民县后街</t>
    </r>
    <r>
      <rPr>
        <sz val="12"/>
        <color rgb="FF1F2329"/>
        <rFont val="Calibri"/>
        <family val="2"/>
      </rPr>
      <t>239</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</si>
  <si>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</si>
  <si>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17</t>
    </r>
    <r>
      <rPr>
        <sz val="12"/>
        <color rgb="FF1F2329"/>
        <rFont val="宋体"/>
        <family val="3"/>
        <charset val="134"/>
      </rPr>
      <t>年</t>
    </r>
    <r>
      <rPr>
        <sz val="12"/>
        <color rgb="FF1F2329"/>
        <rFont val="Calibri"/>
        <family val="2"/>
      </rPr>
      <t>04</t>
    </r>
    <r>
      <rPr>
        <sz val="12"/>
        <color rgb="FF1F2329"/>
        <rFont val="宋体"/>
        <family val="3"/>
        <charset val="134"/>
      </rPr>
      <t>个月</t>
    </r>
  </si>
  <si>
    <r>
      <t>云南省玉溪市江川县江城镇云岩村委会江边村一社</t>
    </r>
    <r>
      <rPr>
        <sz val="12"/>
        <color rgb="FF1F2329"/>
        <rFont val="Calibri"/>
        <family val="2"/>
      </rPr>
      <t>94</t>
    </r>
    <r>
      <rPr>
        <sz val="12"/>
        <color rgb="FF1F2329"/>
        <rFont val="宋体"/>
        <family val="3"/>
        <charset val="134"/>
      </rPr>
      <t>号</t>
    </r>
  </si>
  <si>
    <r>
      <t>云南省昆明市五华区同心路</t>
    </r>
    <r>
      <rPr>
        <sz val="12"/>
        <color rgb="FF1F2329"/>
        <rFont val="Calibri"/>
        <family val="2"/>
      </rPr>
      <t>41</t>
    </r>
    <r>
      <rPr>
        <sz val="12"/>
        <color rgb="FF1F2329"/>
        <rFont val="宋体"/>
        <family val="3"/>
        <charset val="134"/>
      </rPr>
      <t>号</t>
    </r>
  </si>
  <si>
    <r>
      <t>云南省楚雄彝族自治州楚雄市鹿城北路</t>
    </r>
    <r>
      <rPr>
        <sz val="12"/>
        <color rgb="FF1F2329"/>
        <rFont val="Calibri"/>
        <family val="2"/>
      </rPr>
      <t>52</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602</t>
    </r>
    <r>
      <rPr>
        <sz val="12"/>
        <color rgb="FF1F2329"/>
        <rFont val="宋体"/>
        <family val="3"/>
        <charset val="134"/>
      </rPr>
      <t>室</t>
    </r>
  </si>
  <si>
    <r>
      <t>云南省昆明市盘龙区龙泉街道办事处落索坡村</t>
    </r>
    <r>
      <rPr>
        <sz val="12"/>
        <color rgb="FF1F2329"/>
        <rFont val="Calibri"/>
        <family val="2"/>
      </rPr>
      <t>643</t>
    </r>
    <r>
      <rPr>
        <sz val="12"/>
        <color rgb="FF1F2329"/>
        <rFont val="宋体"/>
        <family val="3"/>
        <charset val="134"/>
      </rPr>
      <t>号</t>
    </r>
  </si>
  <si>
    <r>
      <t>云南省昆明市嵩明县牛栏江镇古城村委会古城村</t>
    </r>
    <r>
      <rPr>
        <sz val="12"/>
        <color rgb="FF1F2329"/>
        <rFont val="Calibri"/>
        <family val="2"/>
      </rPr>
      <t>397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</si>
  <si>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</si>
  <si>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17</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</si>
  <si>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云南省昆明市石林彝族自治县石林镇林口铺村委会大林口铺村</t>
    </r>
    <r>
      <rPr>
        <sz val="12"/>
        <color rgb="FF1F2329"/>
        <rFont val="Calibri"/>
        <family val="2"/>
      </rPr>
      <t>191</t>
    </r>
    <r>
      <rPr>
        <sz val="12"/>
        <color rgb="FF1F2329"/>
        <rFont val="宋体"/>
        <family val="3"/>
        <charset val="134"/>
      </rPr>
      <t>号</t>
    </r>
  </si>
  <si>
    <r>
      <t xml:space="preserve">19 </t>
    </r>
    <r>
      <rPr>
        <sz val="12"/>
        <color rgb="FF1F2329"/>
        <rFont val="宋体"/>
        <family val="3"/>
        <charset val="134"/>
      </rPr>
      <t>年</t>
    </r>
  </si>
  <si>
    <r>
      <t>04</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</si>
  <si>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云南省昆明市西山区海口国营西南仪器厂</t>
    </r>
    <r>
      <rPr>
        <sz val="12"/>
        <color rgb="FF1F2329"/>
        <rFont val="Calibri"/>
        <family val="2"/>
      </rPr>
      <t>2</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5</t>
    </r>
    <r>
      <rPr>
        <sz val="12"/>
        <color rgb="FF1F2329"/>
        <rFont val="宋体"/>
        <family val="3"/>
        <charset val="134"/>
      </rPr>
      <t>号</t>
    </r>
  </si>
  <si>
    <r>
      <t>03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</si>
  <si>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云南省昆明市昆明市富民县罗免彝族苗族乡西核村委会西核村</t>
    </r>
    <r>
      <rPr>
        <sz val="12"/>
        <color rgb="FF1F2329"/>
        <rFont val="Calibri"/>
        <family val="2"/>
      </rPr>
      <t>81</t>
    </r>
    <r>
      <rPr>
        <sz val="12"/>
        <color rgb="FF1F2329"/>
        <rFont val="宋体"/>
        <family val="3"/>
        <charset val="134"/>
      </rPr>
      <t>号</t>
    </r>
  </si>
  <si>
    <r>
      <t xml:space="preserve">19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</si>
  <si>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18</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</si>
  <si>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云南省昆明市盘龙区龙泉路</t>
    </r>
    <r>
      <rPr>
        <sz val="12"/>
        <color rgb="FF1F2329"/>
        <rFont val="Calibri"/>
        <family val="2"/>
      </rPr>
      <t>564</t>
    </r>
    <r>
      <rPr>
        <sz val="12"/>
        <color rgb="FF1F2329"/>
        <rFont val="宋体"/>
        <family val="3"/>
        <charset val="134"/>
      </rPr>
      <t>号</t>
    </r>
    <r>
      <rPr>
        <sz val="12"/>
        <color rgb="FF1F2329"/>
        <rFont val="Calibri"/>
        <family val="2"/>
      </rPr>
      <t>11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101</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</si>
  <si>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</si>
  <si>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云南省官渡区昌宏路</t>
    </r>
    <r>
      <rPr>
        <sz val="12"/>
        <color rgb="FF1F2329"/>
        <rFont val="Calibri"/>
        <family val="2"/>
      </rPr>
      <t>69</t>
    </r>
    <r>
      <rPr>
        <sz val="12"/>
        <color rgb="FF1F2329"/>
        <rFont val="宋体"/>
        <family val="3"/>
        <charset val="134"/>
      </rPr>
      <t>号东城国际嘉仕苑</t>
    </r>
    <r>
      <rPr>
        <sz val="12"/>
        <color rgb="FF1F2329"/>
        <rFont val="Calibri"/>
        <family val="2"/>
      </rPr>
      <t>13</t>
    </r>
    <r>
      <rPr>
        <sz val="12"/>
        <color rgb="FF1F2329"/>
        <rFont val="宋体"/>
        <family val="3"/>
        <charset val="134"/>
      </rPr>
      <t>栋</t>
    </r>
    <r>
      <rPr>
        <sz val="12"/>
        <color rgb="FF1F2329"/>
        <rFont val="Calibri"/>
        <family val="2"/>
      </rPr>
      <t>603</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</si>
  <si>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</si>
  <si>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18</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</si>
  <si>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20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</si>
  <si>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</si>
  <si>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云南省昆明市官渡区金马寺光安照明电器有限责任公司</t>
    </r>
    <r>
      <rPr>
        <sz val="12"/>
        <color rgb="FF1F2329"/>
        <rFont val="Calibri"/>
        <family val="2"/>
      </rPr>
      <t>17</t>
    </r>
    <r>
      <rPr>
        <sz val="12"/>
        <color rgb="FF1F2329"/>
        <rFont val="宋体"/>
        <family val="3"/>
        <charset val="134"/>
      </rPr>
      <t>幢</t>
    </r>
    <r>
      <rPr>
        <sz val="12"/>
        <color rgb="FF1F2329"/>
        <rFont val="Calibri"/>
        <family val="2"/>
      </rPr>
      <t>105</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</si>
  <si>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</si>
  <si>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07</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</si>
  <si>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云南省昆明市盘龙区白塔新村万寿巷</t>
    </r>
    <r>
      <rPr>
        <sz val="12"/>
        <color rgb="FF1F2329"/>
        <rFont val="Calibri"/>
        <family val="2"/>
      </rPr>
      <t>51</t>
    </r>
    <r>
      <rPr>
        <sz val="12"/>
        <color rgb="FF1F2329"/>
        <rFont val="宋体"/>
        <family val="3"/>
        <charset val="134"/>
      </rPr>
      <t>号</t>
    </r>
    <r>
      <rPr>
        <sz val="12"/>
        <color rgb="FF1F2329"/>
        <rFont val="Calibri"/>
        <family val="2"/>
      </rPr>
      <t>7</t>
    </r>
    <r>
      <rPr>
        <sz val="12"/>
        <color rgb="FF1F2329"/>
        <rFont val="宋体"/>
        <family val="3"/>
        <charset val="134"/>
      </rPr>
      <t>单元</t>
    </r>
    <r>
      <rPr>
        <sz val="12"/>
        <color rgb="FF1F2329"/>
        <rFont val="Calibri"/>
        <family val="2"/>
      </rPr>
      <t>6</t>
    </r>
    <r>
      <rPr>
        <sz val="12"/>
        <color rgb="FF1F2329"/>
        <rFont val="宋体"/>
        <family val="3"/>
        <charset val="134"/>
      </rPr>
      <t>楼</t>
    </r>
    <r>
      <rPr>
        <sz val="12"/>
        <color rgb="FF1F2329"/>
        <rFont val="Calibri"/>
        <family val="2"/>
      </rPr>
      <t>9</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</si>
  <si>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</si>
  <si>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云南省昆明市昆明市富民县伽峰路</t>
    </r>
    <r>
      <rPr>
        <sz val="12"/>
        <color rgb="FF1F2329"/>
        <rFont val="Calibri"/>
        <family val="2"/>
      </rPr>
      <t>1</t>
    </r>
    <r>
      <rPr>
        <sz val="12"/>
        <color rgb="FF1F2329"/>
        <rFont val="宋体"/>
        <family val="3"/>
        <charset val="134"/>
      </rPr>
      <t>号假日尚岛小区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902</t>
    </r>
    <r>
      <rPr>
        <sz val="12"/>
        <color rgb="FF1F2329"/>
        <rFont val="宋体"/>
        <family val="3"/>
        <charset val="134"/>
      </rPr>
      <t>室</t>
    </r>
  </si>
  <si>
    <r>
      <t xml:space="preserve">22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</si>
  <si>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20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</si>
  <si>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23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</si>
  <si>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云南省昆明市盘龙区南强街</t>
    </r>
    <r>
      <rPr>
        <sz val="12"/>
        <color rgb="FF1F2329"/>
        <rFont val="Calibri"/>
        <family val="2"/>
      </rPr>
      <t>94</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</si>
  <si>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</si>
  <si>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08</t>
    </r>
    <r>
      <rPr>
        <sz val="12"/>
        <color rgb="FF1F2329"/>
        <rFont val="宋体"/>
        <family val="3"/>
        <charset val="134"/>
      </rPr>
      <t>年</t>
    </r>
    <r>
      <rPr>
        <sz val="12"/>
        <color rgb="FF1F2329"/>
        <rFont val="Calibri"/>
        <family val="2"/>
      </rPr>
      <t>08</t>
    </r>
    <r>
      <rPr>
        <sz val="12"/>
        <color rgb="FF1F2329"/>
        <rFont val="宋体"/>
        <family val="3"/>
        <charset val="134"/>
      </rPr>
      <t>个月</t>
    </r>
  </si>
  <si>
    <r>
      <t>昆明第</t>
    </r>
    <r>
      <rPr>
        <sz val="12"/>
        <color rgb="FF1F2329"/>
        <rFont val="Calibri"/>
        <family val="2"/>
      </rPr>
      <t>28</t>
    </r>
    <r>
      <rPr>
        <sz val="12"/>
        <color rgb="FF1F2329"/>
        <rFont val="宋体"/>
        <family val="3"/>
        <charset val="134"/>
      </rPr>
      <t>中学</t>
    </r>
  </si>
  <si>
    <r>
      <t>云南省昆明市盘龙区金沙小区金秋苑</t>
    </r>
    <r>
      <rPr>
        <sz val="12"/>
        <color rgb="FF1F2329"/>
        <rFont val="Calibri"/>
        <family val="2"/>
      </rPr>
      <t>3</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702</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</si>
  <si>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</si>
  <si>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25 </t>
    </r>
    <r>
      <rPr>
        <sz val="12"/>
        <color rgb="FF1F2329"/>
        <rFont val="宋体"/>
        <family val="3"/>
        <charset val="134"/>
      </rPr>
      <t>年</t>
    </r>
  </si>
  <si>
    <r>
      <t>23</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</si>
  <si>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云南省昆明市五华区科高路</t>
    </r>
    <r>
      <rPr>
        <sz val="12"/>
        <color rgb="FF1F2329"/>
        <rFont val="Calibri"/>
        <family val="2"/>
      </rPr>
      <t>1019</t>
    </r>
    <r>
      <rPr>
        <sz val="12"/>
        <color rgb="FF1F2329"/>
        <rFont val="宋体"/>
        <family val="3"/>
        <charset val="134"/>
      </rPr>
      <t>号</t>
    </r>
  </si>
  <si>
    <r>
      <t>14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</si>
  <si>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云南省昆明市五华区海源北路</t>
    </r>
    <r>
      <rPr>
        <sz val="12"/>
        <color rgb="FF1F2329"/>
        <rFont val="Calibri"/>
        <family val="2"/>
      </rPr>
      <t>280</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</si>
  <si>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</si>
  <si>
    <r>
      <t>云南省昆明市西山区棕树营小区翠峰里</t>
    </r>
    <r>
      <rPr>
        <sz val="12"/>
        <color rgb="FF1F2329"/>
        <rFont val="Calibri"/>
        <family val="2"/>
      </rPr>
      <t>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602</t>
    </r>
    <r>
      <rPr>
        <sz val="12"/>
        <color rgb="FF1F2329"/>
        <rFont val="宋体"/>
        <family val="3"/>
        <charset val="134"/>
      </rPr>
      <t>室</t>
    </r>
  </si>
  <si>
    <r>
      <t>07</t>
    </r>
    <r>
      <rPr>
        <sz val="12"/>
        <color rgb="FF1F2329"/>
        <rFont val="宋体"/>
        <family val="3"/>
        <charset val="134"/>
      </rPr>
      <t>年</t>
    </r>
    <r>
      <rPr>
        <sz val="12"/>
        <color rgb="FF1F2329"/>
        <rFont val="Calibri"/>
        <family val="2"/>
      </rPr>
      <t>10</t>
    </r>
    <r>
      <rPr>
        <sz val="12"/>
        <color rgb="FF1F2329"/>
        <rFont val="宋体"/>
        <family val="3"/>
        <charset val="134"/>
      </rPr>
      <t>个月</t>
    </r>
  </si>
  <si>
    <t>1900-01-01</t>
    <phoneticPr fontId="6" type="noConversion"/>
  </si>
  <si>
    <t>1900-01-02</t>
  </si>
  <si>
    <t>1900-01-03</t>
  </si>
  <si>
    <t>1900-01-04</t>
  </si>
  <si>
    <t>1900-01-05</t>
  </si>
  <si>
    <t>1900-01-06</t>
  </si>
  <si>
    <t>1900-01-07</t>
  </si>
  <si>
    <t>1900-01-08</t>
  </si>
  <si>
    <t>1900-01-09</t>
  </si>
  <si>
    <t>1900-01-10</t>
  </si>
  <si>
    <t>1900-01-11</t>
  </si>
  <si>
    <t>1900-01-12</t>
  </si>
  <si>
    <t>1900-01-13</t>
  </si>
  <si>
    <t>1900-01-14</t>
  </si>
  <si>
    <t>1900-01-15</t>
  </si>
  <si>
    <t>1900-01-16</t>
  </si>
  <si>
    <t>1900-01-17</t>
  </si>
  <si>
    <t>1900-01-18</t>
  </si>
  <si>
    <t>1900-01-19</t>
  </si>
  <si>
    <t>1900-01-20</t>
  </si>
  <si>
    <t>1900-01-21</t>
  </si>
  <si>
    <t>1900-01-22</t>
  </si>
  <si>
    <t>1900-01-23</t>
  </si>
  <si>
    <t>1900-01-24</t>
  </si>
  <si>
    <t>1900-01-25</t>
  </si>
  <si>
    <t>1900-01-26</t>
  </si>
  <si>
    <t>1900-01-27</t>
  </si>
  <si>
    <t>1900-01-28</t>
  </si>
  <si>
    <t>1900-01-29</t>
  </si>
  <si>
    <t>1900-01-30</t>
  </si>
  <si>
    <t>1900-01-31</t>
  </si>
  <si>
    <t>1900-01-32</t>
  </si>
  <si>
    <t>1900-01-33</t>
  </si>
  <si>
    <t>1900-01-34</t>
  </si>
  <si>
    <t>1900-01-35</t>
  </si>
  <si>
    <t>1900-01-36</t>
  </si>
  <si>
    <t>1900-01-37</t>
  </si>
  <si>
    <t>1900-01-38</t>
  </si>
  <si>
    <t>1900-01-39</t>
  </si>
  <si>
    <t>1900-01-40</t>
  </si>
  <si>
    <t>1900-01-41</t>
  </si>
  <si>
    <t>1900-01-42</t>
  </si>
  <si>
    <t>1900-01-43</t>
  </si>
  <si>
    <t>1900-01-44</t>
  </si>
  <si>
    <t>1900-01-45</t>
  </si>
  <si>
    <t>1900-01-46</t>
  </si>
  <si>
    <t>1900-01-47</t>
  </si>
  <si>
    <t>1900-01-48</t>
  </si>
  <si>
    <t>1900-01-49</t>
  </si>
  <si>
    <t>1900-01-50</t>
  </si>
  <si>
    <t>1900-01-51</t>
  </si>
  <si>
    <t>1900-01-52</t>
  </si>
  <si>
    <t>1900-01-53</t>
  </si>
  <si>
    <t>1900-01-54</t>
  </si>
  <si>
    <t>1900-01-55</t>
  </si>
  <si>
    <t>1900-01-56</t>
  </si>
  <si>
    <t>1900-01-57</t>
  </si>
  <si>
    <t>1900-01-58</t>
  </si>
  <si>
    <t>1900-01-59</t>
  </si>
  <si>
    <t>1900-01-60</t>
  </si>
  <si>
    <t>1900-01-61</t>
  </si>
  <si>
    <t>1900-01-62</t>
  </si>
  <si>
    <t>1900-01-63</t>
  </si>
  <si>
    <t>1900-01-64</t>
  </si>
  <si>
    <t>1900-01-65</t>
  </si>
  <si>
    <t>1900-01-66</t>
  </si>
  <si>
    <t>1900-01-67</t>
  </si>
  <si>
    <t>1900-01-68</t>
  </si>
  <si>
    <t>1900-01-69</t>
  </si>
  <si>
    <t>1900-01-70</t>
  </si>
  <si>
    <t>1900-01-71</t>
  </si>
  <si>
    <t>1900-01-72</t>
  </si>
  <si>
    <t>1900-01-73</t>
  </si>
  <si>
    <t>1900-01-74</t>
  </si>
  <si>
    <t>1900-01-75</t>
  </si>
  <si>
    <t>1900-01-76</t>
  </si>
  <si>
    <t>1900-01-77</t>
  </si>
  <si>
    <t>1900-01-78</t>
  </si>
  <si>
    <t>1900-01-79</t>
  </si>
  <si>
    <t>1900-01-80</t>
  </si>
  <si>
    <t>1900-01-81</t>
  </si>
  <si>
    <t>1900-01-82</t>
  </si>
  <si>
    <t>1900-01-83</t>
  </si>
  <si>
    <t>1900-01-84</t>
  </si>
  <si>
    <t>1900-01-85</t>
  </si>
  <si>
    <t>1900-01-86</t>
  </si>
  <si>
    <t>1900-01-87</t>
  </si>
  <si>
    <t>1900-01-88</t>
  </si>
  <si>
    <t>1900-01-89</t>
  </si>
  <si>
    <t>1900-01-90</t>
  </si>
  <si>
    <t>1900-01-91</t>
  </si>
  <si>
    <t>1900-01-92</t>
  </si>
  <si>
    <t>1900-01-93</t>
  </si>
  <si>
    <t>1900-01-94</t>
  </si>
  <si>
    <t>1900-01-95</t>
  </si>
  <si>
    <t>1900-01-96</t>
  </si>
  <si>
    <t>1900-01-97</t>
  </si>
  <si>
    <t>1900-01-98</t>
  </si>
  <si>
    <t>1900-01-99</t>
  </si>
  <si>
    <t>1900-01-100</t>
  </si>
  <si>
    <t>1900-01-101</t>
  </si>
  <si>
    <t>1900-01-102</t>
  </si>
  <si>
    <t>1900-01-103</t>
  </si>
  <si>
    <t>1900-01-104</t>
  </si>
  <si>
    <t>1900-01-105</t>
  </si>
  <si>
    <t>1900-01-106</t>
  </si>
  <si>
    <t>1900-01-107</t>
  </si>
  <si>
    <t>1900-01-108</t>
  </si>
  <si>
    <t>1900-01-109</t>
  </si>
  <si>
    <t>1900-01-110</t>
  </si>
  <si>
    <t>1900-01-111</t>
  </si>
  <si>
    <t>1900-01-112</t>
  </si>
  <si>
    <t>1900-01-113</t>
  </si>
  <si>
    <t>1900-01-114</t>
  </si>
  <si>
    <t>1900-01-115</t>
  </si>
  <si>
    <t>1900-01-116</t>
  </si>
  <si>
    <t>1900-01-117</t>
  </si>
  <si>
    <t>1900-01-118</t>
  </si>
  <si>
    <t>1900-01-119</t>
  </si>
  <si>
    <t>1900-01-120</t>
  </si>
  <si>
    <t>1900-01-121</t>
  </si>
  <si>
    <t>1900-01-122</t>
  </si>
  <si>
    <t>1900-01-123</t>
  </si>
  <si>
    <t>1900-01-124</t>
  </si>
  <si>
    <t>1900-01-125</t>
  </si>
  <si>
    <t>1900-01-126</t>
  </si>
  <si>
    <t>1900-01-127</t>
  </si>
  <si>
    <t>1900-01-128</t>
  </si>
  <si>
    <t>1900-01-129</t>
  </si>
  <si>
    <t>1900-01-130</t>
  </si>
  <si>
    <t>1900-01-131</t>
  </si>
  <si>
    <t>1900-01-132</t>
  </si>
  <si>
    <t>1900-01-133</t>
  </si>
  <si>
    <t>1900-01-134</t>
  </si>
  <si>
    <t>1900-01-135</t>
  </si>
  <si>
    <t>1900-01-136</t>
  </si>
  <si>
    <t>1900-01-137</t>
  </si>
  <si>
    <t>1900-01-138</t>
  </si>
  <si>
    <t>1900-01-139</t>
  </si>
  <si>
    <t>1900-01-140</t>
  </si>
  <si>
    <t>1900-01-141</t>
  </si>
  <si>
    <t>1900-01-142</t>
  </si>
  <si>
    <t>1900-01-143</t>
  </si>
  <si>
    <t>1900-01-144</t>
  </si>
  <si>
    <t>1900-01-145</t>
  </si>
  <si>
    <t>1900-01-146</t>
  </si>
  <si>
    <t>1900-01-147</t>
  </si>
  <si>
    <t>1900-01-148</t>
  </si>
  <si>
    <t>1900-01-149</t>
  </si>
  <si>
    <t>1900-01-150</t>
  </si>
  <si>
    <t>1900-01-151</t>
  </si>
  <si>
    <t>1900-01-152</t>
  </si>
  <si>
    <t>1900-01-153</t>
  </si>
  <si>
    <t>1900-01-154</t>
  </si>
  <si>
    <t>1900-01-155</t>
  </si>
  <si>
    <t>1900-01-156</t>
  </si>
  <si>
    <t>1900-01-157</t>
  </si>
  <si>
    <t>1900-01-158</t>
  </si>
  <si>
    <t>1900-01-159</t>
  </si>
  <si>
    <t>1900-01-160</t>
  </si>
  <si>
    <t>1900-01-161</t>
  </si>
  <si>
    <t>1900-01-162</t>
  </si>
  <si>
    <t>1900-01-163</t>
  </si>
  <si>
    <t>1900-01-164</t>
  </si>
  <si>
    <t>1900-01-165</t>
  </si>
  <si>
    <t>1900-01-166</t>
  </si>
  <si>
    <t>1900-01-167</t>
  </si>
  <si>
    <t>1900-01-168</t>
  </si>
  <si>
    <t>1900-01-169</t>
  </si>
  <si>
    <t>1900-01-170</t>
  </si>
  <si>
    <t>1900-01-171</t>
  </si>
  <si>
    <t>1900-01-172</t>
  </si>
  <si>
    <t>1900-01-173</t>
  </si>
  <si>
    <t>1900-01-174</t>
  </si>
  <si>
    <t>1900-01-175</t>
  </si>
  <si>
    <t>1900-01-176</t>
  </si>
  <si>
    <t>1900-01-177</t>
  </si>
  <si>
    <t>1900-01-178</t>
  </si>
  <si>
    <t>1900-01-179</t>
  </si>
  <si>
    <t>1900-01-180</t>
  </si>
  <si>
    <t>1900-01-181</t>
  </si>
  <si>
    <t>1900-01-182</t>
  </si>
  <si>
    <t>1900-01-183</t>
  </si>
  <si>
    <t>1900-01-184</t>
  </si>
  <si>
    <t>1900-01-185</t>
  </si>
  <si>
    <t>1900-01-186</t>
  </si>
  <si>
    <t>1900-01-187</t>
  </si>
  <si>
    <t>1900-01-188</t>
  </si>
  <si>
    <t>1900-01-189</t>
  </si>
  <si>
    <t>1900-01-190</t>
  </si>
  <si>
    <t>1900-01-191</t>
  </si>
  <si>
    <t>1900-01-192</t>
  </si>
  <si>
    <t>1900-01-193</t>
  </si>
  <si>
    <t>1900-01-194</t>
  </si>
  <si>
    <t>1900-01-195</t>
  </si>
  <si>
    <t>1900-01-196</t>
  </si>
  <si>
    <t>1900-01-197</t>
  </si>
  <si>
    <t>1900-01-198</t>
  </si>
  <si>
    <t>1900-01-199</t>
  </si>
  <si>
    <t>1900-01-200</t>
  </si>
  <si>
    <t>1900-01-201</t>
  </si>
  <si>
    <t>1900-01-202</t>
  </si>
  <si>
    <t>1900-01-203</t>
  </si>
  <si>
    <t>1900-01-204</t>
  </si>
  <si>
    <t>1900-01-205</t>
  </si>
  <si>
    <t>1900-01-206</t>
  </si>
  <si>
    <t>1900-01-207</t>
  </si>
  <si>
    <t>1900-01-208</t>
  </si>
  <si>
    <t>1900-01-209</t>
  </si>
  <si>
    <t>1900-01-210</t>
  </si>
  <si>
    <t>1900-01-211</t>
  </si>
  <si>
    <t>1900-01-212</t>
  </si>
  <si>
    <t>1900-01-213</t>
  </si>
  <si>
    <t>1900-01-214</t>
  </si>
  <si>
    <t>1900-01-215</t>
  </si>
  <si>
    <t>1900-01-216</t>
  </si>
  <si>
    <t>1900-01-217</t>
  </si>
  <si>
    <t>1900-01-218</t>
  </si>
  <si>
    <t>1900-01-219</t>
  </si>
  <si>
    <t>1900-01-220</t>
  </si>
  <si>
    <t>1900-01-221</t>
  </si>
  <si>
    <t>1900-01-222</t>
  </si>
  <si>
    <t>1900-01-223</t>
  </si>
  <si>
    <t>1900-01-224</t>
  </si>
  <si>
    <t>1900-01-225</t>
  </si>
  <si>
    <t>1900-01-226</t>
  </si>
  <si>
    <t>1900-01-227</t>
  </si>
  <si>
    <t>1900-01-228</t>
  </si>
  <si>
    <t>1900-01-229</t>
  </si>
  <si>
    <t>1900-01-230</t>
  </si>
  <si>
    <t>1900-01-231</t>
  </si>
  <si>
    <t>1900-01-232</t>
  </si>
  <si>
    <t>1900-01-233</t>
  </si>
  <si>
    <t>1900-01-234</t>
  </si>
  <si>
    <t>1900-01-235</t>
  </si>
  <si>
    <t>1900-01-236</t>
  </si>
  <si>
    <t>1900-01-237</t>
  </si>
  <si>
    <t>1900-01-238</t>
  </si>
  <si>
    <t>1900-01-239</t>
  </si>
  <si>
    <t>1900-01-240</t>
  </si>
  <si>
    <t>1900-01-241</t>
  </si>
  <si>
    <t>1900-01-242</t>
  </si>
  <si>
    <t>1900-01-243</t>
  </si>
  <si>
    <t>1900-01-244</t>
  </si>
  <si>
    <t>1900-01-245</t>
  </si>
  <si>
    <t>1900-01-246</t>
  </si>
  <si>
    <t>1900-01-247</t>
  </si>
  <si>
    <t>1900-01-248</t>
  </si>
  <si>
    <t>1900-01-249</t>
  </si>
  <si>
    <t>1900-01-250</t>
  </si>
  <si>
    <t>1900-01-251</t>
  </si>
  <si>
    <t>1900-01-252</t>
  </si>
  <si>
    <t>1900-01-253</t>
  </si>
  <si>
    <t>1900-01-254</t>
  </si>
  <si>
    <t>1900-01-255</t>
  </si>
  <si>
    <t>1900-01-256</t>
  </si>
  <si>
    <t>1900-01-257</t>
  </si>
  <si>
    <t>1900-01-258</t>
  </si>
  <si>
    <t>1900-01-259</t>
  </si>
  <si>
    <t>1900-01-260</t>
  </si>
  <si>
    <t>1900-01-261</t>
  </si>
  <si>
    <t>1900-01-262</t>
  </si>
  <si>
    <t>1900-01-263</t>
  </si>
  <si>
    <t>1900-01-264</t>
  </si>
  <si>
    <t>1900-01-265</t>
  </si>
  <si>
    <t>1900-01-266</t>
  </si>
  <si>
    <t>1900-01-267</t>
  </si>
  <si>
    <t>1900-01-268</t>
  </si>
  <si>
    <t>1900-01-269</t>
  </si>
  <si>
    <t>1900-01-270</t>
  </si>
  <si>
    <t>1900-01-271</t>
  </si>
  <si>
    <t>1900-01-272</t>
  </si>
  <si>
    <t>1900-01-273</t>
  </si>
  <si>
    <t>1900-01-274</t>
  </si>
  <si>
    <t>1900-01-275</t>
  </si>
  <si>
    <t>1900-01-276</t>
  </si>
  <si>
    <t>1900-01-277</t>
  </si>
  <si>
    <t>1900-01-278</t>
  </si>
  <si>
    <t>1900-01-279</t>
  </si>
  <si>
    <t>1900-01-280</t>
  </si>
  <si>
    <t>1900-01-281</t>
  </si>
  <si>
    <t>1900-01-282</t>
  </si>
  <si>
    <t>1900-01-283</t>
  </si>
  <si>
    <t>1900-01-284</t>
  </si>
  <si>
    <t>1900-01-285</t>
  </si>
  <si>
    <t>1900-01-286</t>
  </si>
  <si>
    <t>1900-01-287</t>
  </si>
  <si>
    <t>1900-01-288</t>
  </si>
  <si>
    <t>1900-01-289</t>
  </si>
  <si>
    <t>1900-01-290</t>
  </si>
  <si>
    <t>1900-01-291</t>
  </si>
  <si>
    <t>1900-01-292</t>
  </si>
  <si>
    <t>1900-01-293</t>
  </si>
  <si>
    <t>1900-01-294</t>
  </si>
  <si>
    <t>1900-01-295</t>
  </si>
  <si>
    <t>1900-01-296</t>
  </si>
  <si>
    <t>1900-01-297</t>
  </si>
  <si>
    <t>1900-01-298</t>
  </si>
  <si>
    <t>1900-01-299</t>
  </si>
  <si>
    <t>1900-01-300</t>
  </si>
  <si>
    <t>1900-01-301</t>
  </si>
  <si>
    <t>1900-01-302</t>
  </si>
  <si>
    <t>1900-01-303</t>
  </si>
  <si>
    <t>1900-01-304</t>
  </si>
  <si>
    <t>1900-01-305</t>
  </si>
  <si>
    <t>1900-01-306</t>
  </si>
  <si>
    <t>1900-01-307</t>
  </si>
  <si>
    <t>1900-01-308</t>
  </si>
  <si>
    <t>1900-01-309</t>
  </si>
  <si>
    <t>1900-01-310</t>
  </si>
  <si>
    <t>1900-01-311</t>
  </si>
  <si>
    <t>1900-01-312</t>
  </si>
  <si>
    <t>1900-01-313</t>
  </si>
  <si>
    <t>1900-01-314</t>
  </si>
  <si>
    <t>1900-01-315</t>
  </si>
  <si>
    <t>1900-01-316</t>
  </si>
  <si>
    <t>1900-01-317</t>
  </si>
  <si>
    <t>1900-01-318</t>
  </si>
  <si>
    <t>1900-01-319</t>
  </si>
  <si>
    <t>1900-01-320</t>
  </si>
  <si>
    <t>27-M1</t>
  </si>
  <si>
    <t>16-M2</t>
  </si>
  <si>
    <t>11-F1</t>
  </si>
  <si>
    <t>10-F3</t>
  </si>
  <si>
    <t>10-F1</t>
  </si>
  <si>
    <t>7</t>
  </si>
  <si>
    <t>6-F4</t>
  </si>
  <si>
    <t>11-S2</t>
  </si>
  <si>
    <t>9</t>
  </si>
  <si>
    <t>10</t>
  </si>
  <si>
    <t>8-M3</t>
  </si>
  <si>
    <t>11</t>
  </si>
  <si>
    <t>7-F4</t>
  </si>
  <si>
    <t>12</t>
  </si>
  <si>
    <t>12-M2</t>
  </si>
  <si>
    <t>13</t>
  </si>
  <si>
    <t>7-F2</t>
  </si>
  <si>
    <t>14</t>
  </si>
  <si>
    <t>10-F2</t>
  </si>
  <si>
    <t>15</t>
  </si>
  <si>
    <t>16</t>
  </si>
  <si>
    <t>5-F4</t>
  </si>
  <si>
    <t>17</t>
  </si>
  <si>
    <t>9-S1</t>
  </si>
  <si>
    <t>18</t>
  </si>
  <si>
    <t>9-M3</t>
  </si>
  <si>
    <t>7-S1</t>
  </si>
  <si>
    <t>14-M2</t>
  </si>
  <si>
    <t>12-T4</t>
  </si>
  <si>
    <t>9-T4</t>
  </si>
  <si>
    <t>7-T4</t>
  </si>
  <si>
    <t>15-M2</t>
  </si>
  <si>
    <t>11-M2</t>
  </si>
  <si>
    <t>8-T6</t>
  </si>
  <si>
    <t>9-T2</t>
  </si>
  <si>
    <t>5-T2</t>
  </si>
  <si>
    <t>18-M2</t>
  </si>
  <si>
    <t>昆明丰垚科技有限公司</t>
  </si>
  <si>
    <t>3-S4</t>
  </si>
  <si>
    <t>2-S4</t>
  </si>
  <si>
    <t>6-T4</t>
  </si>
  <si>
    <t>6-T2</t>
  </si>
  <si>
    <t>7-M3</t>
  </si>
  <si>
    <t>3-S2</t>
  </si>
  <si>
    <t>4-T2</t>
  </si>
  <si>
    <t>8-T1</t>
  </si>
  <si>
    <t>7-T2</t>
  </si>
  <si>
    <t>18-M1</t>
  </si>
  <si>
    <t>5-T1</t>
  </si>
  <si>
    <t>6-F1</t>
  </si>
  <si>
    <t>8-T4</t>
  </si>
  <si>
    <t>5-F3</t>
  </si>
  <si>
    <t>3-F4</t>
  </si>
  <si>
    <t>4-F1</t>
  </si>
  <si>
    <t>11-M3</t>
  </si>
  <si>
    <t>11-T2</t>
  </si>
  <si>
    <t>10-T2</t>
  </si>
  <si>
    <t>17-M2</t>
  </si>
  <si>
    <t>12-T1</t>
  </si>
  <si>
    <t>8-S1</t>
  </si>
  <si>
    <t>6-S4</t>
  </si>
  <si>
    <t>11-T3</t>
  </si>
  <si>
    <t>8-F3</t>
  </si>
  <si>
    <t>9-F3</t>
  </si>
  <si>
    <t>6-F3</t>
  </si>
  <si>
    <t>12-S5</t>
  </si>
  <si>
    <t>5-S4</t>
  </si>
  <si>
    <t>8-S5</t>
  </si>
  <si>
    <t>10-S5</t>
  </si>
  <si>
    <t>4-S1</t>
  </si>
  <si>
    <t>6-M3</t>
  </si>
  <si>
    <t>11-S5</t>
  </si>
  <si>
    <t>13-S5</t>
  </si>
  <si>
    <t>14-S5</t>
  </si>
  <si>
    <t>9-S5</t>
  </si>
  <si>
    <t>6-S5</t>
  </si>
  <si>
    <t>4-S5</t>
  </si>
  <si>
    <t>5-F2</t>
  </si>
  <si>
    <t>3-S5</t>
  </si>
  <si>
    <t>10-S1</t>
  </si>
  <si>
    <t>7-S4</t>
  </si>
  <si>
    <t>6-F2</t>
  </si>
  <si>
    <t>8-S4</t>
  </si>
  <si>
    <t>10-M3</t>
  </si>
  <si>
    <t>4-S4</t>
  </si>
  <si>
    <t>7-F3</t>
  </si>
  <si>
    <t>1-F5</t>
  </si>
  <si>
    <t>2-F5</t>
  </si>
  <si>
    <t>9-T6</t>
  </si>
  <si>
    <t>8-T2</t>
  </si>
  <si>
    <t>11-T1</t>
  </si>
  <si>
    <t>5-F1</t>
  </si>
  <si>
    <t>8-S2</t>
  </si>
  <si>
    <t>4-F3</t>
  </si>
  <si>
    <t>7-T6</t>
  </si>
  <si>
    <t>8-T5</t>
  </si>
  <si>
    <t>5-S1</t>
  </si>
  <si>
    <t>8-T3</t>
  </si>
  <si>
    <t>9-T1</t>
  </si>
  <si>
    <t>8-F1</t>
  </si>
  <si>
    <t>5-S5</t>
  </si>
  <si>
    <t>6-S1</t>
  </si>
  <si>
    <t>7-F1</t>
  </si>
  <si>
    <t>8-F4</t>
  </si>
  <si>
    <t>15-F1</t>
  </si>
  <si>
    <t>13-M2</t>
  </si>
  <si>
    <t>5-S2</t>
  </si>
  <si>
    <t>12-F1</t>
  </si>
  <si>
    <t>4-T4</t>
  </si>
  <si>
    <t>10-T1</t>
  </si>
  <si>
    <t>3-T2</t>
  </si>
  <si>
    <t>5-T4</t>
  </si>
  <si>
    <t>F1</t>
  </si>
  <si>
    <t>T2</t>
  </si>
  <si>
    <t>S4</t>
  </si>
  <si>
    <t>M2</t>
  </si>
  <si>
    <t>F4</t>
  </si>
  <si>
    <t>T4</t>
  </si>
  <si>
    <t>M3</t>
  </si>
  <si>
    <t>F2</t>
  </si>
  <si>
    <t>S1</t>
  </si>
  <si>
    <t>T6</t>
  </si>
  <si>
    <t>S5</t>
  </si>
  <si>
    <t>M1</t>
  </si>
  <si>
    <t>F3</t>
  </si>
  <si>
    <t>T3</t>
  </si>
  <si>
    <t>F5</t>
  </si>
  <si>
    <t>T1</t>
  </si>
  <si>
    <t>S2</t>
  </si>
  <si>
    <t>T5</t>
  </si>
  <si>
    <t>4-S4</t>
    <phoneticPr fontId="6" type="noConversion"/>
  </si>
  <si>
    <t>S4</t>
    <phoneticPr fontId="6" type="noConversion"/>
  </si>
  <si>
    <t>2024-07</t>
  </si>
  <si>
    <t>2025-01</t>
  </si>
  <si>
    <t>2025-03</t>
  </si>
  <si>
    <t>2025-06</t>
  </si>
  <si>
    <t>2025-08</t>
  </si>
  <si>
    <t>2024-09</t>
  </si>
  <si>
    <t>2025-11</t>
  </si>
  <si>
    <t>2025-07</t>
  </si>
  <si>
    <t>2024-10</t>
  </si>
  <si>
    <t>2025-04</t>
  </si>
  <si>
    <t>2026-03</t>
  </si>
  <si>
    <t>2025-09</t>
  </si>
  <si>
    <t>2026-04</t>
  </si>
  <si>
    <t>2025-10</t>
  </si>
  <si>
    <t>2025-05</t>
  </si>
  <si>
    <t>2025-12</t>
  </si>
  <si>
    <t>2024-08</t>
  </si>
  <si>
    <t>2025-02</t>
  </si>
  <si>
    <t>范瑞晓</t>
    <phoneticPr fontId="6" type="noConversion"/>
  </si>
  <si>
    <t>云南中医药大学第二附属医院</t>
  </si>
  <si>
    <t>护士</t>
  </si>
  <si>
    <t>永二村委会</t>
  </si>
  <si>
    <t>昆明市排水设备管理有限公司</t>
  </si>
  <si>
    <t>泵站员</t>
  </si>
  <si>
    <t>705研究所50工厂</t>
  </si>
  <si>
    <t>705研究所</t>
  </si>
  <si>
    <t>职工</t>
  </si>
  <si>
    <t>云南域港贸易有限公司</t>
  </si>
  <si>
    <t>王大彬</t>
  </si>
  <si>
    <t>昆明地铁运营有限公司</t>
  </si>
  <si>
    <t>主任</t>
  </si>
  <si>
    <t>李庚</t>
  </si>
  <si>
    <t>富民县丰顺天然气发展有限公司</t>
  </si>
  <si>
    <t>工程部副经理</t>
  </si>
  <si>
    <t>13759136669</t>
  </si>
  <si>
    <t>富民通达发电有限责任公司</t>
  </si>
  <si>
    <t>站长</t>
  </si>
  <si>
    <t>个体</t>
  </si>
  <si>
    <t>邓堃</t>
  </si>
  <si>
    <t>李阳</t>
  </si>
  <si>
    <t>富民泰逸裕川矿业有限公司</t>
  </si>
  <si>
    <t>工程部负责人</t>
  </si>
  <si>
    <t>张寿</t>
  </si>
  <si>
    <t>元山村委会</t>
  </si>
  <si>
    <t>技术员</t>
  </si>
  <si>
    <t>务农</t>
  </si>
  <si>
    <t>泽昌钛业有限公司</t>
  </si>
  <si>
    <t>昆明小美广告公司</t>
  </si>
  <si>
    <t>工程部主管</t>
  </si>
  <si>
    <t>张璟岚</t>
  </si>
  <si>
    <t>红塔证券股份有限公司</t>
  </si>
  <si>
    <t>稽核总经理</t>
  </si>
  <si>
    <t>段艳红</t>
  </si>
  <si>
    <t>罗免卫生院</t>
  </si>
  <si>
    <t>医生</t>
  </si>
  <si>
    <t>园丁幼儿园</t>
  </si>
  <si>
    <t>教师</t>
  </si>
  <si>
    <t>富民县南营小学</t>
  </si>
  <si>
    <t>张晓红</t>
  </si>
  <si>
    <t>澳港电器</t>
  </si>
  <si>
    <t>工人</t>
  </si>
  <si>
    <t xml:space="preserve">丽红国际大酒店		</t>
  </si>
  <si>
    <t>金建萍</t>
  </si>
  <si>
    <t>富民县机关幼儿园</t>
  </si>
  <si>
    <t>郭晓彪</t>
  </si>
  <si>
    <t>云南省都市条形码</t>
  </si>
  <si>
    <t>解琴</t>
  </si>
  <si>
    <t>昆明市盘龙区茨坝卫生院</t>
  </si>
  <si>
    <t>唐贵梅</t>
  </si>
  <si>
    <t>刘才琴</t>
  </si>
  <si>
    <t>蒋艳萍</t>
  </si>
  <si>
    <t>冯周艳</t>
  </si>
  <si>
    <t>昆明烟机三机有限公司</t>
  </si>
  <si>
    <t>富民工业园区管委会</t>
  </si>
  <si>
    <t>孙存焕</t>
  </si>
  <si>
    <t>永一社区</t>
  </si>
  <si>
    <t>后备干部</t>
  </si>
  <si>
    <t>富滇银行富民支行</t>
  </si>
  <si>
    <t>文员</t>
  </si>
  <si>
    <t>长沙通程货局</t>
  </si>
  <si>
    <t>昆明大光明眼镜青年路店</t>
  </si>
  <si>
    <t>陈红</t>
  </si>
  <si>
    <t>昆明市第十一中学</t>
  </si>
  <si>
    <t>中船重工705研究所昆明分部</t>
  </si>
  <si>
    <t>太平人寿保险云南分公司</t>
  </si>
  <si>
    <t>业务经理</t>
  </si>
  <si>
    <t>云南移动客服中心</t>
  </si>
  <si>
    <t>职员</t>
  </si>
  <si>
    <t>云南寻非科技有限公司</t>
  </si>
  <si>
    <t>解放军昆明总医院</t>
  </si>
  <si>
    <t>昆明古之极营养品有限公司</t>
  </si>
  <si>
    <t>张崇敏</t>
  </si>
  <si>
    <t>昆明市盘龙区双玉幼儿园</t>
  </si>
  <si>
    <t>园长</t>
  </si>
  <si>
    <t>魏姗杉</t>
  </si>
  <si>
    <t>13619660429</t>
  </si>
  <si>
    <t>工商银行云南分行</t>
  </si>
  <si>
    <t>聂祥玉</t>
  </si>
  <si>
    <t>刘武梅</t>
  </si>
  <si>
    <t>昆明君康达商贸有限公司</t>
  </si>
  <si>
    <t>销售</t>
  </si>
  <si>
    <t>红旗小学</t>
  </si>
  <si>
    <t>英语教师</t>
  </si>
  <si>
    <t>昆明美的客车有限公司</t>
  </si>
  <si>
    <t xml:space="preserve">昆明佳和医院		</t>
  </si>
  <si>
    <t>吴俊慧</t>
  </si>
  <si>
    <t>张艳波</t>
  </si>
  <si>
    <t>导购</t>
  </si>
  <si>
    <t>玉溪市江川区总医院</t>
  </si>
  <si>
    <t>李金瑞</t>
  </si>
  <si>
    <t>康鑫鸿</t>
  </si>
  <si>
    <t>段杰林</t>
  </si>
  <si>
    <t>儿子</t>
  </si>
  <si>
    <t>山瑞骞</t>
  </si>
  <si>
    <t>喻阳恺</t>
  </si>
  <si>
    <t>马瑞辰</t>
  </si>
  <si>
    <t>卢建彪</t>
  </si>
  <si>
    <t>牛懿伟</t>
  </si>
  <si>
    <t>云南艺术学院</t>
  </si>
  <si>
    <t>朱辰熙</t>
  </si>
  <si>
    <t>张（名字未填写）</t>
  </si>
  <si>
    <t>李秋乐</t>
  </si>
  <si>
    <t>18487126778</t>
  </si>
  <si>
    <t>刘俊</t>
  </si>
  <si>
    <t>许晶</t>
  </si>
  <si>
    <t>许鑫</t>
  </si>
  <si>
    <t>楮鉴</t>
  </si>
  <si>
    <t>张皓宇</t>
  </si>
  <si>
    <t>杨东澄</t>
  </si>
  <si>
    <t>龙俊屹</t>
  </si>
  <si>
    <t>田沛东</t>
  </si>
  <si>
    <t>孔维铄</t>
  </si>
  <si>
    <t>高彬耀</t>
  </si>
  <si>
    <t>李银佳</t>
  </si>
  <si>
    <t>女儿</t>
  </si>
  <si>
    <t>杨又溪</t>
  </si>
  <si>
    <t>李舒蕊</t>
  </si>
  <si>
    <t>杨舒仪</t>
  </si>
  <si>
    <t>刘诗涵</t>
  </si>
  <si>
    <t>代冯欣怡</t>
  </si>
  <si>
    <t>邓佳境</t>
  </si>
  <si>
    <t>李爱玲</t>
  </si>
  <si>
    <t>李梦涵</t>
  </si>
  <si>
    <t>李柯漫</t>
  </si>
  <si>
    <t>陈姝羽</t>
  </si>
  <si>
    <t>邓茜兮</t>
  </si>
  <si>
    <t>邓媛元</t>
  </si>
  <si>
    <t>张曦尹</t>
  </si>
  <si>
    <t>周筱豫</t>
  </si>
  <si>
    <t>洪婵娟</t>
  </si>
  <si>
    <t>13888281401</t>
  </si>
  <si>
    <t>黄碧云</t>
  </si>
  <si>
    <t>后娜昕</t>
  </si>
  <si>
    <t>杨镜宇</t>
  </si>
  <si>
    <t>马思晴</t>
  </si>
  <si>
    <t>张丽媛</t>
  </si>
  <si>
    <t>杨顺畅</t>
  </si>
  <si>
    <t>13888335804</t>
  </si>
  <si>
    <t>父亲</t>
  </si>
  <si>
    <t>彭庆贵</t>
  </si>
  <si>
    <t>关兆华</t>
  </si>
  <si>
    <t>刘明贵</t>
  </si>
  <si>
    <t>何家宝</t>
  </si>
  <si>
    <t>陈新生</t>
  </si>
  <si>
    <t>张云先</t>
  </si>
  <si>
    <t>张有忠</t>
  </si>
  <si>
    <t xml:space="preserve">散旦乡林业站		</t>
  </si>
  <si>
    <t>林业员</t>
  </si>
  <si>
    <t>15284410519</t>
  </si>
  <si>
    <t>殷家德</t>
  </si>
  <si>
    <t>杨蔚宝</t>
  </si>
  <si>
    <t>0872-2431367</t>
  </si>
  <si>
    <t>王定泉</t>
  </si>
  <si>
    <t>13575036582</t>
  </si>
  <si>
    <t>王永贵</t>
  </si>
  <si>
    <t>范之海</t>
  </si>
  <si>
    <t>13529307037</t>
  </si>
  <si>
    <t>肖云保</t>
  </si>
  <si>
    <t>林培义</t>
  </si>
  <si>
    <t>15887110755</t>
  </si>
  <si>
    <t>个旧市云锡公司</t>
  </si>
  <si>
    <t>周文书</t>
  </si>
  <si>
    <t>18287879747</t>
  </si>
  <si>
    <t>以礼河电厂</t>
  </si>
  <si>
    <t>扬金电子有限公司</t>
  </si>
  <si>
    <t>17740656374</t>
  </si>
  <si>
    <t>张治山</t>
  </si>
  <si>
    <t>18608862231</t>
  </si>
  <si>
    <t>临沧市双江公路分局</t>
  </si>
  <si>
    <t>退休</t>
  </si>
  <si>
    <t>15769963730</t>
  </si>
  <si>
    <t>邹群标</t>
  </si>
  <si>
    <t>中国人民解放军95007部队</t>
  </si>
  <si>
    <t>13312558488</t>
  </si>
  <si>
    <t>杨卫昌</t>
  </si>
  <si>
    <t>15987750209</t>
  </si>
  <si>
    <t>李敬强</t>
  </si>
  <si>
    <t>13361051289</t>
  </si>
  <si>
    <t>张永华</t>
  </si>
  <si>
    <t>15288599569</t>
  </si>
  <si>
    <t>殷光飞</t>
  </si>
  <si>
    <t>13988934776</t>
  </si>
  <si>
    <t>李忠斌</t>
  </si>
  <si>
    <t>文山兴建水泥厂</t>
  </si>
  <si>
    <t>张小绕</t>
  </si>
  <si>
    <t>李正学</t>
  </si>
  <si>
    <t>余贵权</t>
  </si>
  <si>
    <t>13769738176</t>
  </si>
  <si>
    <t>曹付贵</t>
  </si>
  <si>
    <t>刘天传</t>
  </si>
  <si>
    <t>镇雄县银平中心小学</t>
  </si>
  <si>
    <t>孔合贤</t>
  </si>
  <si>
    <t>富民县人大常委会</t>
  </si>
  <si>
    <t>二级调研员</t>
  </si>
  <si>
    <t>王军</t>
  </si>
  <si>
    <t>云南优园商贸有限公司</t>
  </si>
  <si>
    <t>监事</t>
  </si>
  <si>
    <t>13509170043</t>
  </si>
  <si>
    <t>廖富刚</t>
  </si>
  <si>
    <t>赵家兴</t>
  </si>
  <si>
    <t>18213540551</t>
  </si>
  <si>
    <t>兰长玉</t>
  </si>
  <si>
    <t>1314916738</t>
  </si>
  <si>
    <t>李枝良</t>
  </si>
  <si>
    <t>13529444695</t>
  </si>
  <si>
    <t>潘义勇</t>
  </si>
  <si>
    <t>张福星</t>
  </si>
  <si>
    <t>温后标</t>
  </si>
  <si>
    <t>李平</t>
  </si>
  <si>
    <t>13108679309</t>
  </si>
  <si>
    <t>徐学江</t>
  </si>
  <si>
    <t>18206956607</t>
  </si>
  <si>
    <t>段朝山</t>
  </si>
  <si>
    <t>18787500452</t>
  </si>
  <si>
    <t>何琦</t>
  </si>
  <si>
    <t>勐腊县勐醒农场二分场场部</t>
  </si>
  <si>
    <t>个体工商户</t>
  </si>
  <si>
    <t>高炳乾</t>
  </si>
  <si>
    <t>高桥乡政府</t>
  </si>
  <si>
    <t>张小富</t>
  </si>
  <si>
    <t>王志祥</t>
  </si>
  <si>
    <t>郑树祥</t>
  </si>
  <si>
    <t>戚永福</t>
  </si>
  <si>
    <t>韩玉波</t>
  </si>
  <si>
    <t>昆明凯索商贸有限公司</t>
  </si>
  <si>
    <t>山培宗</t>
  </si>
  <si>
    <t>周林</t>
  </si>
  <si>
    <t>莫升华</t>
  </si>
  <si>
    <t>方治本</t>
  </si>
  <si>
    <t>栾华平</t>
  </si>
  <si>
    <t>周贵明</t>
  </si>
  <si>
    <t>吴加启</t>
  </si>
  <si>
    <t>13759134325</t>
  </si>
  <si>
    <t>段从喜</t>
  </si>
  <si>
    <t>13669708037</t>
  </si>
  <si>
    <t>何明亮</t>
  </si>
  <si>
    <t>15925195761</t>
  </si>
  <si>
    <t>唐吉贵</t>
  </si>
  <si>
    <t>王洪坤</t>
  </si>
  <si>
    <t>河北省邯郸市峰峰矿区</t>
  </si>
  <si>
    <t>务工</t>
  </si>
  <si>
    <t>广州奥冠斯铝业有限公司</t>
  </si>
  <si>
    <t>普通员工</t>
  </si>
  <si>
    <t>闽侯华达纺织有限公司</t>
  </si>
  <si>
    <t>左自昌</t>
  </si>
  <si>
    <t>双银军</t>
  </si>
  <si>
    <t>李银清</t>
  </si>
  <si>
    <t>农业银行</t>
  </si>
  <si>
    <t>张红云</t>
  </si>
  <si>
    <t>曾启安</t>
  </si>
  <si>
    <t>张斌</t>
  </si>
  <si>
    <t>王汝平</t>
  </si>
  <si>
    <t>谭建民</t>
  </si>
  <si>
    <t>颜家均</t>
  </si>
  <si>
    <t>汪少能</t>
  </si>
  <si>
    <t>张国保</t>
  </si>
  <si>
    <t>袁洪昌</t>
  </si>
  <si>
    <t>周建</t>
  </si>
  <si>
    <t>吴所良</t>
  </si>
  <si>
    <t>刘艺</t>
  </si>
  <si>
    <t>李兴荣</t>
  </si>
  <si>
    <t>段青志</t>
  </si>
  <si>
    <t>万宗富</t>
  </si>
  <si>
    <t>李绍鸿</t>
  </si>
  <si>
    <t>宋刀润</t>
  </si>
  <si>
    <t>唐小万</t>
  </si>
  <si>
    <t>梁朝荣</t>
  </si>
  <si>
    <t>云林社区</t>
  </si>
  <si>
    <t>李光信</t>
  </si>
  <si>
    <t>王宗荣</t>
  </si>
  <si>
    <t>刘富</t>
  </si>
  <si>
    <t>13648860311</t>
  </si>
  <si>
    <t>黄启友</t>
  </si>
  <si>
    <t>盘江煤电集团火铺矿医院</t>
  </si>
  <si>
    <t>刘保江</t>
  </si>
  <si>
    <t>唐山港陆集团</t>
  </si>
  <si>
    <t>杨忠荣</t>
  </si>
  <si>
    <t>苏学会</t>
  </si>
  <si>
    <t>魏道敏</t>
  </si>
  <si>
    <t>昆明市五星包装桶厂</t>
  </si>
  <si>
    <t>罗春全</t>
  </si>
  <si>
    <t>永善县桧溪中学</t>
  </si>
  <si>
    <t>王绍华</t>
  </si>
  <si>
    <t>13678784586</t>
  </si>
  <si>
    <t>符泽汪</t>
  </si>
  <si>
    <t>南方电网</t>
  </si>
  <si>
    <t>刘继东</t>
  </si>
  <si>
    <t>杨忠</t>
  </si>
  <si>
    <t>蔡汉权</t>
  </si>
  <si>
    <t>刘正美</t>
  </si>
  <si>
    <t>刘良生</t>
  </si>
  <si>
    <t>施友忠</t>
  </si>
  <si>
    <t>15368070948</t>
  </si>
  <si>
    <t>钟正贤</t>
  </si>
  <si>
    <t>李正湘</t>
  </si>
  <si>
    <t>张朝美</t>
  </si>
  <si>
    <t>王平</t>
  </si>
  <si>
    <t>13629674398</t>
  </si>
  <si>
    <t>唐志开</t>
  </si>
  <si>
    <t>15987459642</t>
  </si>
  <si>
    <t>邓红林</t>
  </si>
  <si>
    <t>大理水果交易市场</t>
  </si>
  <si>
    <t>车间主任</t>
  </si>
  <si>
    <t>刘雁</t>
  </si>
  <si>
    <t>昆明荣兴房地产开发有限公司</t>
  </si>
  <si>
    <t>13888210931</t>
  </si>
  <si>
    <t>李军镇</t>
  </si>
  <si>
    <t>15758466342</t>
  </si>
  <si>
    <t>浦思轴</t>
  </si>
  <si>
    <t>15825255676</t>
  </si>
  <si>
    <t>15188096580</t>
  </si>
  <si>
    <t>牛菊生</t>
  </si>
  <si>
    <t>19338206423</t>
  </si>
  <si>
    <t>红塔区少年儿童业余运动学校</t>
  </si>
  <si>
    <t>校长</t>
  </si>
  <si>
    <t>杨玉洪</t>
  </si>
  <si>
    <t>13529365551</t>
  </si>
  <si>
    <t>胡长林</t>
  </si>
  <si>
    <t>15687858583</t>
  </si>
  <si>
    <t>金州建筑装饰工程有限公司</t>
  </si>
  <si>
    <t>工程师</t>
  </si>
  <si>
    <t>13987726512</t>
  </si>
  <si>
    <t>李月斌</t>
  </si>
  <si>
    <t>18469753546</t>
  </si>
  <si>
    <t>彭俊</t>
  </si>
  <si>
    <t>13888394259</t>
  </si>
  <si>
    <t>李井高</t>
  </si>
  <si>
    <t>15911516138</t>
  </si>
  <si>
    <t>刘建明</t>
  </si>
  <si>
    <t>13577091982</t>
  </si>
  <si>
    <t>庞开华</t>
  </si>
  <si>
    <t>15894566896</t>
  </si>
  <si>
    <t>韩光友</t>
  </si>
  <si>
    <t>15287094829</t>
  </si>
  <si>
    <t>吴存方</t>
  </si>
  <si>
    <t>18388512577</t>
  </si>
  <si>
    <t>云南宣威教师进修学校</t>
  </si>
  <si>
    <t>退休教师</t>
  </si>
  <si>
    <t>汪生</t>
  </si>
  <si>
    <t>赤就镇人民政府</t>
  </si>
  <si>
    <t>副镇长</t>
  </si>
  <si>
    <t>13908808192</t>
  </si>
  <si>
    <t>15559847078</t>
  </si>
  <si>
    <t>蒋昌友</t>
  </si>
  <si>
    <t>15877931651</t>
  </si>
  <si>
    <t>马佳华</t>
  </si>
  <si>
    <t>15912589714</t>
  </si>
  <si>
    <t>富民县自然资源局</t>
  </si>
  <si>
    <t>李亚敏</t>
  </si>
  <si>
    <t>18724833730</t>
  </si>
  <si>
    <t>杨会元</t>
  </si>
  <si>
    <t>18788010370</t>
  </si>
  <si>
    <t>普继华</t>
  </si>
  <si>
    <t>易门矿务局</t>
  </si>
  <si>
    <t>15096774494</t>
  </si>
  <si>
    <t>文登甫</t>
  </si>
  <si>
    <t>18757877730</t>
  </si>
  <si>
    <t>朱加友</t>
  </si>
  <si>
    <t>13888921184</t>
  </si>
  <si>
    <t>母亲</t>
  </si>
  <si>
    <t>姚贵仙</t>
  </si>
  <si>
    <t>15125465228</t>
  </si>
  <si>
    <t>吴菊珍</t>
  </si>
  <si>
    <t>13529136294</t>
  </si>
  <si>
    <t>李月松</t>
  </si>
  <si>
    <t>15969301478</t>
  </si>
  <si>
    <t>何家琼</t>
  </si>
  <si>
    <t>13888357152</t>
  </si>
  <si>
    <t>张海琴</t>
  </si>
  <si>
    <t>18288560175</t>
  </si>
  <si>
    <t>张如华</t>
  </si>
  <si>
    <t>18468017094</t>
  </si>
  <si>
    <t>杨志娟</t>
  </si>
  <si>
    <t>富民县幼儿园</t>
  </si>
  <si>
    <t>13888650206</t>
  </si>
  <si>
    <t>普存英</t>
  </si>
  <si>
    <t>18725039416</t>
  </si>
  <si>
    <t>杨树存</t>
  </si>
  <si>
    <t>15987163560</t>
  </si>
  <si>
    <t>汪少琼</t>
  </si>
  <si>
    <t>15911622562</t>
  </si>
  <si>
    <t>杨祖秀</t>
  </si>
  <si>
    <t>15208804854</t>
  </si>
  <si>
    <t>杨兴丽</t>
  </si>
  <si>
    <t>15812028783</t>
  </si>
  <si>
    <t>浦石花</t>
  </si>
  <si>
    <t>15924738819</t>
  </si>
  <si>
    <t>杨利敏</t>
  </si>
  <si>
    <t>收费员</t>
  </si>
  <si>
    <t>15911231066</t>
  </si>
  <si>
    <t>杨菊仙</t>
  </si>
  <si>
    <t>沐海物业</t>
  </si>
  <si>
    <t>18206761890</t>
  </si>
  <si>
    <t>刘丽英</t>
  </si>
  <si>
    <t>富民荣鼎物业管理有限公司</t>
  </si>
  <si>
    <t>13888000229</t>
  </si>
  <si>
    <t>余桂秀</t>
  </si>
  <si>
    <t>15096587572</t>
  </si>
  <si>
    <t>薛开芬</t>
  </si>
  <si>
    <t>15912648341</t>
  </si>
  <si>
    <t>王秀菊</t>
  </si>
  <si>
    <t>15103814156</t>
  </si>
  <si>
    <t>赵爱芬</t>
  </si>
  <si>
    <t>18813512672</t>
  </si>
  <si>
    <t>李宏萍</t>
  </si>
  <si>
    <t>赵存香</t>
  </si>
  <si>
    <t>18313720538</t>
  </si>
  <si>
    <t>董文柳</t>
  </si>
  <si>
    <t>祝美琴</t>
  </si>
  <si>
    <t>15912637447</t>
  </si>
  <si>
    <t>景照仙</t>
  </si>
  <si>
    <t>13759075513</t>
  </si>
  <si>
    <t>李耀存</t>
  </si>
  <si>
    <t>13529249810</t>
  </si>
  <si>
    <t>玉溪五中</t>
  </si>
  <si>
    <t>13608773090</t>
  </si>
  <si>
    <t>朱绘芬</t>
  </si>
  <si>
    <t>18288424932</t>
  </si>
  <si>
    <t>18771649337</t>
  </si>
  <si>
    <t>18593136891</t>
  </si>
  <si>
    <t>白学兰</t>
  </si>
  <si>
    <t>15198348596</t>
  </si>
  <si>
    <t>贺琼英</t>
  </si>
  <si>
    <t>富民县县委</t>
  </si>
  <si>
    <t>谢秀珍</t>
  </si>
  <si>
    <t>杨琼英</t>
  </si>
  <si>
    <t>15911663361</t>
  </si>
  <si>
    <t>莫文仙</t>
  </si>
  <si>
    <t>13529422862</t>
  </si>
  <si>
    <t>李克兰</t>
  </si>
  <si>
    <t>王凤花</t>
  </si>
  <si>
    <t>赵泽坤</t>
  </si>
  <si>
    <t>施秀珍</t>
  </si>
  <si>
    <t>13629483408</t>
  </si>
  <si>
    <t>李彩仙</t>
  </si>
  <si>
    <t>胡映珍</t>
  </si>
  <si>
    <t>管树香</t>
  </si>
  <si>
    <t>晏水冬</t>
  </si>
  <si>
    <t>13732799826</t>
  </si>
  <si>
    <t>胡思敏</t>
  </si>
  <si>
    <t>曹桂枝</t>
  </si>
  <si>
    <t>谭贞莲</t>
  </si>
  <si>
    <t>0691-5125846</t>
  </si>
  <si>
    <t>李秀芬</t>
  </si>
  <si>
    <t>13888581091</t>
  </si>
  <si>
    <t>洪锦祥</t>
  </si>
  <si>
    <t>15925177161</t>
  </si>
  <si>
    <t>何艳辉</t>
  </si>
  <si>
    <t>昆明铁路局</t>
  </si>
  <si>
    <t>黄长菊</t>
  </si>
  <si>
    <t>刘利芬</t>
  </si>
  <si>
    <t>孙梅华</t>
  </si>
  <si>
    <t>杨明玉</t>
  </si>
  <si>
    <t>谢小四</t>
  </si>
  <si>
    <t>李茶菊</t>
  </si>
  <si>
    <t>13408805883</t>
  </si>
  <si>
    <t>刘玉侠</t>
  </si>
  <si>
    <t>建明镇政府</t>
  </si>
  <si>
    <t>陆世平</t>
  </si>
  <si>
    <t>杨兰芬</t>
  </si>
  <si>
    <t>13888403792</t>
  </si>
  <si>
    <t>李红兰</t>
  </si>
  <si>
    <t>聂祥妃</t>
  </si>
  <si>
    <t>王秀珍</t>
  </si>
  <si>
    <t>杨菊美</t>
  </si>
  <si>
    <t>陈有兰</t>
  </si>
  <si>
    <t>18288229074</t>
  </si>
  <si>
    <t>吴学菊</t>
  </si>
  <si>
    <t>王仕珍</t>
  </si>
  <si>
    <t>15126089092</t>
  </si>
  <si>
    <t>李子平</t>
  </si>
  <si>
    <t>吴丽琼</t>
  </si>
  <si>
    <t>沐应琼</t>
  </si>
  <si>
    <t>李卫超</t>
  </si>
  <si>
    <t>昆明艺宇印刷有限公司</t>
  </si>
  <si>
    <t>李凤琼</t>
  </si>
  <si>
    <t>孔玉梅</t>
  </si>
  <si>
    <t>舒金存</t>
  </si>
  <si>
    <t>刘石果</t>
  </si>
  <si>
    <t>唐小菊</t>
  </si>
  <si>
    <t>施桂花</t>
  </si>
  <si>
    <t>刘文花</t>
  </si>
  <si>
    <t>顾立聪</t>
  </si>
  <si>
    <t>窦云花</t>
  </si>
  <si>
    <t>普琼蓉</t>
  </si>
  <si>
    <t>张秀珍</t>
  </si>
  <si>
    <t>许月琼</t>
  </si>
  <si>
    <t>云南招标股份有限公司</t>
  </si>
  <si>
    <t>刘玉粉</t>
  </si>
  <si>
    <t>永定街道林业站</t>
  </si>
  <si>
    <t>陈加芬</t>
  </si>
  <si>
    <t>郭有芬</t>
  </si>
  <si>
    <t>李忠萍</t>
  </si>
  <si>
    <t>明亨物业</t>
  </si>
  <si>
    <t>陶荣华</t>
  </si>
  <si>
    <t>15198895965</t>
  </si>
  <si>
    <t>旺应</t>
  </si>
  <si>
    <t>唐琴玄</t>
  </si>
  <si>
    <t>朱自仙</t>
  </si>
  <si>
    <t>刘美琼</t>
  </si>
  <si>
    <t>王彩英</t>
  </si>
  <si>
    <t>刘艳萍</t>
  </si>
  <si>
    <t>15154928408</t>
  </si>
  <si>
    <t>张保芳</t>
  </si>
  <si>
    <t>何卫联</t>
  </si>
  <si>
    <t>19912960501</t>
  </si>
  <si>
    <t>阳运芬</t>
  </si>
  <si>
    <t>王素君</t>
  </si>
  <si>
    <t>13932043987</t>
  </si>
  <si>
    <t>徐丕娣</t>
  </si>
  <si>
    <t>刘燕林</t>
  </si>
  <si>
    <t>13577466728</t>
  </si>
  <si>
    <t>黄雪兰</t>
  </si>
  <si>
    <t>18787232136</t>
  </si>
  <si>
    <t>王粉方</t>
  </si>
  <si>
    <t>15924880261</t>
  </si>
  <si>
    <t>何加兰</t>
  </si>
  <si>
    <t>秦郡丽</t>
  </si>
  <si>
    <t>18725143510</t>
  </si>
  <si>
    <t>李丽平</t>
  </si>
  <si>
    <t>张会芬</t>
  </si>
  <si>
    <t>龙乔珍</t>
  </si>
  <si>
    <t>丁菊琼</t>
  </si>
  <si>
    <t>李秀芝</t>
  </si>
  <si>
    <t>普于仙</t>
  </si>
  <si>
    <t>洪幼治</t>
  </si>
  <si>
    <t>李森海</t>
  </si>
  <si>
    <t>杨兰英</t>
  </si>
  <si>
    <t>保灿琼</t>
  </si>
  <si>
    <t>周卫芬</t>
  </si>
  <si>
    <t>李运芬</t>
  </si>
  <si>
    <t>王秀霞</t>
  </si>
  <si>
    <t>毕琼丽</t>
  </si>
  <si>
    <t>孙文翠</t>
  </si>
  <si>
    <t>阮春梅</t>
  </si>
  <si>
    <t>俞丽</t>
  </si>
  <si>
    <t>18287485120</t>
  </si>
  <si>
    <t>杨兴美</t>
  </si>
  <si>
    <t>王加兰</t>
  </si>
  <si>
    <t>18387234258</t>
  </si>
  <si>
    <t>张丽娟</t>
  </si>
  <si>
    <t>13629473803</t>
  </si>
  <si>
    <t>云南建投</t>
  </si>
  <si>
    <t>后勤</t>
  </si>
  <si>
    <t>黄金秀</t>
  </si>
  <si>
    <t>谭梅</t>
  </si>
  <si>
    <t>谢全萍</t>
  </si>
  <si>
    <t>杨菊琼</t>
  </si>
  <si>
    <t>15288557297</t>
  </si>
  <si>
    <t>杜梅本</t>
  </si>
  <si>
    <t>18487517071</t>
  </si>
  <si>
    <t>杨萍</t>
  </si>
  <si>
    <t>15912593029</t>
  </si>
  <si>
    <t>李贵萍</t>
  </si>
  <si>
    <t>15825286956</t>
  </si>
  <si>
    <t>张秀芬</t>
  </si>
  <si>
    <t>15911714932</t>
  </si>
  <si>
    <t>王永香</t>
  </si>
  <si>
    <t>朱清莲</t>
  </si>
  <si>
    <t>18388662326</t>
  </si>
  <si>
    <t>张淑辉</t>
  </si>
  <si>
    <t>18064832782</t>
  </si>
  <si>
    <t>15287730960</t>
  </si>
  <si>
    <t>张照兰</t>
  </si>
  <si>
    <t>13577802420</t>
  </si>
  <si>
    <t>邓美香</t>
  </si>
  <si>
    <t>湖北省罗店镇伍家冲村</t>
  </si>
  <si>
    <t>妇联主任</t>
  </si>
  <si>
    <t>国家税务局富民县分局</t>
  </si>
  <si>
    <t>一级主任科员</t>
  </si>
  <si>
    <t>蒋双珍</t>
  </si>
  <si>
    <t>谢应芬</t>
  </si>
  <si>
    <t>15126602483</t>
  </si>
  <si>
    <t>辛碧珍</t>
  </si>
  <si>
    <t>陈牙华</t>
  </si>
  <si>
    <t>15980105165</t>
  </si>
  <si>
    <t>徐明兰</t>
  </si>
  <si>
    <t>秦老芬</t>
  </si>
  <si>
    <t>朱丽涛</t>
  </si>
  <si>
    <t>15393993009</t>
  </si>
  <si>
    <t>18729725328</t>
  </si>
  <si>
    <t>李凤书</t>
  </si>
  <si>
    <t>15025077085</t>
  </si>
  <si>
    <t>非桂仙</t>
  </si>
  <si>
    <t>姜月仙</t>
  </si>
  <si>
    <t>腾冲市市政府</t>
  </si>
  <si>
    <t>18788001356</t>
  </si>
  <si>
    <t>管利仙</t>
  </si>
  <si>
    <t>13619665167</t>
  </si>
  <si>
    <t>18725557755</t>
  </si>
  <si>
    <t>张丽琼</t>
  </si>
  <si>
    <t>15911657151</t>
  </si>
  <si>
    <t>15851533657</t>
  </si>
  <si>
    <t>13888094260</t>
  </si>
  <si>
    <t>1514978216</t>
  </si>
  <si>
    <t>魏明兴</t>
  </si>
  <si>
    <t>以礼河电厂物业公司</t>
  </si>
  <si>
    <t>王双吉</t>
  </si>
  <si>
    <t>15877826231</t>
  </si>
  <si>
    <t>吕琼芬</t>
  </si>
  <si>
    <t>13987348136</t>
  </si>
  <si>
    <t>朱云珍</t>
  </si>
  <si>
    <t>15912563462</t>
  </si>
  <si>
    <t>张学萍</t>
  </si>
  <si>
    <t>13608863133</t>
  </si>
  <si>
    <t>徐贵琼</t>
  </si>
  <si>
    <t>周自英</t>
  </si>
  <si>
    <t>15877942653</t>
  </si>
  <si>
    <t>胡玉芬</t>
  </si>
  <si>
    <t>18388009958</t>
  </si>
  <si>
    <t>罗云仙</t>
  </si>
  <si>
    <t>15887180524</t>
  </si>
  <si>
    <t>卓清芬</t>
  </si>
  <si>
    <t>15887160706</t>
  </si>
  <si>
    <t>寸待兰</t>
  </si>
  <si>
    <t>15184936674</t>
  </si>
  <si>
    <t>孙竹萍</t>
  </si>
  <si>
    <t>13888710280</t>
  </si>
  <si>
    <t>顾新梅</t>
  </si>
  <si>
    <t>13529198898</t>
  </si>
  <si>
    <t>周浩华</t>
  </si>
  <si>
    <t>13487726312</t>
  </si>
  <si>
    <t>苟乖玲</t>
  </si>
  <si>
    <t>18388531901</t>
  </si>
  <si>
    <t>刘琼</t>
  </si>
  <si>
    <t>罗学玉</t>
  </si>
  <si>
    <t>13669717969</t>
  </si>
  <si>
    <t>赵勤足</t>
  </si>
  <si>
    <t>卢琼仙</t>
  </si>
  <si>
    <t>黄天翠</t>
  </si>
  <si>
    <t>13987601423</t>
  </si>
  <si>
    <t>刘竹仙</t>
  </si>
  <si>
    <t>15969442085</t>
  </si>
  <si>
    <t>赵山秀</t>
  </si>
  <si>
    <t>13529205268</t>
  </si>
  <si>
    <t>王凤仙</t>
  </si>
  <si>
    <t>闫荣英</t>
  </si>
  <si>
    <t>王存焕</t>
  </si>
  <si>
    <t>1888749051</t>
  </si>
  <si>
    <t>王萍花</t>
  </si>
  <si>
    <t>13769561714</t>
  </si>
  <si>
    <t>司月英</t>
  </si>
  <si>
    <t>15912407221</t>
  </si>
  <si>
    <t>姐妹</t>
  </si>
  <si>
    <t>何晓艳</t>
  </si>
  <si>
    <t>吕方玉</t>
  </si>
  <si>
    <t>18388301418</t>
  </si>
  <si>
    <t>王平才</t>
  </si>
  <si>
    <t>朱尤先</t>
  </si>
  <si>
    <t>15198850998</t>
  </si>
  <si>
    <t>徐玖城</t>
  </si>
  <si>
    <t>18725176844</t>
  </si>
  <si>
    <t>林中伟</t>
  </si>
  <si>
    <t>13629459284</t>
  </si>
  <si>
    <t>雷少荣</t>
  </si>
  <si>
    <t>13888096057</t>
  </si>
  <si>
    <t>13678771721</t>
  </si>
  <si>
    <t>殷勇</t>
  </si>
  <si>
    <t>吴顺云</t>
  </si>
  <si>
    <t>彝良县小草中心校</t>
  </si>
  <si>
    <t>刘波</t>
  </si>
  <si>
    <t>王鑫阳</t>
  </si>
  <si>
    <t>杜思敏</t>
  </si>
  <si>
    <t>中铁五院</t>
  </si>
  <si>
    <t>15030691653</t>
  </si>
  <si>
    <t>张文</t>
  </si>
  <si>
    <t>万礼贵</t>
  </si>
  <si>
    <t>伟仓力电源有限公司</t>
  </si>
  <si>
    <t>操作员</t>
  </si>
  <si>
    <t>刘吉祥</t>
  </si>
  <si>
    <t>邮政储蓄银行</t>
  </si>
  <si>
    <t>杨江杰</t>
  </si>
  <si>
    <t>邢俊飞</t>
  </si>
  <si>
    <t>余建平</t>
  </si>
  <si>
    <t>富民县环保局</t>
  </si>
  <si>
    <t>李清</t>
  </si>
  <si>
    <t>刘陶红</t>
  </si>
  <si>
    <t>王登磊</t>
  </si>
  <si>
    <t>监理</t>
  </si>
  <si>
    <t>15808893413</t>
  </si>
  <si>
    <t>李朝飞</t>
  </si>
  <si>
    <t>吴顺淳</t>
  </si>
  <si>
    <t>文山电力公司</t>
  </si>
  <si>
    <t>张跃能</t>
  </si>
  <si>
    <t>张金久</t>
  </si>
  <si>
    <t>13150650130</t>
  </si>
  <si>
    <t>温生</t>
  </si>
  <si>
    <t>段中军</t>
  </si>
  <si>
    <t>线切割操作工</t>
  </si>
  <si>
    <t>张兴贵</t>
  </si>
  <si>
    <t xml:space="preserve">中铁八局		</t>
  </si>
  <si>
    <t>15887298291</t>
  </si>
  <si>
    <t>代孔尧</t>
  </si>
  <si>
    <t>15924715880</t>
  </si>
  <si>
    <t>彭泽东</t>
  </si>
  <si>
    <t>肖强</t>
  </si>
  <si>
    <t>15987565176</t>
  </si>
  <si>
    <t>何文鹏</t>
  </si>
  <si>
    <t>冯伟</t>
  </si>
  <si>
    <t>吕秀华</t>
  </si>
  <si>
    <t>秦庆瑜</t>
  </si>
  <si>
    <t>18082958057</t>
  </si>
  <si>
    <t>王平荣</t>
  </si>
  <si>
    <t>刘玉立</t>
  </si>
  <si>
    <t>张文婷</t>
  </si>
  <si>
    <t>云南翰玛标识公司</t>
  </si>
  <si>
    <t>工程管理</t>
  </si>
  <si>
    <t>13678750025</t>
  </si>
  <si>
    <t>念红丽</t>
  </si>
  <si>
    <t>15912136757</t>
  </si>
  <si>
    <t>关雪玲</t>
  </si>
  <si>
    <t xml:space="preserve">农药厂		</t>
  </si>
  <si>
    <t>潘艳宏</t>
  </si>
  <si>
    <t>钟丽</t>
  </si>
  <si>
    <t>13888270900</t>
  </si>
  <si>
    <t>李利亚</t>
  </si>
  <si>
    <t>税务局</t>
  </si>
  <si>
    <t>13888442955</t>
  </si>
  <si>
    <t>殷淇</t>
  </si>
  <si>
    <t>雷友涛</t>
  </si>
  <si>
    <t>15012397437</t>
  </si>
  <si>
    <t>符利芬</t>
  </si>
  <si>
    <t>苏继媛</t>
  </si>
  <si>
    <t>尹丽琼</t>
  </si>
  <si>
    <t>熊小米</t>
  </si>
  <si>
    <t>黄启燕</t>
  </si>
  <si>
    <t>云南生物生化有限公司</t>
  </si>
  <si>
    <t>15825075165</t>
  </si>
  <si>
    <t>韩雪莲</t>
  </si>
  <si>
    <t>金岸中学</t>
  </si>
  <si>
    <t>15198730231</t>
  </si>
  <si>
    <t>韩雪梅</t>
  </si>
  <si>
    <t>17869181556</t>
  </si>
  <si>
    <t>妹妹</t>
  </si>
  <si>
    <t>张晓</t>
  </si>
  <si>
    <t>15887662527</t>
  </si>
  <si>
    <t>王玉瑶</t>
  </si>
  <si>
    <t>杨梅</t>
  </si>
  <si>
    <t>余明菊</t>
  </si>
  <si>
    <t>丁帆</t>
  </si>
  <si>
    <t>温惠</t>
  </si>
  <si>
    <t>陈玲梅</t>
  </si>
  <si>
    <t>哥哥</t>
  </si>
  <si>
    <t>谯承军</t>
  </si>
  <si>
    <t>陕西桥泊水泥厂</t>
  </si>
  <si>
    <t>机修</t>
  </si>
  <si>
    <t>网易云</t>
  </si>
  <si>
    <t>17702724991</t>
  </si>
  <si>
    <t>18787138277</t>
  </si>
  <si>
    <t>弟弟</t>
  </si>
  <si>
    <t>刘兴林</t>
  </si>
  <si>
    <t>15288316040</t>
  </si>
  <si>
    <t>杨会权</t>
  </si>
  <si>
    <t>楚雄州武定县交警大队</t>
  </si>
  <si>
    <t>刘瑞</t>
  </si>
  <si>
    <t>朱聪</t>
  </si>
  <si>
    <t>爷爷</t>
  </si>
  <si>
    <t>妻子</t>
  </si>
  <si>
    <t>丈夫</t>
  </si>
  <si>
    <t>业务员</t>
  </si>
  <si>
    <t>联邦药业</t>
    <phoneticPr fontId="6" type="noConversion"/>
  </si>
  <si>
    <t>铣工</t>
    <phoneticPr fontId="6" type="noConversion"/>
  </si>
  <si>
    <t>入职时间(司龄基准日)_tenure_base_date</t>
    <phoneticPr fontId="6" type="noConversion"/>
  </si>
  <si>
    <t>合同类型_contract_summary_type</t>
    <phoneticPr fontId="6" type="noConversion"/>
  </si>
  <si>
    <t>结束原因_end_reason</t>
    <phoneticPr fontId="6" type="noConversion"/>
  </si>
  <si>
    <t>人员类型_record_type</t>
    <phoneticPr fontId="6" type="noConversion"/>
  </si>
  <si>
    <t>494542d8</t>
    <phoneticPr fontId="6" type="noConversion"/>
  </si>
  <si>
    <t>第一次入职时间：2012-12-24至2015-3-31，司龄：2年3个月。</t>
    <phoneticPr fontId="6" type="noConversion"/>
  </si>
  <si>
    <t>第一次入职时间：2009-12-28至2013-3-22，司龄：4年4个月</t>
    <phoneticPr fontId="6" type="noConversion"/>
  </si>
  <si>
    <t>第一次入职时间：2013-7-1至2018-3-30，司龄：4年9个月。</t>
    <phoneticPr fontId="6" type="noConversion"/>
  </si>
  <si>
    <t>第一次入职时间：2007-8-15至2012-11-30，司龄5年3个月。</t>
    <phoneticPr fontId="6" type="noConversion"/>
  </si>
  <si>
    <t>2014.10.11由生产部装配车间、装配钳工调岗为研发助理</t>
    <phoneticPr fontId="6" type="noConversion"/>
  </si>
  <si>
    <t>第一次入职时间：2011-3-6至2014-3-7，司龄：3年。</t>
    <phoneticPr fontId="6" type="noConversion"/>
  </si>
  <si>
    <t>第一次入职时间：2015-7-1至2018-4-12，司龄：2年9个月。</t>
    <phoneticPr fontId="6" type="noConversion"/>
  </si>
  <si>
    <t>第一次入职时间：2015-7-1至2018-4-12，司龄：2年9个月。</t>
    <phoneticPr fontId="6" type="noConversion"/>
  </si>
  <si>
    <t>第一次入职时间：2014-4-14至2015-4-9，司龄：11个月。</t>
    <phoneticPr fontId="6" type="noConversion"/>
  </si>
  <si>
    <r>
      <t>第一次入职时间：</t>
    </r>
    <r>
      <rPr>
        <sz val="11"/>
        <color rgb="FF1F2329"/>
        <rFont val="宋体"/>
        <family val="3"/>
        <charset val="134"/>
      </rPr>
      <t>2013-7-1至2018-3-30，司龄：4年9个月。</t>
    </r>
    <phoneticPr fontId="6" type="noConversion"/>
  </si>
  <si>
    <t>734a1636</t>
    <phoneticPr fontId="6" type="noConversion"/>
  </si>
  <si>
    <t>用工公司_company</t>
    <phoneticPr fontId="6" type="noConversion"/>
  </si>
  <si>
    <t>用工部门_dept</t>
    <phoneticPr fontId="6" type="noConversion"/>
  </si>
  <si>
    <t>gbe2da11</t>
    <phoneticPr fontId="6" type="noConversion"/>
  </si>
  <si>
    <t>安调中心</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</si>
</sst>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6"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
      <sz val="12"/>
      <color rgb="FF1F2329"/>
      <name val="微软雅黑"/>
      <family val="2"/>
      <charset val="134"/>
    </font>
    <font>
      <b/>
      <sz val="12"/>
      <color rgb="FF1F2329"/>
      <name val="宋体"/>
      <family val="3"/>
      <charset val="134"/>
    </font>
    <font>
      <sz val="12"/>
      <color rgb="FF1F2329"/>
      <name val="宋体"/>
      <family val="3"/>
      <charset val="134"/>
    </font>
    <font>
      <sz val="11"/>
      <color rgb="FF1F2329"/>
      <name val="宋体"/>
      <family val="3"/>
      <charset val="134"/>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97">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177" fontId="4" fillId="5" borderId="2" xfId="0" applyNumberFormat="1" applyFont="1" applyFill="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49" fontId="4" fillId="5" borderId="2" xfId="0" applyNumberFormat="1" applyFont="1" applyFill="1" applyBorder="1" applyAlignment="1">
      <alignment horizontal="left" vertical="center" wrapText="1"/>
    </xf>
    <xf numFmtId="49" fontId="22" fillId="0" borderId="6" xfId="0" applyNumberFormat="1" applyFont="1" applyBorder="1" applyAlignment="1">
      <alignment horizontal="left" vertical="center" wrapText="1"/>
    </xf>
    <xf numFmtId="49" fontId="8" fillId="0" borderId="0" xfId="0" applyNumberFormat="1" applyFont="1" applyAlignment="1">
      <alignment horizontal="left" vertical="center" wrapText="1"/>
    </xf>
    <xf numFmtId="0" fontId="23" fillId="8" borderId="5" xfId="0" applyFont="1" applyFill="1" applyBorder="1" applyAlignment="1">
      <alignment horizontal="left" vertical="center" wrapText="1"/>
    </xf>
    <xf numFmtId="49" fontId="24" fillId="0" borderId="6" xfId="0" applyNumberFormat="1" applyFont="1" applyBorder="1" applyAlignment="1">
      <alignment horizontal="left" vertical="center" wrapText="1"/>
    </xf>
    <xf numFmtId="49" fontId="9" fillId="0" borderId="0" xfId="1" quotePrefix="1" applyNumberFormat="1"/>
    <xf numFmtId="49" fontId="5" fillId="6" borderId="2" xfId="0" applyNumberFormat="1" applyFont="1" applyFill="1" applyBorder="1" applyAlignment="1">
      <alignment horizontal="center" vertical="center" wrapText="1"/>
    </xf>
    <xf numFmtId="49" fontId="9" fillId="0" borderId="0" xfId="1" applyNumberFormat="1"/>
    <xf numFmtId="49" fontId="0" fillId="0" borderId="6" xfId="0" applyNumberFormat="1" applyBorder="1"/>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49" fontId="1" fillId="2" borderId="1" xfId="0" applyNumberFormat="1" applyFont="1" applyFill="1" applyBorder="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16" fillId="0" borderId="0" xfId="0" applyNumberFormat="1" applyFont="1"/>
    <xf numFmtId="49" fontId="24" fillId="0" borderId="0" xfId="0" applyNumberFormat="1" applyFont="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YuJianHui\Desktop\Program\Python\roster\&#21592;&#24037;&#26723;&#26696;&#23548;&#20837;&#27169;&#26495;.xlsx" TargetMode="External"/><Relationship Id="rId1" Type="http://schemas.openxmlformats.org/officeDocument/2006/relationships/externalLinkPath" Target="Program/Python/roster/&#21592;&#24037;&#26723;&#26696;&#23548;&#20837;&#27169;&#2649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员工主表"/>
      <sheetName val="Sheet2"/>
      <sheetName val="Sheet3"/>
      <sheetName val="任职记录"/>
      <sheetName val="教育经历"/>
      <sheetName val="地址信息"/>
      <sheetName val="合同记录"/>
      <sheetName val="家庭成员"/>
      <sheetName val="职称职业资格"/>
      <sheetName val="培训记录"/>
      <sheetName val="奖惩记录"/>
      <sheetName val="入职前工作经历"/>
      <sheetName val="薪酬调整记录"/>
      <sheetName val="飞书账号映射"/>
    </sheetNames>
    <sheetDataSet>
      <sheetData sheetId="0" refreshError="1"/>
      <sheetData sheetId="1">
        <row r="1">
          <cell r="C1" t="str">
            <v>性别</v>
          </cell>
          <cell r="BF1" t="e">
            <v>#VALUE!</v>
          </cell>
        </row>
        <row r="2">
          <cell r="C2" t="str">
            <v>保密</v>
          </cell>
        </row>
        <row r="3">
          <cell r="C3" t="str">
            <v>男</v>
          </cell>
          <cell r="BF3" t="str">
            <v>530122200201242019</v>
          </cell>
        </row>
        <row r="4">
          <cell r="C4" t="str">
            <v>男</v>
          </cell>
          <cell r="BF4" t="str">
            <v>53038120011224059X</v>
          </cell>
        </row>
        <row r="5">
          <cell r="C5" t="str">
            <v>男</v>
          </cell>
          <cell r="BF5" t="str">
            <v>53012419901116001X</v>
          </cell>
        </row>
        <row r="6">
          <cell r="C6" t="str">
            <v>男</v>
          </cell>
          <cell r="BF6" t="str">
            <v>532329200112230910</v>
          </cell>
        </row>
        <row r="7">
          <cell r="C7" t="str">
            <v>男</v>
          </cell>
        </row>
        <row r="8">
          <cell r="C8" t="str">
            <v>女</v>
          </cell>
          <cell r="BF8" t="str">
            <v>532124200106261128</v>
          </cell>
        </row>
        <row r="9">
          <cell r="C9" t="str">
            <v>男</v>
          </cell>
          <cell r="BF9" t="str">
            <v>53012419901212001X</v>
          </cell>
        </row>
        <row r="10">
          <cell r="C10" t="str">
            <v>男</v>
          </cell>
          <cell r="BF10" t="str">
            <v>532331199904072814</v>
          </cell>
        </row>
        <row r="11">
          <cell r="C11" t="str">
            <v>男</v>
          </cell>
          <cell r="BF11" t="str">
            <v>530103199907053717</v>
          </cell>
        </row>
        <row r="12">
          <cell r="C12" t="str">
            <v>男</v>
          </cell>
          <cell r="BF12" t="str">
            <v>532930198710192115</v>
          </cell>
        </row>
        <row r="13">
          <cell r="C13" t="str">
            <v>女</v>
          </cell>
          <cell r="BF13" t="str">
            <v>53012720010615002X</v>
          </cell>
        </row>
        <row r="14">
          <cell r="C14" t="str">
            <v>男</v>
          </cell>
          <cell r="BF14" t="str">
            <v>533223200204170932</v>
          </cell>
        </row>
        <row r="15">
          <cell r="C15" t="str">
            <v>男</v>
          </cell>
          <cell r="BF15" t="str">
            <v>530381200203273338</v>
          </cell>
        </row>
        <row r="16">
          <cell r="C16" t="str">
            <v>男</v>
          </cell>
          <cell r="BF16" t="str">
            <v>530322199805202056</v>
          </cell>
        </row>
        <row r="17">
          <cell r="C17" t="str">
            <v>女</v>
          </cell>
        </row>
        <row r="18">
          <cell r="C18" t="str">
            <v>男</v>
          </cell>
          <cell r="BF18" t="str">
            <v>530121199606300633</v>
          </cell>
        </row>
        <row r="19">
          <cell r="C19" t="str">
            <v>男</v>
          </cell>
          <cell r="BF19" t="str">
            <v>532323200307030013</v>
          </cell>
        </row>
        <row r="20">
          <cell r="C20" t="str">
            <v>男</v>
          </cell>
          <cell r="BF20" t="str">
            <v>530524200405190614</v>
          </cell>
        </row>
        <row r="21">
          <cell r="C21" t="str">
            <v>男</v>
          </cell>
          <cell r="BF21" t="str">
            <v>530128200403070057</v>
          </cell>
        </row>
        <row r="22">
          <cell r="C22" t="str">
            <v>男</v>
          </cell>
          <cell r="BF22" t="str">
            <v>53062720040207273X</v>
          </cell>
        </row>
        <row r="23">
          <cell r="C23" t="str">
            <v>男</v>
          </cell>
          <cell r="BF23" t="str">
            <v>533001200402021234</v>
          </cell>
        </row>
        <row r="24">
          <cell r="C24" t="str">
            <v>男</v>
          </cell>
          <cell r="BF24" t="str">
            <v>530124200404210810</v>
          </cell>
        </row>
        <row r="25">
          <cell r="C25" t="str">
            <v>男</v>
          </cell>
          <cell r="BF25" t="str">
            <v>530381200203074312</v>
          </cell>
        </row>
        <row r="26">
          <cell r="C26" t="str">
            <v>男</v>
          </cell>
          <cell r="BF26" t="str">
            <v>532923200111160935</v>
          </cell>
        </row>
        <row r="27">
          <cell r="C27" t="str">
            <v>男</v>
          </cell>
          <cell r="BF27" t="str">
            <v>530124200311011716</v>
          </cell>
        </row>
        <row r="28">
          <cell r="C28" t="str">
            <v>男</v>
          </cell>
          <cell r="BF28" t="str">
            <v>530422200310141213</v>
          </cell>
        </row>
        <row r="29">
          <cell r="C29" t="str">
            <v>女</v>
          </cell>
          <cell r="BF29" t="str">
            <v>530326200401252947</v>
          </cell>
        </row>
        <row r="30">
          <cell r="C30" t="str">
            <v>男</v>
          </cell>
          <cell r="BF30" t="str">
            <v>53302420000907051X</v>
          </cell>
        </row>
        <row r="31">
          <cell r="C31" t="str">
            <v>男</v>
          </cell>
        </row>
        <row r="32">
          <cell r="C32" t="str">
            <v>男</v>
          </cell>
          <cell r="BF32" t="str">
            <v>532323199805131137</v>
          </cell>
        </row>
        <row r="33">
          <cell r="C33" t="str">
            <v>男</v>
          </cell>
          <cell r="BF33" t="str">
            <v>530111199402022018</v>
          </cell>
        </row>
        <row r="34">
          <cell r="C34" t="str">
            <v>女</v>
          </cell>
          <cell r="BF34" t="str">
            <v>53352119980820154X</v>
          </cell>
        </row>
        <row r="35">
          <cell r="C35" t="str">
            <v>男</v>
          </cell>
          <cell r="BF35" t="str">
            <v>530124199703152619</v>
          </cell>
        </row>
        <row r="36">
          <cell r="C36" t="str">
            <v>男</v>
          </cell>
          <cell r="BF36" t="str">
            <v>532227199701030032</v>
          </cell>
        </row>
        <row r="37">
          <cell r="C37" t="str">
            <v>男</v>
          </cell>
          <cell r="BF37" t="str">
            <v>610321199506017217</v>
          </cell>
        </row>
        <row r="38">
          <cell r="C38" t="str">
            <v>保密</v>
          </cell>
        </row>
        <row r="39">
          <cell r="C39" t="str">
            <v>保密</v>
          </cell>
        </row>
        <row r="40">
          <cell r="C40" t="str">
            <v>保密</v>
          </cell>
        </row>
        <row r="41">
          <cell r="C41" t="str">
            <v>保密</v>
          </cell>
        </row>
        <row r="42">
          <cell r="C42" t="str">
            <v>保密</v>
          </cell>
        </row>
        <row r="43">
          <cell r="C43" t="str">
            <v>保密</v>
          </cell>
        </row>
        <row r="44">
          <cell r="C44" t="str">
            <v>保密</v>
          </cell>
        </row>
        <row r="45">
          <cell r="C45" t="str">
            <v>男</v>
          </cell>
          <cell r="BF45" t="str">
            <v>533023200106242110</v>
          </cell>
        </row>
        <row r="46">
          <cell r="C46" t="str">
            <v>女</v>
          </cell>
          <cell r="BF46" t="str">
            <v>533023200208283124</v>
          </cell>
        </row>
        <row r="47">
          <cell r="C47" t="str">
            <v>女</v>
          </cell>
          <cell r="BF47" t="str">
            <v>530425199909221723</v>
          </cell>
        </row>
        <row r="48">
          <cell r="C48" t="str">
            <v>男</v>
          </cell>
          <cell r="BF48" t="str">
            <v>530326199803291310</v>
          </cell>
        </row>
        <row r="49">
          <cell r="C49" t="str">
            <v>男</v>
          </cell>
          <cell r="BF49" t="str">
            <v>53262219940608111X</v>
          </cell>
        </row>
        <row r="50">
          <cell r="C50" t="str">
            <v>男</v>
          </cell>
          <cell r="BF50" t="str">
            <v>530326199704093837</v>
          </cell>
        </row>
        <row r="51">
          <cell r="C51" t="str">
            <v>男</v>
          </cell>
          <cell r="BF51" t="str">
            <v>532325199610090913</v>
          </cell>
        </row>
        <row r="52">
          <cell r="C52" t="str">
            <v>男</v>
          </cell>
          <cell r="BF52" t="str">
            <v>530124200210190014</v>
          </cell>
        </row>
        <row r="53">
          <cell r="C53" t="str">
            <v>男</v>
          </cell>
          <cell r="BF53" t="str">
            <v>530103199507220619</v>
          </cell>
        </row>
        <row r="54">
          <cell r="C54" t="str">
            <v>男</v>
          </cell>
          <cell r="BF54" t="str">
            <v>53038120011103273X</v>
          </cell>
        </row>
        <row r="55">
          <cell r="C55" t="str">
            <v>男</v>
          </cell>
          <cell r="BF55" t="str">
            <v>530125200202042018</v>
          </cell>
        </row>
        <row r="56">
          <cell r="C56" t="str">
            <v>男</v>
          </cell>
          <cell r="BF56" t="str">
            <v>532932200110210714</v>
          </cell>
        </row>
        <row r="57">
          <cell r="C57" t="str">
            <v>男</v>
          </cell>
          <cell r="BF57" t="str">
            <v>530381200202271357</v>
          </cell>
        </row>
        <row r="58">
          <cell r="C58" t="str">
            <v>男</v>
          </cell>
          <cell r="BF58" t="str">
            <v>530323200208160515</v>
          </cell>
        </row>
        <row r="59">
          <cell r="C59" t="str">
            <v>男</v>
          </cell>
          <cell r="BF59" t="str">
            <v>530381200112061110</v>
          </cell>
        </row>
        <row r="60">
          <cell r="C60" t="str">
            <v>男</v>
          </cell>
          <cell r="BF60" t="str">
            <v>530323200402180739</v>
          </cell>
        </row>
        <row r="61">
          <cell r="C61" t="str">
            <v>女</v>
          </cell>
          <cell r="BF61" t="str">
            <v>532130200006071383</v>
          </cell>
        </row>
        <row r="62">
          <cell r="C62" t="str">
            <v>男</v>
          </cell>
          <cell r="BF62" t="str">
            <v>530326200206130610</v>
          </cell>
        </row>
        <row r="63">
          <cell r="C63" t="str">
            <v>男</v>
          </cell>
          <cell r="BF63" t="str">
            <v>530325200104131333</v>
          </cell>
        </row>
        <row r="64">
          <cell r="C64" t="str">
            <v>男</v>
          </cell>
          <cell r="BF64" t="str">
            <v>532923199812130012</v>
          </cell>
        </row>
        <row r="65">
          <cell r="C65" t="str">
            <v>男</v>
          </cell>
          <cell r="BF65" t="str">
            <v>530402199505161512</v>
          </cell>
        </row>
        <row r="66">
          <cell r="C66" t="str">
            <v>女</v>
          </cell>
          <cell r="BF66" t="str">
            <v>530124200001171124</v>
          </cell>
        </row>
        <row r="67">
          <cell r="C67" t="str">
            <v>女</v>
          </cell>
          <cell r="BF67" t="str">
            <v>530381199808092921</v>
          </cell>
        </row>
        <row r="68">
          <cell r="C68" t="str">
            <v>男</v>
          </cell>
          <cell r="BF68" t="str">
            <v>530402199601230936</v>
          </cell>
        </row>
        <row r="69">
          <cell r="C69" t="str">
            <v>女</v>
          </cell>
        </row>
        <row r="70">
          <cell r="C70" t="str">
            <v>男</v>
          </cell>
        </row>
        <row r="71">
          <cell r="C71" t="str">
            <v>男</v>
          </cell>
          <cell r="BF71" t="str">
            <v>530124199706141739</v>
          </cell>
        </row>
        <row r="72">
          <cell r="C72" t="str">
            <v>男</v>
          </cell>
          <cell r="BF72" t="str">
            <v>530326199810201336</v>
          </cell>
        </row>
        <row r="73">
          <cell r="C73" t="str">
            <v>女</v>
          </cell>
          <cell r="BF73" t="str">
            <v>530322200002231924</v>
          </cell>
        </row>
        <row r="74">
          <cell r="C74" t="str">
            <v>女</v>
          </cell>
          <cell r="BF74" t="str">
            <v>532926199908241541</v>
          </cell>
        </row>
        <row r="75">
          <cell r="C75" t="str">
            <v>女</v>
          </cell>
        </row>
        <row r="76">
          <cell r="C76" t="str">
            <v>男</v>
          </cell>
        </row>
        <row r="77">
          <cell r="C77" t="str">
            <v>男</v>
          </cell>
          <cell r="BF77" t="str">
            <v>530421199702010915</v>
          </cell>
        </row>
        <row r="78">
          <cell r="C78" t="str">
            <v>男</v>
          </cell>
          <cell r="BF78" t="str">
            <v>422128199507141711</v>
          </cell>
        </row>
        <row r="79">
          <cell r="C79" t="str">
            <v>男</v>
          </cell>
          <cell r="BF79" t="str">
            <v>530381200011020731</v>
          </cell>
        </row>
        <row r="80">
          <cell r="C80" t="str">
            <v>男</v>
          </cell>
          <cell r="BF80" t="str">
            <v>532923199307190516</v>
          </cell>
        </row>
        <row r="81">
          <cell r="C81" t="str">
            <v>男</v>
          </cell>
          <cell r="BF81" t="str">
            <v>412824199608203919</v>
          </cell>
        </row>
        <row r="82">
          <cell r="C82" t="str">
            <v>男</v>
          </cell>
          <cell r="BF82" t="str">
            <v>530124200004300016</v>
          </cell>
        </row>
        <row r="83">
          <cell r="C83" t="str">
            <v>女</v>
          </cell>
          <cell r="BF83" t="str">
            <v>530122200109032625</v>
          </cell>
        </row>
        <row r="84">
          <cell r="C84" t="str">
            <v>男</v>
          </cell>
          <cell r="BF84" t="str">
            <v>530124198206120013</v>
          </cell>
        </row>
        <row r="85">
          <cell r="C85" t="str">
            <v>男</v>
          </cell>
          <cell r="BF85" t="str">
            <v>530124199912190013</v>
          </cell>
        </row>
        <row r="86">
          <cell r="C86" t="str">
            <v>男</v>
          </cell>
          <cell r="BF86" t="str">
            <v>532930199910201914</v>
          </cell>
        </row>
        <row r="87">
          <cell r="C87" t="str">
            <v>男</v>
          </cell>
          <cell r="BF87" t="str">
            <v>530124200009301413</v>
          </cell>
        </row>
        <row r="88">
          <cell r="C88" t="str">
            <v>男</v>
          </cell>
          <cell r="BF88" t="str">
            <v>530124200204032319</v>
          </cell>
        </row>
        <row r="89">
          <cell r="C89" t="str">
            <v>女</v>
          </cell>
          <cell r="BF89" t="str">
            <v>530124199806101427</v>
          </cell>
        </row>
        <row r="90">
          <cell r="C90" t="str">
            <v>男</v>
          </cell>
          <cell r="BF90" t="str">
            <v>530103197806101813</v>
          </cell>
        </row>
        <row r="91">
          <cell r="C91" t="str">
            <v>男</v>
          </cell>
          <cell r="BF91" t="str">
            <v>53312419990209061X</v>
          </cell>
        </row>
        <row r="92">
          <cell r="C92" t="str">
            <v>男</v>
          </cell>
          <cell r="BF92" t="str">
            <v>532901199804100077</v>
          </cell>
        </row>
        <row r="93">
          <cell r="C93" t="str">
            <v>女</v>
          </cell>
          <cell r="BF93" t="str">
            <v>530381198905095142</v>
          </cell>
        </row>
        <row r="94">
          <cell r="C94" t="str">
            <v>男</v>
          </cell>
          <cell r="BF94" t="str">
            <v>530124199805012019</v>
          </cell>
        </row>
        <row r="95">
          <cell r="C95" t="str">
            <v>男</v>
          </cell>
          <cell r="BF95" t="str">
            <v>530124199510170079</v>
          </cell>
        </row>
        <row r="96">
          <cell r="C96" t="str">
            <v>男</v>
          </cell>
          <cell r="BF96" t="str">
            <v>530124199202170018</v>
          </cell>
        </row>
        <row r="97">
          <cell r="C97" t="str">
            <v>男</v>
          </cell>
          <cell r="BF97" t="str">
            <v>530124199505050013</v>
          </cell>
        </row>
        <row r="98">
          <cell r="C98" t="str">
            <v>男</v>
          </cell>
          <cell r="BF98" t="str">
            <v>53032219990104107X</v>
          </cell>
        </row>
        <row r="99">
          <cell r="C99" t="str">
            <v>男</v>
          </cell>
          <cell r="BF99" t="str">
            <v>530302199601280751</v>
          </cell>
        </row>
        <row r="100">
          <cell r="C100" t="str">
            <v>男</v>
          </cell>
          <cell r="BF100" t="str">
            <v>432401197605174014</v>
          </cell>
        </row>
        <row r="101">
          <cell r="C101" t="str">
            <v>男</v>
          </cell>
          <cell r="BF101" t="str">
            <v>53252619970117081X</v>
          </cell>
        </row>
        <row r="102">
          <cell r="C102" t="str">
            <v>男</v>
          </cell>
          <cell r="BF102" t="str">
            <v>532128199712033934</v>
          </cell>
        </row>
        <row r="103">
          <cell r="C103" t="str">
            <v>女</v>
          </cell>
          <cell r="BF103" t="str">
            <v>532901199408190023</v>
          </cell>
        </row>
        <row r="104">
          <cell r="C104" t="str">
            <v>男</v>
          </cell>
          <cell r="BF104" t="str">
            <v>530422199404141016</v>
          </cell>
        </row>
        <row r="105">
          <cell r="C105" t="str">
            <v>男</v>
          </cell>
          <cell r="BF105" t="str">
            <v>532327199511151517</v>
          </cell>
        </row>
        <row r="106">
          <cell r="C106" t="str">
            <v>男</v>
          </cell>
          <cell r="BF106" t="str">
            <v>530124199805010830</v>
          </cell>
        </row>
        <row r="107">
          <cell r="C107" t="str">
            <v>女</v>
          </cell>
          <cell r="BF107" t="str">
            <v>532527199703222624</v>
          </cell>
        </row>
        <row r="108">
          <cell r="C108" t="str">
            <v>女</v>
          </cell>
          <cell r="BF108" t="str">
            <v>530124199712290028</v>
          </cell>
        </row>
        <row r="109">
          <cell r="C109" t="str">
            <v>男</v>
          </cell>
          <cell r="BF109" t="str">
            <v>533001199510011230</v>
          </cell>
        </row>
        <row r="110">
          <cell r="C110" t="str">
            <v>男</v>
          </cell>
          <cell r="BF110" t="str">
            <v>530302199410051550</v>
          </cell>
        </row>
        <row r="111">
          <cell r="C111" t="str">
            <v>男</v>
          </cell>
          <cell r="BF111" t="str">
            <v>130406198903232415</v>
          </cell>
        </row>
        <row r="112">
          <cell r="C112" t="str">
            <v>女</v>
          </cell>
          <cell r="BF112" t="str">
            <v>520202199811021646</v>
          </cell>
        </row>
        <row r="113">
          <cell r="C113" t="str">
            <v>女</v>
          </cell>
          <cell r="BF113" t="str">
            <v>532723198303040021</v>
          </cell>
        </row>
        <row r="114">
          <cell r="C114" t="str">
            <v>男</v>
          </cell>
          <cell r="BF114" t="str">
            <v>532528199502191135</v>
          </cell>
        </row>
        <row r="115">
          <cell r="C115" t="str">
            <v>男</v>
          </cell>
          <cell r="BF115" t="str">
            <v>530112196310261639</v>
          </cell>
        </row>
        <row r="116">
          <cell r="C116" t="str">
            <v>男</v>
          </cell>
          <cell r="BF116" t="str">
            <v>530124199912141414</v>
          </cell>
        </row>
        <row r="117">
          <cell r="C117" t="str">
            <v>男</v>
          </cell>
          <cell r="BF117" t="str">
            <v>530124199805102612</v>
          </cell>
        </row>
        <row r="118">
          <cell r="C118" t="str">
            <v>男</v>
          </cell>
          <cell r="BF118" t="str">
            <v>530323199905201911</v>
          </cell>
        </row>
        <row r="119">
          <cell r="C119" t="str">
            <v>男</v>
          </cell>
          <cell r="BF119" t="str">
            <v>530424199810211211</v>
          </cell>
        </row>
        <row r="120">
          <cell r="C120" t="str">
            <v>男</v>
          </cell>
          <cell r="BF120" t="str">
            <v>511303198712161658</v>
          </cell>
        </row>
        <row r="121">
          <cell r="C121" t="str">
            <v>女</v>
          </cell>
          <cell r="BF121" t="str">
            <v>530124198710110025</v>
          </cell>
        </row>
        <row r="122">
          <cell r="C122" t="str">
            <v>男</v>
          </cell>
          <cell r="BF122" t="str">
            <v>530381198312290030</v>
          </cell>
        </row>
        <row r="123">
          <cell r="C123" t="str">
            <v>男</v>
          </cell>
          <cell r="BF123" t="str">
            <v>530326199210024639</v>
          </cell>
        </row>
        <row r="124">
          <cell r="C124" t="str">
            <v>男</v>
          </cell>
          <cell r="BF124" t="str">
            <v>532331198603274012</v>
          </cell>
        </row>
        <row r="125">
          <cell r="C125" t="str">
            <v>男</v>
          </cell>
          <cell r="BF125" t="str">
            <v>532125198809162130</v>
          </cell>
        </row>
        <row r="126">
          <cell r="C126" t="str">
            <v>男</v>
          </cell>
          <cell r="BF126" t="str">
            <v>370523198401204912</v>
          </cell>
        </row>
        <row r="127">
          <cell r="C127" t="str">
            <v>男</v>
          </cell>
          <cell r="BF127" t="str">
            <v>530325199610251914</v>
          </cell>
        </row>
        <row r="128">
          <cell r="C128" t="str">
            <v>男</v>
          </cell>
          <cell r="BF128" t="str">
            <v>53293119970806051X</v>
          </cell>
        </row>
        <row r="129">
          <cell r="C129" t="str">
            <v>男</v>
          </cell>
          <cell r="BF129" t="str">
            <v>460003198503291438</v>
          </cell>
        </row>
        <row r="130">
          <cell r="C130" t="str">
            <v>男</v>
          </cell>
          <cell r="BF130" t="str">
            <v>53012420000705261X</v>
          </cell>
        </row>
        <row r="131">
          <cell r="C131" t="str">
            <v>男</v>
          </cell>
          <cell r="BF131" t="str">
            <v>350583199605181131</v>
          </cell>
        </row>
        <row r="132">
          <cell r="C132" t="str">
            <v>男</v>
          </cell>
          <cell r="BF132" t="str">
            <v>530124199707182612</v>
          </cell>
        </row>
        <row r="133">
          <cell r="C133" t="str">
            <v>男</v>
          </cell>
          <cell r="BF133" t="str">
            <v>532526199803180816</v>
          </cell>
        </row>
        <row r="134">
          <cell r="C134" t="str">
            <v>男</v>
          </cell>
          <cell r="BF134" t="str">
            <v>530323199712230716</v>
          </cell>
        </row>
        <row r="135">
          <cell r="C135" t="str">
            <v>男</v>
          </cell>
          <cell r="BF135" t="str">
            <v>530322199807170713</v>
          </cell>
        </row>
        <row r="136">
          <cell r="C136" t="str">
            <v>女</v>
          </cell>
          <cell r="BF136" t="str">
            <v>532823199502014221</v>
          </cell>
        </row>
        <row r="137">
          <cell r="C137" t="str">
            <v>男</v>
          </cell>
          <cell r="BF137" t="str">
            <v>530124199810221712</v>
          </cell>
        </row>
        <row r="138">
          <cell r="C138" t="str">
            <v>女</v>
          </cell>
          <cell r="BF138" t="str">
            <v>530124198911060028</v>
          </cell>
        </row>
        <row r="139">
          <cell r="C139" t="str">
            <v>女</v>
          </cell>
          <cell r="BF139" t="str">
            <v>530124199411240844</v>
          </cell>
        </row>
        <row r="140">
          <cell r="C140" t="str">
            <v>男</v>
          </cell>
          <cell r="BF140" t="str">
            <v>530381199501032713</v>
          </cell>
        </row>
        <row r="141">
          <cell r="C141" t="str">
            <v>男</v>
          </cell>
          <cell r="BF141" t="str">
            <v>530381199210102136</v>
          </cell>
        </row>
        <row r="142">
          <cell r="C142" t="str">
            <v>男</v>
          </cell>
          <cell r="BF142" t="str">
            <v>530102199004031115</v>
          </cell>
        </row>
        <row r="143">
          <cell r="C143" t="str">
            <v>男</v>
          </cell>
          <cell r="BF143" t="str">
            <v>530322199209081016</v>
          </cell>
        </row>
        <row r="144">
          <cell r="C144" t="str">
            <v>男</v>
          </cell>
          <cell r="BF144" t="str">
            <v>530124199412030013</v>
          </cell>
        </row>
        <row r="145">
          <cell r="C145" t="str">
            <v>男</v>
          </cell>
          <cell r="BF145" t="str">
            <v>532126198909212314</v>
          </cell>
        </row>
        <row r="146">
          <cell r="C146" t="str">
            <v>男</v>
          </cell>
          <cell r="BF146" t="str">
            <v>530124199604042617</v>
          </cell>
        </row>
        <row r="147">
          <cell r="C147" t="str">
            <v>男</v>
          </cell>
          <cell r="BF147" t="str">
            <v>530324199512252116</v>
          </cell>
        </row>
        <row r="148">
          <cell r="C148" t="str">
            <v>男</v>
          </cell>
          <cell r="BF148" t="str">
            <v>530381199512263330</v>
          </cell>
        </row>
        <row r="149">
          <cell r="C149" t="str">
            <v>男</v>
          </cell>
          <cell r="BF149" t="str">
            <v>530122199406181613</v>
          </cell>
        </row>
        <row r="150">
          <cell r="C150" t="str">
            <v>女</v>
          </cell>
          <cell r="BF150" t="str">
            <v>530124198910160027</v>
          </cell>
        </row>
        <row r="151">
          <cell r="C151" t="str">
            <v>男</v>
          </cell>
          <cell r="BF151" t="str">
            <v>532930198308191114</v>
          </cell>
        </row>
        <row r="152">
          <cell r="C152" t="str">
            <v>男</v>
          </cell>
          <cell r="BF152" t="str">
            <v>530302199401070653</v>
          </cell>
        </row>
        <row r="153">
          <cell r="C153" t="str">
            <v>男</v>
          </cell>
          <cell r="BF153" t="str">
            <v>530326199403030357</v>
          </cell>
        </row>
        <row r="154">
          <cell r="C154" t="str">
            <v>男</v>
          </cell>
          <cell r="BF154" t="str">
            <v>532130198706150779</v>
          </cell>
        </row>
        <row r="155">
          <cell r="C155" t="str">
            <v>男</v>
          </cell>
          <cell r="BF155" t="str">
            <v>530128199410151837</v>
          </cell>
        </row>
        <row r="156">
          <cell r="C156" t="str">
            <v>男</v>
          </cell>
          <cell r="BF156" t="str">
            <v>530421198911141933</v>
          </cell>
        </row>
        <row r="157">
          <cell r="C157" t="str">
            <v>男</v>
          </cell>
          <cell r="BF157" t="str">
            <v>53012819950726001X</v>
          </cell>
        </row>
        <row r="158">
          <cell r="C158" t="str">
            <v>男</v>
          </cell>
          <cell r="BF158" t="str">
            <v>530124199801092314</v>
          </cell>
        </row>
        <row r="159">
          <cell r="C159" t="str">
            <v>女</v>
          </cell>
          <cell r="BF159" t="str">
            <v>530424199411222028</v>
          </cell>
        </row>
        <row r="160">
          <cell r="C160" t="str">
            <v>男</v>
          </cell>
          <cell r="BF160" t="str">
            <v>530102198204260735</v>
          </cell>
        </row>
        <row r="161">
          <cell r="C161" t="str">
            <v>女</v>
          </cell>
          <cell r="BF161" t="str">
            <v>53012419910521172X</v>
          </cell>
        </row>
        <row r="162">
          <cell r="C162" t="str">
            <v>男</v>
          </cell>
          <cell r="BF162" t="str">
            <v>530128198402074216</v>
          </cell>
        </row>
        <row r="163">
          <cell r="C163" t="str">
            <v>女</v>
          </cell>
          <cell r="BF163" t="str">
            <v>530111196909188726</v>
          </cell>
        </row>
        <row r="164">
          <cell r="C164" t="str">
            <v>男</v>
          </cell>
          <cell r="BF164" t="str">
            <v>530124199308120019</v>
          </cell>
        </row>
        <row r="165">
          <cell r="C165" t="str">
            <v>女</v>
          </cell>
          <cell r="BF165" t="str">
            <v>530124199307042020</v>
          </cell>
        </row>
        <row r="166">
          <cell r="C166" t="str">
            <v>男</v>
          </cell>
          <cell r="BF166" t="str">
            <v>53232519940601071X</v>
          </cell>
        </row>
        <row r="167">
          <cell r="C167" t="str">
            <v>男</v>
          </cell>
          <cell r="BF167" t="str">
            <v>532526199311131110</v>
          </cell>
        </row>
        <row r="168">
          <cell r="C168" t="str">
            <v>男</v>
          </cell>
          <cell r="BF168" t="str">
            <v>530124199803130011</v>
          </cell>
        </row>
        <row r="169">
          <cell r="C169" t="str">
            <v>男</v>
          </cell>
          <cell r="BF169" t="str">
            <v>530124197902011756</v>
          </cell>
        </row>
        <row r="170">
          <cell r="C170" t="str">
            <v>女</v>
          </cell>
          <cell r="BF170" t="str">
            <v>530322199409032243</v>
          </cell>
        </row>
        <row r="171">
          <cell r="C171" t="str">
            <v>男</v>
          </cell>
          <cell r="BF171" t="str">
            <v>530124199709150016</v>
          </cell>
        </row>
        <row r="172">
          <cell r="C172" t="str">
            <v>男</v>
          </cell>
          <cell r="BF172" t="str">
            <v>530102198706212717</v>
          </cell>
        </row>
        <row r="173">
          <cell r="C173" t="str">
            <v>男</v>
          </cell>
          <cell r="BF173" t="str">
            <v>532924199012300518</v>
          </cell>
        </row>
        <row r="174">
          <cell r="C174" t="str">
            <v>男</v>
          </cell>
          <cell r="BF174" t="str">
            <v>530322198412061956</v>
          </cell>
        </row>
        <row r="175">
          <cell r="C175" t="str">
            <v>男</v>
          </cell>
          <cell r="BF175" t="str">
            <v>532128198703170350</v>
          </cell>
        </row>
        <row r="176">
          <cell r="C176" t="str">
            <v>女</v>
          </cell>
          <cell r="BF176" t="str">
            <v>530111199011154427</v>
          </cell>
        </row>
        <row r="177">
          <cell r="C177" t="str">
            <v>女</v>
          </cell>
          <cell r="BF177" t="str">
            <v>530124197612301421</v>
          </cell>
        </row>
        <row r="178">
          <cell r="C178" t="str">
            <v>女</v>
          </cell>
          <cell r="BF178" t="str">
            <v>620111199010130521</v>
          </cell>
        </row>
        <row r="179">
          <cell r="C179" t="str">
            <v>女</v>
          </cell>
          <cell r="BF179" t="str">
            <v>530124199107070027</v>
          </cell>
        </row>
        <row r="180">
          <cell r="C180" t="str">
            <v>男</v>
          </cell>
          <cell r="BF180" t="str">
            <v>520202198210202818</v>
          </cell>
        </row>
        <row r="181">
          <cell r="C181" t="str">
            <v>女</v>
          </cell>
          <cell r="BF181" t="str">
            <v>532329199108201927</v>
          </cell>
        </row>
        <row r="182">
          <cell r="C182" t="str">
            <v>女</v>
          </cell>
          <cell r="BF182" t="str">
            <v>130281198710155344</v>
          </cell>
        </row>
        <row r="183">
          <cell r="C183" t="str">
            <v>男</v>
          </cell>
          <cell r="BF183" t="str">
            <v>41282319890606643X</v>
          </cell>
        </row>
        <row r="184">
          <cell r="C184" t="str">
            <v>男</v>
          </cell>
          <cell r="BF184" t="str">
            <v>530124199609291719</v>
          </cell>
        </row>
        <row r="185">
          <cell r="C185" t="str">
            <v>男</v>
          </cell>
          <cell r="BF185" t="str">
            <v>532125198209292118</v>
          </cell>
        </row>
        <row r="186">
          <cell r="C186" t="str">
            <v>男</v>
          </cell>
          <cell r="BF186" t="str">
            <v>533222199212063617</v>
          </cell>
        </row>
        <row r="187">
          <cell r="C187" t="str">
            <v>女</v>
          </cell>
          <cell r="BF187" t="str">
            <v>532323199312290041</v>
          </cell>
        </row>
        <row r="188">
          <cell r="C188" t="str">
            <v>男</v>
          </cell>
          <cell r="BF188" t="str">
            <v>532526199505300293</v>
          </cell>
        </row>
        <row r="189">
          <cell r="C189" t="str">
            <v>男</v>
          </cell>
          <cell r="BF189" t="str">
            <v>530102196803062432</v>
          </cell>
        </row>
        <row r="190">
          <cell r="C190" t="str">
            <v>男</v>
          </cell>
          <cell r="BF190" t="str">
            <v>53302219881018101X</v>
          </cell>
        </row>
        <row r="191">
          <cell r="C191" t="str">
            <v>男</v>
          </cell>
          <cell r="BF191" t="str">
            <v>530124199009250518</v>
          </cell>
        </row>
        <row r="192">
          <cell r="C192" t="str">
            <v>男</v>
          </cell>
          <cell r="BF192" t="str">
            <v>532128198905140512</v>
          </cell>
        </row>
        <row r="193">
          <cell r="C193" t="str">
            <v>男</v>
          </cell>
          <cell r="BF193" t="str">
            <v>530124198407160011</v>
          </cell>
        </row>
        <row r="194">
          <cell r="C194" t="str">
            <v>男</v>
          </cell>
          <cell r="BF194" t="str">
            <v>612324198704284013</v>
          </cell>
        </row>
        <row r="195">
          <cell r="C195" t="str">
            <v>女</v>
          </cell>
          <cell r="BF195" t="str">
            <v>513901198704102342</v>
          </cell>
        </row>
        <row r="196">
          <cell r="C196" t="str">
            <v>女</v>
          </cell>
          <cell r="BF196" t="str">
            <v>530124197809101722</v>
          </cell>
        </row>
        <row r="197">
          <cell r="C197" t="str">
            <v>男</v>
          </cell>
          <cell r="BF197" t="str">
            <v>530124199112030011</v>
          </cell>
        </row>
        <row r="198">
          <cell r="C198" t="str">
            <v>男</v>
          </cell>
          <cell r="BF198" t="str">
            <v>530124199010050038</v>
          </cell>
        </row>
        <row r="199">
          <cell r="C199" t="str">
            <v>女</v>
          </cell>
          <cell r="BF199" t="str">
            <v>532129199211120729</v>
          </cell>
        </row>
        <row r="200">
          <cell r="C200" t="str">
            <v>男</v>
          </cell>
          <cell r="BF200" t="str">
            <v>530328199103013056</v>
          </cell>
        </row>
        <row r="201">
          <cell r="C201" t="str">
            <v>男</v>
          </cell>
          <cell r="BF201" t="str">
            <v>532331199208152618</v>
          </cell>
        </row>
        <row r="202">
          <cell r="C202" t="str">
            <v>男</v>
          </cell>
          <cell r="BF202" t="str">
            <v>532128199102135319</v>
          </cell>
        </row>
        <row r="203">
          <cell r="C203" t="str">
            <v>男</v>
          </cell>
          <cell r="BF203" t="str">
            <v>530328199202183018</v>
          </cell>
        </row>
        <row r="204">
          <cell r="C204" t="str">
            <v>男</v>
          </cell>
          <cell r="BF204" t="str">
            <v>532126199111013118</v>
          </cell>
        </row>
        <row r="205">
          <cell r="C205" t="str">
            <v>男</v>
          </cell>
          <cell r="BF205" t="str">
            <v>53030219941129241X</v>
          </cell>
        </row>
        <row r="206">
          <cell r="C206" t="str">
            <v>男</v>
          </cell>
          <cell r="BF206" t="str">
            <v>530323199408061591</v>
          </cell>
        </row>
        <row r="207">
          <cell r="C207" t="str">
            <v>男</v>
          </cell>
          <cell r="BF207" t="str">
            <v>530381199403124710</v>
          </cell>
        </row>
        <row r="208">
          <cell r="C208" t="str">
            <v>男</v>
          </cell>
          <cell r="BF208" t="str">
            <v>532932199106200518</v>
          </cell>
        </row>
        <row r="209">
          <cell r="C209" t="str">
            <v>男</v>
          </cell>
          <cell r="BF209" t="str">
            <v>530423199211120610</v>
          </cell>
        </row>
        <row r="210">
          <cell r="C210" t="str">
            <v>女</v>
          </cell>
          <cell r="BF210" t="str">
            <v>532924199104281529</v>
          </cell>
        </row>
        <row r="211">
          <cell r="C211" t="str">
            <v>男</v>
          </cell>
          <cell r="BF211" t="str">
            <v>53038119911203001X</v>
          </cell>
        </row>
        <row r="212">
          <cell r="C212" t="str">
            <v>女</v>
          </cell>
          <cell r="BF212" t="str">
            <v>530124198912040061</v>
          </cell>
        </row>
        <row r="213">
          <cell r="C213" t="str">
            <v>女</v>
          </cell>
          <cell r="BF213" t="str">
            <v>532527199010212327</v>
          </cell>
        </row>
        <row r="214">
          <cell r="C214" t="str">
            <v>男</v>
          </cell>
          <cell r="BF214" t="str">
            <v>530127198604200018</v>
          </cell>
        </row>
        <row r="215">
          <cell r="C215" t="str">
            <v>男</v>
          </cell>
          <cell r="BF215" t="str">
            <v>53212219871001223X</v>
          </cell>
        </row>
        <row r="216">
          <cell r="C216" t="str">
            <v>男</v>
          </cell>
          <cell r="BF216" t="str">
            <v>530124199309012634</v>
          </cell>
        </row>
        <row r="217">
          <cell r="C217" t="str">
            <v>男</v>
          </cell>
          <cell r="BF217" t="str">
            <v>530102197203040314</v>
          </cell>
        </row>
        <row r="218">
          <cell r="C218" t="str">
            <v>男</v>
          </cell>
          <cell r="BF218" t="str">
            <v>532527198612010015</v>
          </cell>
        </row>
        <row r="219">
          <cell r="C219" t="str">
            <v>男</v>
          </cell>
          <cell r="BF219" t="str">
            <v>532932199012181715</v>
          </cell>
        </row>
        <row r="220">
          <cell r="C220" t="str">
            <v>女</v>
          </cell>
          <cell r="BF220" t="str">
            <v>532127198703101164</v>
          </cell>
        </row>
        <row r="221">
          <cell r="C221" t="str">
            <v>女</v>
          </cell>
          <cell r="BF221" t="str">
            <v>530124197806051424</v>
          </cell>
        </row>
        <row r="222">
          <cell r="C222" t="str">
            <v>女</v>
          </cell>
          <cell r="BF222" t="str">
            <v>530128198302183626</v>
          </cell>
        </row>
        <row r="223">
          <cell r="C223" t="str">
            <v>男</v>
          </cell>
          <cell r="BF223" t="str">
            <v>530128198609194514</v>
          </cell>
        </row>
        <row r="224">
          <cell r="C224" t="str">
            <v>男</v>
          </cell>
          <cell r="BF224" t="str">
            <v>530124197105010013</v>
          </cell>
        </row>
        <row r="225">
          <cell r="C225" t="str">
            <v>女</v>
          </cell>
          <cell r="BF225" t="str">
            <v>530124199111030028</v>
          </cell>
        </row>
        <row r="226">
          <cell r="C226" t="str">
            <v>女</v>
          </cell>
          <cell r="BF226" t="str">
            <v>530124198602102028</v>
          </cell>
        </row>
        <row r="227">
          <cell r="C227" t="str">
            <v>女</v>
          </cell>
          <cell r="BF227" t="str">
            <v>530124199205070020</v>
          </cell>
        </row>
        <row r="228">
          <cell r="C228" t="str">
            <v>男</v>
          </cell>
          <cell r="BF228" t="str">
            <v>532331197906164019</v>
          </cell>
        </row>
        <row r="229">
          <cell r="C229" t="str">
            <v>男</v>
          </cell>
          <cell r="BF229" t="str">
            <v>530124197509240018</v>
          </cell>
        </row>
        <row r="230">
          <cell r="C230" t="str">
            <v>男</v>
          </cell>
          <cell r="BF230" t="str">
            <v>362132198201030377</v>
          </cell>
        </row>
        <row r="231">
          <cell r="C231" t="str">
            <v>男</v>
          </cell>
          <cell r="BF231" t="str">
            <v>530124199406251418</v>
          </cell>
        </row>
        <row r="232">
          <cell r="C232" t="str">
            <v>男</v>
          </cell>
          <cell r="BF232" t="str">
            <v>530103196805142934</v>
          </cell>
        </row>
        <row r="233">
          <cell r="C233" t="str">
            <v>男</v>
          </cell>
          <cell r="BF233" t="str">
            <v>533023199012091416</v>
          </cell>
        </row>
        <row r="234">
          <cell r="C234" t="str">
            <v>男</v>
          </cell>
          <cell r="BF234" t="str">
            <v>532331199111084014</v>
          </cell>
        </row>
        <row r="235">
          <cell r="C235" t="str">
            <v>男</v>
          </cell>
          <cell r="BF235" t="str">
            <v>530323199112212055</v>
          </cell>
        </row>
        <row r="236">
          <cell r="C236" t="str">
            <v>男</v>
          </cell>
          <cell r="BF236" t="str">
            <v>530381199009103137</v>
          </cell>
        </row>
        <row r="237">
          <cell r="C237" t="str">
            <v>男</v>
          </cell>
          <cell r="BF237" t="str">
            <v>530381199111132911</v>
          </cell>
        </row>
        <row r="238">
          <cell r="C238" t="str">
            <v>男</v>
          </cell>
          <cell r="BF238" t="str">
            <v>530124199407100857</v>
          </cell>
        </row>
        <row r="239">
          <cell r="C239" t="str">
            <v>男</v>
          </cell>
          <cell r="BF239" t="str">
            <v>530328199010110930</v>
          </cell>
        </row>
        <row r="240">
          <cell r="C240" t="str">
            <v>女</v>
          </cell>
          <cell r="BF240" t="str">
            <v>53012419940303002X</v>
          </cell>
        </row>
        <row r="241">
          <cell r="C241" t="str">
            <v>男</v>
          </cell>
          <cell r="BF241" t="str">
            <v>532322199201250016</v>
          </cell>
        </row>
        <row r="242">
          <cell r="C242" t="str">
            <v>女</v>
          </cell>
          <cell r="BF242" t="str">
            <v>532928199201110727</v>
          </cell>
        </row>
        <row r="243">
          <cell r="C243" t="str">
            <v>男</v>
          </cell>
          <cell r="BF243" t="str">
            <v>530324199102052138</v>
          </cell>
        </row>
        <row r="244">
          <cell r="C244" t="str">
            <v>男</v>
          </cell>
          <cell r="BF244" t="str">
            <v>532623198905180915</v>
          </cell>
        </row>
        <row r="245">
          <cell r="C245" t="str">
            <v>男</v>
          </cell>
          <cell r="BF245" t="str">
            <v>533523199104210213</v>
          </cell>
        </row>
        <row r="246">
          <cell r="C246" t="str">
            <v>男</v>
          </cell>
          <cell r="BF246" t="str">
            <v>532101198610013030</v>
          </cell>
        </row>
        <row r="247">
          <cell r="C247" t="str">
            <v>男</v>
          </cell>
          <cell r="BF247" t="str">
            <v>530322198905222834</v>
          </cell>
        </row>
        <row r="248">
          <cell r="C248" t="str">
            <v>男</v>
          </cell>
          <cell r="BF248" t="str">
            <v>350181198709261911</v>
          </cell>
        </row>
        <row r="249">
          <cell r="C249" t="str">
            <v>男</v>
          </cell>
          <cell r="BF249" t="str">
            <v>530124197404222315</v>
          </cell>
        </row>
        <row r="250">
          <cell r="C250" t="str">
            <v>女</v>
          </cell>
          <cell r="BF250" t="str">
            <v>530124197505280047</v>
          </cell>
        </row>
        <row r="251">
          <cell r="C251" t="str">
            <v>男</v>
          </cell>
          <cell r="BF251" t="str">
            <v>530124198002202615</v>
          </cell>
        </row>
        <row r="252">
          <cell r="C252" t="str">
            <v>男</v>
          </cell>
          <cell r="BF252" t="str">
            <v>53010219740912373X</v>
          </cell>
        </row>
        <row r="253">
          <cell r="C253" t="str">
            <v>男</v>
          </cell>
          <cell r="BF253" t="str">
            <v>530124198612110013</v>
          </cell>
        </row>
        <row r="254">
          <cell r="C254" t="str">
            <v>男</v>
          </cell>
          <cell r="BF254" t="str">
            <v>530129199105131932</v>
          </cell>
        </row>
        <row r="255">
          <cell r="C255" t="str">
            <v>男</v>
          </cell>
          <cell r="BF255" t="str">
            <v>530121197502191816</v>
          </cell>
        </row>
        <row r="256">
          <cell r="C256" t="str">
            <v>男</v>
          </cell>
          <cell r="BF256" t="str">
            <v>530111198802255318</v>
          </cell>
        </row>
        <row r="257">
          <cell r="C257" t="str">
            <v>男</v>
          </cell>
          <cell r="BF257" t="str">
            <v>530322198909222014</v>
          </cell>
        </row>
        <row r="258">
          <cell r="C258" t="str">
            <v>男</v>
          </cell>
          <cell r="BF258" t="str">
            <v>530427198608090035</v>
          </cell>
        </row>
        <row r="259">
          <cell r="C259" t="str">
            <v>男</v>
          </cell>
          <cell r="BF259" t="str">
            <v>532125198511231113</v>
          </cell>
        </row>
        <row r="260">
          <cell r="C260" t="str">
            <v>男</v>
          </cell>
          <cell r="BF260" t="str">
            <v>532329198903051732</v>
          </cell>
        </row>
        <row r="261">
          <cell r="C261" t="str">
            <v>男</v>
          </cell>
          <cell r="BF261" t="str">
            <v>530124199309111712</v>
          </cell>
        </row>
        <row r="262">
          <cell r="C262" t="str">
            <v>女</v>
          </cell>
          <cell r="BF262" t="str">
            <v>532501198906172841</v>
          </cell>
        </row>
        <row r="263">
          <cell r="C263" t="str">
            <v>女</v>
          </cell>
          <cell r="BF263" t="str">
            <v>422802198906156849</v>
          </cell>
        </row>
        <row r="264">
          <cell r="C264" t="str">
            <v>男</v>
          </cell>
          <cell r="BF264" t="str">
            <v>530127199209150019</v>
          </cell>
        </row>
        <row r="265">
          <cell r="C265" t="str">
            <v>男</v>
          </cell>
          <cell r="BF265" t="str">
            <v>532625198801150335</v>
          </cell>
        </row>
        <row r="266">
          <cell r="C266" t="str">
            <v>男</v>
          </cell>
          <cell r="BF266" t="str">
            <v>532527198209162377</v>
          </cell>
        </row>
        <row r="267">
          <cell r="C267" t="str">
            <v>男</v>
          </cell>
          <cell r="BF267" t="str">
            <v>532128198202186354</v>
          </cell>
        </row>
        <row r="268">
          <cell r="C268" t="str">
            <v>男</v>
          </cell>
          <cell r="BF268" t="str">
            <v>532325198612210718</v>
          </cell>
        </row>
        <row r="269">
          <cell r="C269" t="str">
            <v>女</v>
          </cell>
          <cell r="BF269" t="str">
            <v>420821198712044109</v>
          </cell>
        </row>
        <row r="270">
          <cell r="C270" t="str">
            <v>男</v>
          </cell>
          <cell r="BF270" t="str">
            <v>532128198707094754</v>
          </cell>
        </row>
        <row r="271">
          <cell r="C271" t="str">
            <v>男</v>
          </cell>
          <cell r="BF271" t="str">
            <v>530381199012153514</v>
          </cell>
        </row>
        <row r="272">
          <cell r="C272" t="str">
            <v>女</v>
          </cell>
          <cell r="BF272" t="str">
            <v>530113198110230024</v>
          </cell>
        </row>
        <row r="273">
          <cell r="C273" t="str">
            <v>男</v>
          </cell>
          <cell r="BF273" t="str">
            <v>530102198808021110</v>
          </cell>
        </row>
        <row r="274">
          <cell r="C274" t="str">
            <v>女</v>
          </cell>
          <cell r="BF274" t="str">
            <v>532123198509035348</v>
          </cell>
        </row>
        <row r="275">
          <cell r="C275" t="str">
            <v>男</v>
          </cell>
          <cell r="BF275" t="str">
            <v>533022198612062634</v>
          </cell>
        </row>
        <row r="276">
          <cell r="C276" t="str">
            <v>男</v>
          </cell>
          <cell r="BF276" t="str">
            <v>532224198010183319</v>
          </cell>
        </row>
        <row r="277">
          <cell r="C277" t="str">
            <v>男</v>
          </cell>
          <cell r="BF277" t="str">
            <v>530323197709021316</v>
          </cell>
        </row>
        <row r="278">
          <cell r="C278" t="str">
            <v>男</v>
          </cell>
          <cell r="BF278" t="str">
            <v>530421198506201912</v>
          </cell>
        </row>
        <row r="279">
          <cell r="C279" t="str">
            <v>男</v>
          </cell>
          <cell r="BF279" t="str">
            <v>532501199112131532</v>
          </cell>
        </row>
        <row r="280">
          <cell r="C280" t="str">
            <v>男</v>
          </cell>
          <cell r="BF280" t="str">
            <v>530124197104180037</v>
          </cell>
        </row>
        <row r="281">
          <cell r="C281" t="str">
            <v>男</v>
          </cell>
          <cell r="BF281" t="str">
            <v>530124198003272316</v>
          </cell>
        </row>
        <row r="282">
          <cell r="C282" t="str">
            <v>男</v>
          </cell>
          <cell r="BF282" t="str">
            <v>530124199010012613</v>
          </cell>
        </row>
        <row r="283">
          <cell r="C283" t="str">
            <v>男</v>
          </cell>
          <cell r="BF283" t="str">
            <v>530326198701280819</v>
          </cell>
        </row>
        <row r="284">
          <cell r="C284" t="str">
            <v>男</v>
          </cell>
          <cell r="BF284" t="str">
            <v>532527198610012615</v>
          </cell>
        </row>
        <row r="285">
          <cell r="C285" t="str">
            <v>男</v>
          </cell>
          <cell r="BF285" t="str">
            <v>532526198505250236</v>
          </cell>
        </row>
        <row r="286">
          <cell r="C286" t="str">
            <v>男</v>
          </cell>
          <cell r="BF286" t="str">
            <v>530124197012020036</v>
          </cell>
        </row>
        <row r="287">
          <cell r="C287" t="str">
            <v>男</v>
          </cell>
          <cell r="BF287" t="str">
            <v>530124198301110016</v>
          </cell>
        </row>
        <row r="288">
          <cell r="C288" t="str">
            <v>男</v>
          </cell>
          <cell r="BF288" t="str">
            <v>53012419820527001X</v>
          </cell>
        </row>
        <row r="289">
          <cell r="C289" t="str">
            <v>男</v>
          </cell>
          <cell r="BF289" t="str">
            <v>530124198602071110</v>
          </cell>
        </row>
        <row r="290">
          <cell r="C290" t="str">
            <v>男</v>
          </cell>
          <cell r="BF290" t="str">
            <v>530125198502261335</v>
          </cell>
        </row>
        <row r="291">
          <cell r="C291" t="str">
            <v>女</v>
          </cell>
          <cell r="BF291" t="str">
            <v>530124197609172323</v>
          </cell>
        </row>
        <row r="292">
          <cell r="C292" t="str">
            <v>女</v>
          </cell>
          <cell r="BF292" t="str">
            <v>450981198407182385</v>
          </cell>
        </row>
        <row r="293">
          <cell r="C293" t="str">
            <v>男</v>
          </cell>
          <cell r="BF293" t="str">
            <v>530124197711080038</v>
          </cell>
        </row>
        <row r="294">
          <cell r="C294" t="str">
            <v>男</v>
          </cell>
          <cell r="BF294" t="str">
            <v>530125198610211319</v>
          </cell>
        </row>
        <row r="295">
          <cell r="C295" t="str">
            <v>男</v>
          </cell>
          <cell r="BF295" t="str">
            <v>530103197102082933</v>
          </cell>
        </row>
        <row r="296">
          <cell r="C296" t="str">
            <v>男</v>
          </cell>
          <cell r="BF296" t="str">
            <v>530124197609232015</v>
          </cell>
        </row>
        <row r="297">
          <cell r="C297" t="str">
            <v>女</v>
          </cell>
          <cell r="BF297" t="str">
            <v>510322198208120046</v>
          </cell>
        </row>
        <row r="298">
          <cell r="C298" t="str">
            <v>男</v>
          </cell>
          <cell r="BF298" t="str">
            <v>532502198212110319</v>
          </cell>
        </row>
        <row r="299">
          <cell r="C299" t="str">
            <v>女</v>
          </cell>
          <cell r="BF299" t="str">
            <v>530124198109020045</v>
          </cell>
        </row>
        <row r="300">
          <cell r="C300" t="str">
            <v>男</v>
          </cell>
          <cell r="BF300" t="str">
            <v>530102197405231135</v>
          </cell>
        </row>
        <row r="301">
          <cell r="C301" t="str">
            <v>男</v>
          </cell>
          <cell r="BF301" t="str">
            <v>530122197706013014</v>
          </cell>
        </row>
        <row r="302">
          <cell r="C302" t="str">
            <v>男</v>
          </cell>
          <cell r="BF302" t="str">
            <v>530124197510250010</v>
          </cell>
        </row>
        <row r="303">
          <cell r="C303" t="str">
            <v>男</v>
          </cell>
          <cell r="BF303" t="str">
            <v>440803197903142939</v>
          </cell>
        </row>
        <row r="304">
          <cell r="C304" t="str">
            <v>女</v>
          </cell>
          <cell r="BF304" t="str">
            <v>532123198012122825</v>
          </cell>
        </row>
        <row r="305">
          <cell r="C305" t="str">
            <v>男</v>
          </cell>
          <cell r="BF305" t="str">
            <v>53012419760206141X</v>
          </cell>
        </row>
        <row r="306">
          <cell r="C306" t="str">
            <v>男</v>
          </cell>
          <cell r="BF306" t="str">
            <v>530124198212172311</v>
          </cell>
        </row>
        <row r="307">
          <cell r="C307" t="str">
            <v>男</v>
          </cell>
          <cell r="BF307" t="str">
            <v>530124197209290056</v>
          </cell>
        </row>
        <row r="308">
          <cell r="C308" t="str">
            <v>男</v>
          </cell>
          <cell r="BF308" t="str">
            <v>530124198810020019</v>
          </cell>
        </row>
        <row r="309">
          <cell r="C309" t="str">
            <v>女</v>
          </cell>
          <cell r="BF309" t="str">
            <v>533123198712052080</v>
          </cell>
        </row>
        <row r="310">
          <cell r="C310" t="str">
            <v>男</v>
          </cell>
          <cell r="BF310" t="str">
            <v>532932198012210315</v>
          </cell>
        </row>
        <row r="311">
          <cell r="C311" t="str">
            <v>男</v>
          </cell>
          <cell r="BF311" t="str">
            <v>430602198001197717</v>
          </cell>
        </row>
        <row r="312">
          <cell r="C312" t="str">
            <v>男</v>
          </cell>
          <cell r="BF312" t="str">
            <v>530328198411052132</v>
          </cell>
        </row>
        <row r="313">
          <cell r="C313" t="str">
            <v>男</v>
          </cell>
          <cell r="BF313" t="str">
            <v>530124199005201110</v>
          </cell>
        </row>
        <row r="314">
          <cell r="C314" t="str">
            <v>男</v>
          </cell>
          <cell r="BF314" t="str">
            <v>530124199006080015</v>
          </cell>
        </row>
        <row r="315">
          <cell r="C315" t="str">
            <v>男</v>
          </cell>
          <cell r="BF315" t="str">
            <v>532422197507190710</v>
          </cell>
        </row>
        <row r="316">
          <cell r="C316" t="str">
            <v>男</v>
          </cell>
          <cell r="BF316" t="str">
            <v>53232519710928001X</v>
          </cell>
        </row>
        <row r="317">
          <cell r="C317" t="str">
            <v>男</v>
          </cell>
          <cell r="BF317" t="str">
            <v>53230119720925001X</v>
          </cell>
        </row>
        <row r="318">
          <cell r="C318" t="str">
            <v>男</v>
          </cell>
          <cell r="BF318" t="str">
            <v>530111197110092015</v>
          </cell>
        </row>
        <row r="319">
          <cell r="C319" t="str">
            <v>男</v>
          </cell>
          <cell r="BF319" t="str">
            <v>530127198205283215</v>
          </cell>
        </row>
        <row r="320">
          <cell r="C320" t="str">
            <v>男</v>
          </cell>
          <cell r="BF320" t="str">
            <v>530126198305101013</v>
          </cell>
        </row>
        <row r="321">
          <cell r="C321" t="str">
            <v>男</v>
          </cell>
          <cell r="BF321" t="str">
            <v>530111198109290035</v>
          </cell>
        </row>
        <row r="322">
          <cell r="C322" t="str">
            <v>女</v>
          </cell>
          <cell r="BF322" t="str">
            <v>530124198001042322</v>
          </cell>
        </row>
        <row r="323">
          <cell r="C323" t="str">
            <v>男</v>
          </cell>
          <cell r="BF323" t="str">
            <v>530111197903170036</v>
          </cell>
        </row>
        <row r="324">
          <cell r="C324" t="str">
            <v>女</v>
          </cell>
          <cell r="BF324" t="str">
            <v>530102196810150369</v>
          </cell>
        </row>
        <row r="325">
          <cell r="C325" t="str">
            <v>男</v>
          </cell>
          <cell r="BF325" t="str">
            <v>530111197107140012</v>
          </cell>
        </row>
        <row r="326">
          <cell r="C326" t="str">
            <v>男</v>
          </cell>
          <cell r="BF326" t="str">
            <v>532930198209151512</v>
          </cell>
        </row>
        <row r="327">
          <cell r="C327" t="str">
            <v>男</v>
          </cell>
          <cell r="BF327" t="str">
            <v>53222819700905035X</v>
          </cell>
        </row>
        <row r="328">
          <cell r="C328" t="str">
            <v>男</v>
          </cell>
          <cell r="BF328" t="str">
            <v>652801197805291613</v>
          </cell>
        </row>
        <row r="329">
          <cell r="C329" t="str">
            <v>男</v>
          </cell>
          <cell r="BF329" t="str">
            <v>530111197406222317</v>
          </cell>
        </row>
        <row r="330">
          <cell r="C330" t="str">
            <v>男</v>
          </cell>
          <cell r="BF330" t="str">
            <v>532501196909100617</v>
          </cell>
        </row>
        <row r="331">
          <cell r="C331" t="str">
            <v>男</v>
          </cell>
          <cell r="BF331" t="str">
            <v>532801197506250312</v>
          </cell>
        </row>
        <row r="332">
          <cell r="C332" t="str">
            <v>女</v>
          </cell>
          <cell r="BF332" t="str">
            <v>532123197903105047</v>
          </cell>
        </row>
        <row r="333">
          <cell r="C333" t="str">
            <v>男</v>
          </cell>
          <cell r="BF333" t="str">
            <v>530103196511050911</v>
          </cell>
        </row>
        <row r="334">
          <cell r="C334" t="str">
            <v>男</v>
          </cell>
          <cell r="BF334" t="str">
            <v>532426196306131731</v>
          </cell>
        </row>
        <row r="335">
          <cell r="C335" t="str">
            <v>女</v>
          </cell>
          <cell r="BF335" t="str">
            <v>530112197805290321</v>
          </cell>
        </row>
        <row r="336">
          <cell r="C336" t="str">
            <v>男</v>
          </cell>
          <cell r="BF336" t="str">
            <v>530103196504263716</v>
          </cell>
        </row>
        <row r="337">
          <cell r="C337" t="str">
            <v>男</v>
          </cell>
          <cell r="BF337" t="str">
            <v>360402197110020052</v>
          </cell>
        </row>
        <row r="338">
          <cell r="C338" t="str">
            <v>男</v>
          </cell>
          <cell r="BF338" t="str">
            <v>530103197111102510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tabSelected="1" topLeftCell="K1" workbookViewId="0">
      <pane ySplit="3" topLeftCell="A4" activePane="bottomLeft" state="frozen"/>
      <selection pane="bottomLeft" activeCell="S33" sqref="S33"/>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style="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89" t="s">
        <v>0</v>
      </c>
      <c r="B1" s="90"/>
      <c r="C1" s="90"/>
      <c r="D1" s="90"/>
      <c r="E1" s="90"/>
      <c r="F1" s="90"/>
      <c r="G1" s="90"/>
      <c r="H1" s="90"/>
      <c r="I1" s="90"/>
      <c r="J1" s="90"/>
      <c r="K1" s="90"/>
      <c r="L1" s="90"/>
      <c r="M1" s="90"/>
      <c r="N1" s="90"/>
      <c r="O1" s="90"/>
      <c r="P1" s="90"/>
      <c r="Q1" s="90"/>
      <c r="R1" s="90"/>
      <c r="S1" s="90"/>
      <c r="T1" s="90"/>
      <c r="U1" s="90"/>
      <c r="V1" s="90"/>
      <c r="W1" s="90"/>
      <c r="X1" s="90"/>
      <c r="Y1" s="90"/>
    </row>
    <row r="2" spans="1:25" ht="18" customHeight="1" x14ac:dyDescent="0.25">
      <c r="A2" s="91" t="s">
        <v>1</v>
      </c>
      <c r="B2" s="90"/>
      <c r="C2" s="90"/>
      <c r="D2" s="90"/>
      <c r="E2" s="90"/>
      <c r="F2" s="90"/>
      <c r="G2" s="90"/>
      <c r="H2" s="90"/>
      <c r="I2" s="90"/>
      <c r="J2" s="90"/>
      <c r="K2" s="90"/>
      <c r="L2" s="90"/>
      <c r="M2" s="90"/>
      <c r="N2" s="90"/>
      <c r="O2" s="90"/>
      <c r="P2" s="90"/>
      <c r="Q2" s="90"/>
      <c r="R2" s="90"/>
      <c r="S2" s="90"/>
      <c r="T2" s="90"/>
      <c r="U2" s="90"/>
      <c r="V2" s="90"/>
      <c r="W2" s="90"/>
      <c r="X2" s="90"/>
      <c r="Y2" s="90"/>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4" t="s">
        <v>17</v>
      </c>
      <c r="Q3" s="1" t="s">
        <v>18</v>
      </c>
      <c r="R3" s="1" t="s">
        <v>19</v>
      </c>
      <c r="S3" s="1" t="s">
        <v>20</v>
      </c>
      <c r="T3" s="1" t="s">
        <v>21</v>
      </c>
      <c r="U3" s="1" t="s">
        <v>22</v>
      </c>
      <c r="V3" s="1" t="s">
        <v>23</v>
      </c>
      <c r="W3" s="1" t="s">
        <v>24</v>
      </c>
      <c r="X3" s="1" t="s">
        <v>7045</v>
      </c>
      <c r="Y3" s="1" t="s">
        <v>25</v>
      </c>
    </row>
    <row r="4" spans="1:25" ht="18" customHeight="1" x14ac:dyDescent="0.25">
      <c r="A4" s="8" t="s">
        <v>2202</v>
      </c>
      <c r="B4" s="8" t="s">
        <v>2208</v>
      </c>
      <c r="C4" s="2" t="s">
        <v>26</v>
      </c>
      <c r="D4" s="10" t="s">
        <v>3618</v>
      </c>
      <c r="E4" s="2" t="s">
        <v>27</v>
      </c>
      <c r="F4" s="2" t="s">
        <v>119</v>
      </c>
      <c r="G4" s="2" t="s">
        <v>270</v>
      </c>
      <c r="H4" s="2" t="s">
        <v>253</v>
      </c>
      <c r="I4" s="2" t="s">
        <v>1572</v>
      </c>
      <c r="J4" s="2"/>
      <c r="K4" s="2"/>
      <c r="L4" s="2"/>
      <c r="M4" s="2"/>
      <c r="N4" s="2"/>
      <c r="O4" s="2" t="str">
        <f>_xlfn.LET(_xlpm.x, _xlfn.XLOOKUP(B4,Sheet3!N:N,Sheet3!O:O,""), IF(_xlpm.x=0,"",_xlpm.x))</f>
        <v>遵化市公安局</v>
      </c>
      <c r="P4" s="77" t="s">
        <v>7364</v>
      </c>
      <c r="Q4" s="2" t="s">
        <v>2209</v>
      </c>
      <c r="R4" s="2" t="s">
        <v>33</v>
      </c>
      <c r="S4" s="2">
        <v>13529376880</v>
      </c>
      <c r="T4" s="2" t="s">
        <v>244</v>
      </c>
      <c r="U4" s="2"/>
      <c r="V4" s="2" t="str">
        <f>_xlfn.LET(_xlpm.x, _xlfn.XLOOKUP(X4,家庭成员!J:J,家庭成员!D:D,""), IF(_xlpm.x=0,"",_xlpm.x))</f>
        <v>刘志新</v>
      </c>
      <c r="W4" s="2" t="str">
        <f>_xlfn.LET(_xlpm.x, _xlfn.XLOOKUP(X4,家庭成员!J:J,家庭成员!C:C,""), IF(_xlpm.x=0,"",_xlpm.x))</f>
        <v>哥哥</v>
      </c>
      <c r="X4" s="2" t="s">
        <v>2214</v>
      </c>
      <c r="Y4" s="2" t="s">
        <v>34</v>
      </c>
    </row>
    <row r="5" spans="1:25" ht="18" customHeight="1" x14ac:dyDescent="0.25">
      <c r="A5" s="8" t="s">
        <v>1569</v>
      </c>
      <c r="B5" s="8" t="s">
        <v>1578</v>
      </c>
      <c r="C5" s="2" t="s">
        <v>26</v>
      </c>
      <c r="D5" s="10" t="s">
        <v>3619</v>
      </c>
      <c r="E5" s="2" t="s">
        <v>27</v>
      </c>
      <c r="F5" s="2" t="s">
        <v>28</v>
      </c>
      <c r="G5" s="2" t="s">
        <v>252</v>
      </c>
      <c r="H5" s="2" t="s">
        <v>29</v>
      </c>
      <c r="I5" s="2" t="s">
        <v>1572</v>
      </c>
      <c r="J5" s="2"/>
      <c r="K5" s="2"/>
      <c r="L5" s="2"/>
      <c r="M5" s="2"/>
      <c r="N5" s="2"/>
      <c r="O5" s="2" t="str">
        <f>_xlfn.LET(_xlpm.x, _xlfn.XLOOKUP(B5,Sheet3!N:N,Sheet3!O:O,""), IF(_xlpm.x=0,"",_xlpm.x))</f>
        <v>昆明市公安局呈贡分局</v>
      </c>
      <c r="P5" s="77" t="s">
        <v>2127</v>
      </c>
      <c r="Q5" s="2" t="s">
        <v>1579</v>
      </c>
      <c r="R5" s="2" t="s">
        <v>33</v>
      </c>
      <c r="S5" s="2">
        <v>13099910170</v>
      </c>
      <c r="T5" s="2" t="s">
        <v>1570</v>
      </c>
      <c r="U5" s="2"/>
      <c r="V5" s="2" t="str">
        <f>_xlfn.LET(_xlpm.x, _xlfn.XLOOKUP(X5,家庭成员!J:J,家庭成员!D:D,""), IF(_xlpm.x=0,"",_xlpm.x))</f>
        <v>赵利平</v>
      </c>
      <c r="W5" s="2" t="str">
        <f>_xlfn.LET(_xlpm.x, _xlfn.XLOOKUP(X5,家庭成员!J:J,家庭成员!C:C,""), IF(_xlpm.x=0,"",_xlpm.x))</f>
        <v>父亲</v>
      </c>
      <c r="X5" s="2" t="s">
        <v>1582</v>
      </c>
      <c r="Y5" s="2" t="s">
        <v>34</v>
      </c>
    </row>
    <row r="6" spans="1:25" ht="15.6" x14ac:dyDescent="0.25">
      <c r="A6" s="8" t="s">
        <v>2780</v>
      </c>
      <c r="B6" s="8" t="s">
        <v>2784</v>
      </c>
      <c r="C6" s="2" t="str">
        <f>_xlfn.XLOOKUP(B6,[1]Sheet2!BF:BF, [1]Sheet2!C:C, "")</f>
        <v>男</v>
      </c>
      <c r="D6" s="10" t="s">
        <v>3620</v>
      </c>
      <c r="E6" s="2" t="s">
        <v>27</v>
      </c>
      <c r="F6" s="2" t="s">
        <v>3617</v>
      </c>
      <c r="G6" s="2" t="s">
        <v>252</v>
      </c>
      <c r="H6" s="2" t="s">
        <v>29</v>
      </c>
      <c r="I6" s="2" t="s">
        <v>1765</v>
      </c>
      <c r="O6" s="2" t="str">
        <f>_xlfn.LET(_xlpm.x, _xlfn.XLOOKUP(B6,Sheet3!N:N,Sheet3!O:O,""), IF(_xlpm.x=0,"",_xlpm.x))</f>
        <v>富民县公安局</v>
      </c>
      <c r="P6" s="77" t="s">
        <v>7092</v>
      </c>
      <c r="Q6" s="2" t="s">
        <v>2785</v>
      </c>
      <c r="R6" s="2" t="s">
        <v>33</v>
      </c>
      <c r="S6" s="2">
        <v>18288254549</v>
      </c>
      <c r="T6" s="2" t="s">
        <v>244</v>
      </c>
      <c r="V6" s="2" t="str">
        <f>_xlfn.LET(_xlpm.x, _xlfn.XLOOKUP(X6,家庭成员!J:J,家庭成员!D:D,""), IF(_xlpm.x=0,"",_xlpm.x))</f>
        <v>何玉宝</v>
      </c>
      <c r="W6" s="2" t="str">
        <f>_xlfn.LET(_xlpm.x, _xlfn.XLOOKUP(X6,家庭成员!J:J,家庭成员!C:C,""), IF(_xlpm.x=0,"",_xlpm.x))</f>
        <v>父亲</v>
      </c>
      <c r="X6" s="2" t="s">
        <v>2789</v>
      </c>
      <c r="Y6" s="2" t="s">
        <v>34</v>
      </c>
    </row>
    <row r="7" spans="1:25" ht="15.6" x14ac:dyDescent="0.25">
      <c r="A7" s="8" t="s">
        <v>1763</v>
      </c>
      <c r="B7" s="8" t="s">
        <v>1768</v>
      </c>
      <c r="C7" s="2" t="str">
        <f>_xlfn.XLOOKUP(B7,[1]Sheet2!BF:BF, [1]Sheet2!C:C, "")</f>
        <v>男</v>
      </c>
      <c r="D7" s="10" t="s">
        <v>3621</v>
      </c>
      <c r="E7" s="2" t="s">
        <v>27</v>
      </c>
      <c r="F7" s="2" t="s">
        <v>119</v>
      </c>
      <c r="G7" s="2" t="s">
        <v>270</v>
      </c>
      <c r="H7" s="2" t="s">
        <v>253</v>
      </c>
      <c r="I7" s="2" t="s">
        <v>1765</v>
      </c>
      <c r="O7" s="2" t="str">
        <f>_xlfn.LET(_xlpm.x, _xlfn.XLOOKUP(B7,Sheet3!N:N,Sheet3!O:O,""), IF(_xlpm.x=0,"",_xlpm.x))</f>
        <v>南安市公安局</v>
      </c>
      <c r="P7" s="77" t="s">
        <v>7093</v>
      </c>
      <c r="Q7" s="2" t="s">
        <v>1769</v>
      </c>
      <c r="R7" s="2" t="s">
        <v>33</v>
      </c>
      <c r="S7" s="2">
        <v>18687826937</v>
      </c>
      <c r="T7" s="2" t="s">
        <v>244</v>
      </c>
      <c r="V7" s="2" t="str">
        <f>_xlfn.LET(_xlpm.x, _xlfn.XLOOKUP(X7,家庭成员!J:J,家庭成员!D:D,""), IF(_xlpm.x=0,"",_xlpm.x))</f>
        <v>洪爱添</v>
      </c>
      <c r="W7" s="2" t="str">
        <f>_xlfn.LET(_xlpm.x, _xlfn.XLOOKUP(X7,家庭成员!J:J,家庭成员!C:C,""), IF(_xlpm.x=0,"",_xlpm.x))</f>
        <v>父亲</v>
      </c>
      <c r="X7" s="2" t="s">
        <v>1771</v>
      </c>
      <c r="Y7" s="2" t="s">
        <v>34</v>
      </c>
    </row>
    <row r="8" spans="1:25" ht="15.6" x14ac:dyDescent="0.25">
      <c r="A8" s="8" t="s">
        <v>3595</v>
      </c>
      <c r="B8" s="8" t="s">
        <v>3601</v>
      </c>
      <c r="C8" s="2" t="str">
        <f>_xlfn.XLOOKUP(B8,[1]Sheet2!BF:BF, [1]Sheet2!C:C, "")</f>
        <v>男</v>
      </c>
      <c r="D8" s="10" t="s">
        <v>3622</v>
      </c>
      <c r="E8" s="2" t="s">
        <v>27</v>
      </c>
      <c r="F8" s="2" t="s">
        <v>119</v>
      </c>
      <c r="G8" s="2" t="s">
        <v>252</v>
      </c>
      <c r="H8" s="2" t="s">
        <v>29</v>
      </c>
      <c r="I8" s="2" t="s">
        <v>102</v>
      </c>
      <c r="O8" s="2" t="str">
        <f>_xlfn.LET(_xlpm.x, _xlfn.XLOOKUP(B8,Sheet3!N:N,Sheet3!O:O,""), IF(_xlpm.x=0,"",_xlpm.x))</f>
        <v>昆明市公安局五华分局</v>
      </c>
      <c r="P8" s="77" t="s">
        <v>7094</v>
      </c>
      <c r="Q8" s="2" t="s">
        <v>3602</v>
      </c>
      <c r="R8" s="2" t="s">
        <v>33</v>
      </c>
      <c r="S8" s="2">
        <v>13700628546</v>
      </c>
      <c r="T8" s="2" t="s">
        <v>244</v>
      </c>
      <c r="V8" s="2" t="str">
        <f>_xlfn.LET(_xlpm.x, _xlfn.XLOOKUP(X8,家庭成员!J:J,家庭成员!D:D,""), IF(_xlpm.x=0,"",_xlpm.x))</f>
        <v>卢艳</v>
      </c>
      <c r="W8" s="2" t="str">
        <f>_xlfn.LET(_xlpm.x, _xlfn.XLOOKUP(X8,家庭成员!J:J,家庭成员!C:C,""), IF(_xlpm.x=0,"",_xlpm.x))</f>
        <v>妻子</v>
      </c>
      <c r="X8" s="2" t="s">
        <v>3605</v>
      </c>
      <c r="Y8" s="2" t="s">
        <v>34</v>
      </c>
    </row>
    <row r="9" spans="1:25" ht="15.6" x14ac:dyDescent="0.25">
      <c r="A9" s="8" t="s">
        <v>2645</v>
      </c>
      <c r="B9" s="8" t="s">
        <v>2651</v>
      </c>
      <c r="C9" s="2" t="str">
        <f>_xlfn.XLOOKUP(B9,[1]Sheet2!BF:BF, [1]Sheet2!C:C, "")</f>
        <v>男</v>
      </c>
      <c r="D9" s="10" t="s">
        <v>3623</v>
      </c>
      <c r="E9" s="2" t="s">
        <v>27</v>
      </c>
      <c r="F9" s="2" t="s">
        <v>119</v>
      </c>
      <c r="G9" s="2" t="s">
        <v>252</v>
      </c>
      <c r="H9" s="2" t="s">
        <v>29</v>
      </c>
      <c r="I9" s="2" t="s">
        <v>2647</v>
      </c>
      <c r="O9" s="2" t="str">
        <f>_xlfn.LET(_xlpm.x, _xlfn.XLOOKUP(B9,Sheet3!N:N,Sheet3!O:O,""), IF(_xlpm.x=0,"",_xlpm.x))</f>
        <v>昆明市公安局西山分局</v>
      </c>
      <c r="P9" s="77" t="s">
        <v>7095</v>
      </c>
      <c r="Q9" s="2" t="s">
        <v>2652</v>
      </c>
      <c r="R9" s="2" t="s">
        <v>33</v>
      </c>
      <c r="S9" s="2">
        <v>13529267230</v>
      </c>
      <c r="T9" s="2" t="s">
        <v>244</v>
      </c>
      <c r="V9" s="2" t="str">
        <f>_xlfn.LET(_xlpm.x, _xlfn.XLOOKUP(X9,家庭成员!J:J,家庭成员!D:D,""), IF(_xlpm.x=0,"",_xlpm.x))</f>
        <v/>
      </c>
      <c r="W9" s="2" t="str">
        <f>_xlfn.LET(_xlpm.x, _xlfn.XLOOKUP(X9,家庭成员!J:J,家庭成员!C:C,""), IF(_xlpm.x=0,"",_xlpm.x))</f>
        <v/>
      </c>
      <c r="X9" s="2" t="s">
        <v>244</v>
      </c>
      <c r="Y9" s="2" t="s">
        <v>34</v>
      </c>
    </row>
    <row r="10" spans="1:25" ht="15.6" x14ac:dyDescent="0.25">
      <c r="A10" s="8" t="s">
        <v>1714</v>
      </c>
      <c r="B10" s="8" t="s">
        <v>1721</v>
      </c>
      <c r="C10" s="2" t="str">
        <f>_xlfn.XLOOKUP(B10,[1]Sheet2!BF:BF, [1]Sheet2!C:C, "")</f>
        <v>男</v>
      </c>
      <c r="D10" s="10" t="s">
        <v>3624</v>
      </c>
      <c r="E10" s="2" t="s">
        <v>27</v>
      </c>
      <c r="F10" s="2" t="s">
        <v>119</v>
      </c>
      <c r="G10" s="2" t="s">
        <v>270</v>
      </c>
      <c r="H10" s="2" t="s">
        <v>29</v>
      </c>
      <c r="I10" s="2" t="s">
        <v>416</v>
      </c>
      <c r="O10" s="2" t="str">
        <f>_xlfn.LET(_xlpm.x, _xlfn.XLOOKUP(B10,Sheet3!N:N,Sheet3!O:O,""), IF(_xlpm.x=0,"",_xlpm.x))</f>
        <v>广饶县公安局</v>
      </c>
      <c r="P10" s="77" t="s">
        <v>7096</v>
      </c>
      <c r="Q10" s="2" t="s">
        <v>1722</v>
      </c>
      <c r="R10" s="2" t="s">
        <v>33</v>
      </c>
      <c r="S10" s="2">
        <v>13808750320</v>
      </c>
      <c r="T10" s="2" t="s">
        <v>244</v>
      </c>
      <c r="V10" s="2" t="str">
        <f>_xlfn.LET(_xlpm.x, _xlfn.XLOOKUP(X10,家庭成员!J:J,家庭成员!D:D,""), IF(_xlpm.x=0,"",_xlpm.x))</f>
        <v/>
      </c>
      <c r="W10" s="2" t="str">
        <f>_xlfn.LET(_xlpm.x, _xlfn.XLOOKUP(X10,家庭成员!J:J,家庭成员!C:C,""), IF(_xlpm.x=0,"",_xlpm.x))</f>
        <v/>
      </c>
      <c r="X10" s="2" t="s">
        <v>244</v>
      </c>
      <c r="Y10" s="2" t="s">
        <v>34</v>
      </c>
    </row>
    <row r="11" spans="1:25" ht="15.6" x14ac:dyDescent="0.25">
      <c r="A11" s="8" t="s">
        <v>2215</v>
      </c>
      <c r="B11" s="8" t="s">
        <v>2219</v>
      </c>
      <c r="C11" s="2" t="str">
        <f>_xlfn.XLOOKUP(B11,[1]Sheet2!BF:BF, [1]Sheet2!C:C, "")</f>
        <v>男</v>
      </c>
      <c r="D11" s="10" t="s">
        <v>3625</v>
      </c>
      <c r="E11" s="2" t="s">
        <v>27</v>
      </c>
      <c r="F11" s="2" t="s">
        <v>119</v>
      </c>
      <c r="G11" s="2" t="s">
        <v>270</v>
      </c>
      <c r="H11" s="2" t="s">
        <v>29</v>
      </c>
      <c r="I11" s="2" t="s">
        <v>1207</v>
      </c>
      <c r="O11" s="2" t="str">
        <f>_xlfn.LET(_xlpm.x, _xlfn.XLOOKUP(B11,Sheet3!N:N,Sheet3!O:O,""), IF(_xlpm.x=0,"",_xlpm.x))</f>
        <v>遂平县公安局</v>
      </c>
      <c r="P11" s="77" t="s">
        <v>7097</v>
      </c>
      <c r="Q11" s="2" t="s">
        <v>2220</v>
      </c>
      <c r="R11" s="2" t="s">
        <v>33</v>
      </c>
      <c r="S11" s="2">
        <v>18088139157</v>
      </c>
      <c r="T11" s="2" t="s">
        <v>244</v>
      </c>
      <c r="V11" s="2" t="str">
        <f>_xlfn.LET(_xlpm.x, _xlfn.XLOOKUP(X11,家庭成员!J:J,家庭成员!D:D,""), IF(_xlpm.x=0,"",_xlpm.x))</f>
        <v/>
      </c>
      <c r="W11" s="2" t="str">
        <f>_xlfn.LET(_xlpm.x, _xlfn.XLOOKUP(X11,家庭成员!J:J,家庭成员!C:C,""), IF(_xlpm.x=0,"",_xlpm.x))</f>
        <v/>
      </c>
      <c r="X11" s="2" t="s">
        <v>244</v>
      </c>
      <c r="Y11" s="2" t="s">
        <v>34</v>
      </c>
    </row>
    <row r="12" spans="1:25" ht="15.6" x14ac:dyDescent="0.25">
      <c r="A12" s="8" t="s">
        <v>1205</v>
      </c>
      <c r="B12" s="8" t="s">
        <v>1212</v>
      </c>
      <c r="C12" s="2" t="str">
        <f>_xlfn.XLOOKUP(B12,[1]Sheet2!BF:BF, [1]Sheet2!C:C, "")</f>
        <v>男</v>
      </c>
      <c r="D12" s="10" t="s">
        <v>3626</v>
      </c>
      <c r="E12" s="2" t="s">
        <v>27</v>
      </c>
      <c r="F12" s="2" t="s">
        <v>28</v>
      </c>
      <c r="G12" s="2" t="s">
        <v>270</v>
      </c>
      <c r="H12" s="2" t="s">
        <v>29</v>
      </c>
      <c r="I12" s="2" t="s">
        <v>1207</v>
      </c>
      <c r="O12" s="2" t="str">
        <f>_xlfn.LET(_xlpm.x, _xlfn.XLOOKUP(B12,Sheet3!N:N,Sheet3!O:O,""), IF(_xlpm.x=0,"",_xlpm.x))</f>
        <v>西平县公安局</v>
      </c>
      <c r="P12" s="77" t="s">
        <v>7098</v>
      </c>
      <c r="Q12" s="2" t="s">
        <v>1213</v>
      </c>
      <c r="R12" s="2" t="s">
        <v>33</v>
      </c>
      <c r="S12" s="2">
        <v>17787276870</v>
      </c>
      <c r="T12" s="2" t="s">
        <v>244</v>
      </c>
      <c r="V12" s="2" t="str">
        <f>_xlfn.LET(_xlpm.x, _xlfn.XLOOKUP(X12,家庭成员!J:J,家庭成员!D:D,""), IF(_xlpm.x=0,"",_xlpm.x))</f>
        <v>于献林</v>
      </c>
      <c r="W12" s="2" t="str">
        <f>_xlfn.LET(_xlpm.x, _xlfn.XLOOKUP(X12,家庭成员!J:J,家庭成员!C:C,""), IF(_xlpm.x=0,"",_xlpm.x))</f>
        <v>父亲</v>
      </c>
      <c r="X12" s="2" t="s">
        <v>1216</v>
      </c>
      <c r="Y12" s="2" t="s">
        <v>34</v>
      </c>
    </row>
    <row r="13" spans="1:25" ht="15.6" x14ac:dyDescent="0.25">
      <c r="A13" s="8" t="s">
        <v>2972</v>
      </c>
      <c r="B13" s="8" t="s">
        <v>2979</v>
      </c>
      <c r="C13" s="2" t="str">
        <f>_xlfn.XLOOKUP(B13,[1]Sheet2!BF:BF, [1]Sheet2!C:C, "")</f>
        <v>女</v>
      </c>
      <c r="D13" s="10" t="s">
        <v>3627</v>
      </c>
      <c r="E13" s="2" t="s">
        <v>27</v>
      </c>
      <c r="F13" s="2" t="s">
        <v>119</v>
      </c>
      <c r="G13" s="2" t="s">
        <v>474</v>
      </c>
      <c r="H13" s="2" t="s">
        <v>29</v>
      </c>
      <c r="I13" s="2" t="s">
        <v>1170</v>
      </c>
      <c r="O13" s="2" t="str">
        <f>_xlfn.LET(_xlpm.x, _xlfn.XLOOKUP(B13,Sheet3!N:N,Sheet3!O:O,""), IF(_xlpm.x=0,"",_xlpm.x))</f>
        <v>京山县公安局</v>
      </c>
      <c r="P13" s="77" t="s">
        <v>2185</v>
      </c>
      <c r="Q13" s="2" t="s">
        <v>2980</v>
      </c>
      <c r="R13" s="2" t="s">
        <v>33</v>
      </c>
      <c r="S13" s="2">
        <v>18287107848</v>
      </c>
      <c r="T13" s="2" t="s">
        <v>244</v>
      </c>
      <c r="V13" s="2" t="str">
        <f>_xlfn.LET(_xlpm.x, _xlfn.XLOOKUP(X13,家庭成员!J:J,家庭成员!D:D,""), IF(_xlpm.x=0,"",_xlpm.x))</f>
        <v>袁清</v>
      </c>
      <c r="W13" s="2" t="str">
        <f>_xlfn.LET(_xlpm.x, _xlfn.XLOOKUP(X13,家庭成员!J:J,家庭成员!C:C,""), IF(_xlpm.x=0,"",_xlpm.x))</f>
        <v>父亲</v>
      </c>
      <c r="X13" s="2" t="s">
        <v>2984</v>
      </c>
      <c r="Y13" s="2" t="s">
        <v>34</v>
      </c>
    </row>
    <row r="14" spans="1:25" ht="15.6" x14ac:dyDescent="0.25">
      <c r="A14" s="8" t="s">
        <v>1167</v>
      </c>
      <c r="B14" s="8" t="s">
        <v>1176</v>
      </c>
      <c r="C14" s="2" t="str">
        <f>_xlfn.XLOOKUP(B14,[1]Sheet2!BF:BF, [1]Sheet2!C:C, "")</f>
        <v>男</v>
      </c>
      <c r="D14" s="10" t="s">
        <v>3628</v>
      </c>
      <c r="E14" s="2" t="s">
        <v>27</v>
      </c>
      <c r="F14" s="2" t="s">
        <v>272</v>
      </c>
      <c r="G14" s="2" t="s">
        <v>293</v>
      </c>
      <c r="H14" s="2" t="s">
        <v>29</v>
      </c>
      <c r="I14" s="2" t="s">
        <v>1170</v>
      </c>
      <c r="O14" s="2" t="str">
        <f>_xlfn.LET(_xlpm.x, _xlfn.XLOOKUP(B14,Sheet3!N:N,Sheet3!O:O,""), IF(_xlpm.x=0,"",_xlpm.x))</f>
        <v>蕲春县公安局</v>
      </c>
      <c r="P14" s="77" t="s">
        <v>7099</v>
      </c>
      <c r="Q14" s="2" t="s">
        <v>1177</v>
      </c>
      <c r="R14" s="2" t="s">
        <v>33</v>
      </c>
      <c r="S14" s="2">
        <v>18588471698</v>
      </c>
      <c r="T14" s="2" t="s">
        <v>1168</v>
      </c>
      <c r="V14" s="2" t="str">
        <f>_xlfn.LET(_xlpm.x, _xlfn.XLOOKUP(X14,家庭成员!J:J,家庭成员!D:D,""), IF(_xlpm.x=0,"",_xlpm.x))</f>
        <v>王远锋</v>
      </c>
      <c r="W14" s="2" t="str">
        <f>_xlfn.LET(_xlpm.x, _xlfn.XLOOKUP(X14,家庭成员!J:J,家庭成员!C:C,""), IF(_xlpm.x=0,"",_xlpm.x))</f>
        <v>父亲</v>
      </c>
      <c r="X14" s="2" t="s">
        <v>1181</v>
      </c>
      <c r="Y14" s="2" t="s">
        <v>34</v>
      </c>
    </row>
    <row r="15" spans="1:25" ht="15.6" x14ac:dyDescent="0.25">
      <c r="A15" s="8" t="s">
        <v>2915</v>
      </c>
      <c r="B15" s="8" t="s">
        <v>2921</v>
      </c>
      <c r="C15" s="2" t="str">
        <f>_xlfn.XLOOKUP(B15,[1]Sheet2!BF:BF, [1]Sheet2!C:C, "")</f>
        <v>女</v>
      </c>
      <c r="D15" s="10" t="s">
        <v>3625</v>
      </c>
      <c r="E15" s="2" t="s">
        <v>27</v>
      </c>
      <c r="F15" s="2" t="s">
        <v>119</v>
      </c>
      <c r="G15" s="2" t="s">
        <v>270</v>
      </c>
      <c r="H15" s="2" t="s">
        <v>253</v>
      </c>
      <c r="I15" s="2" t="s">
        <v>1170</v>
      </c>
      <c r="O15" s="2" t="str">
        <f>_xlfn.LET(_xlpm.x, _xlfn.XLOOKUP(B15,Sheet3!N:N,Sheet3!O:O,""), IF(_xlpm.x=0,"",_xlpm.x))</f>
        <v>利川市公安局</v>
      </c>
      <c r="P15" s="77" t="s">
        <v>7100</v>
      </c>
      <c r="Q15" s="2" t="s">
        <v>2922</v>
      </c>
      <c r="R15" s="2" t="s">
        <v>33</v>
      </c>
      <c r="S15" s="2">
        <v>15198892198</v>
      </c>
      <c r="T15" s="2" t="s">
        <v>244</v>
      </c>
      <c r="V15" s="2" t="str">
        <f>_xlfn.LET(_xlpm.x, _xlfn.XLOOKUP(X15,家庭成员!J:J,家庭成员!D:D,""), IF(_xlpm.x=0,"",_xlpm.x))</f>
        <v>吕小娟</v>
      </c>
      <c r="W15" s="2" t="str">
        <f>_xlfn.LET(_xlpm.x, _xlfn.XLOOKUP(X15,家庭成员!J:J,家庭成员!C:C,""), IF(_xlpm.x=0,"",_xlpm.x))</f>
        <v>姐妹</v>
      </c>
      <c r="X15" s="2" t="s">
        <v>2925</v>
      </c>
      <c r="Y15" s="2" t="s">
        <v>34</v>
      </c>
    </row>
    <row r="16" spans="1:25" ht="15.6" x14ac:dyDescent="0.25">
      <c r="A16" s="8" t="s">
        <v>3346</v>
      </c>
      <c r="B16" s="8" t="s">
        <v>3351</v>
      </c>
      <c r="C16" s="2" t="str">
        <f>_xlfn.XLOOKUP(B16,[1]Sheet2!BF:BF, [1]Sheet2!C:C, "")</f>
        <v>男</v>
      </c>
      <c r="D16" s="10" t="s">
        <v>3629</v>
      </c>
      <c r="E16" s="2" t="s">
        <v>27</v>
      </c>
      <c r="F16" s="2" t="s">
        <v>28</v>
      </c>
      <c r="G16" s="2" t="s">
        <v>252</v>
      </c>
      <c r="H16" s="2" t="s">
        <v>29</v>
      </c>
      <c r="I16" s="2" t="s">
        <v>102</v>
      </c>
      <c r="O16" s="2" t="str">
        <f>_xlfn.LET(_xlpm.x, _xlfn.XLOOKUP(B16,Sheet3!N:N,Sheet3!O:O,""), IF(_xlpm.x=0,"",_xlpm.x))</f>
        <v>昆明市公安局五华分局</v>
      </c>
      <c r="P16" s="77" t="s">
        <v>7101</v>
      </c>
      <c r="Q16" s="2" t="s">
        <v>3352</v>
      </c>
      <c r="R16" s="2" t="s">
        <v>33</v>
      </c>
      <c r="S16" s="2">
        <v>13888055604</v>
      </c>
      <c r="T16" s="2" t="s">
        <v>244</v>
      </c>
      <c r="V16" s="2" t="str">
        <f>_xlfn.LET(_xlpm.x, _xlfn.XLOOKUP(X16,家庭成员!J:J,家庭成员!D:D,""), IF(_xlpm.x=0,"",_xlpm.x))</f>
        <v>王志江</v>
      </c>
      <c r="W16" s="2" t="str">
        <f>_xlfn.LET(_xlpm.x, _xlfn.XLOOKUP(X16,家庭成员!J:J,家庭成员!C:C,""), IF(_xlpm.x=0,"",_xlpm.x))</f>
        <v>姐姐</v>
      </c>
      <c r="X16" s="2" t="s">
        <v>3356</v>
      </c>
      <c r="Y16" s="2" t="s">
        <v>34</v>
      </c>
    </row>
    <row r="17" spans="1:25" ht="15.6" x14ac:dyDescent="0.25">
      <c r="A17" s="8" t="s">
        <v>1439</v>
      </c>
      <c r="B17" s="8" t="s">
        <v>1447</v>
      </c>
      <c r="C17" s="2" t="str">
        <f>_xlfn.XLOOKUP(B17,[1]Sheet2!BF:BF, [1]Sheet2!C:C, "")</f>
        <v>男</v>
      </c>
      <c r="D17" s="10" t="s">
        <v>3630</v>
      </c>
      <c r="E17" s="2" t="s">
        <v>27</v>
      </c>
      <c r="F17" s="2" t="s">
        <v>119</v>
      </c>
      <c r="G17" s="2" t="s">
        <v>474</v>
      </c>
      <c r="H17" s="2" t="s">
        <v>29</v>
      </c>
      <c r="I17" s="2" t="s">
        <v>1442</v>
      </c>
      <c r="O17" s="2" t="str">
        <f>_xlfn.LET(_xlpm.x, _xlfn.XLOOKUP(B17,Sheet3!N:N,Sheet3!O:O,""), IF(_xlpm.x=0,"",_xlpm.x))</f>
        <v>长沙市公安局芙蓉分局</v>
      </c>
      <c r="P17" s="77" t="s">
        <v>7102</v>
      </c>
      <c r="Q17" s="2" t="s">
        <v>1448</v>
      </c>
      <c r="R17" s="2" t="s">
        <v>33</v>
      </c>
      <c r="S17" s="2">
        <v>18890051077</v>
      </c>
      <c r="T17" s="2" t="s">
        <v>1440</v>
      </c>
      <c r="V17" s="2" t="str">
        <f>_xlfn.LET(_xlpm.x, _xlfn.XLOOKUP(X17,家庭成员!J:J,家庭成员!D:D,""), IF(_xlpm.x=0,"",_xlpm.x))</f>
        <v>王爱先</v>
      </c>
      <c r="W17" s="2" t="str">
        <f>_xlfn.LET(_xlpm.x, _xlfn.XLOOKUP(X17,家庭成员!J:J,家庭成员!C:C,""), IF(_xlpm.x=0,"",_xlpm.x))</f>
        <v>妻子</v>
      </c>
      <c r="X17" s="2" t="s">
        <v>1453</v>
      </c>
      <c r="Y17" s="2" t="s">
        <v>34</v>
      </c>
    </row>
    <row r="18" spans="1:25" ht="15.6" x14ac:dyDescent="0.25">
      <c r="A18" s="8" t="s">
        <v>3276</v>
      </c>
      <c r="B18" s="8" t="s">
        <v>3281</v>
      </c>
      <c r="C18" s="2" t="str">
        <f>_xlfn.XLOOKUP(B18,[1]Sheet2!BF:BF, [1]Sheet2!C:C, "")</f>
        <v>男</v>
      </c>
      <c r="D18" s="10" t="s">
        <v>3631</v>
      </c>
      <c r="E18" s="2" t="s">
        <v>27</v>
      </c>
      <c r="F18" s="2" t="s">
        <v>119</v>
      </c>
      <c r="G18" s="2" t="s">
        <v>474</v>
      </c>
      <c r="H18" s="2" t="s">
        <v>29</v>
      </c>
      <c r="I18" s="2" t="s">
        <v>669</v>
      </c>
      <c r="O18" s="2" t="str">
        <f>_xlfn.LET(_xlpm.x, _xlfn.XLOOKUP(B18,Sheet3!N:N,Sheet3!O:O,""), IF(_xlpm.x=0,"",_xlpm.x))</f>
        <v>湛江市公安局霞山分局</v>
      </c>
      <c r="P18" s="77" t="s">
        <v>7103</v>
      </c>
      <c r="Q18" s="2" t="s">
        <v>3983</v>
      </c>
      <c r="R18" s="2" t="s">
        <v>33</v>
      </c>
      <c r="S18" s="2">
        <v>13888933231</v>
      </c>
      <c r="T18" s="2" t="s">
        <v>244</v>
      </c>
      <c r="V18" s="2" t="str">
        <f>_xlfn.LET(_xlpm.x, _xlfn.XLOOKUP(X18,家庭成员!J:J,家庭成员!D:D,""), IF(_xlpm.x=0,"",_xlpm.x))</f>
        <v/>
      </c>
      <c r="W18" s="2" t="str">
        <f>_xlfn.LET(_xlpm.x, _xlfn.XLOOKUP(X18,家庭成员!J:J,家庭成员!C:C,""), IF(_xlpm.x=0,"",_xlpm.x))</f>
        <v/>
      </c>
      <c r="X18" s="2" t="s">
        <v>244</v>
      </c>
      <c r="Y18" s="2" t="s">
        <v>34</v>
      </c>
    </row>
    <row r="19" spans="1:25" ht="15.6" x14ac:dyDescent="0.25">
      <c r="A19" s="8" t="s">
        <v>3176</v>
      </c>
      <c r="B19" s="8" t="s">
        <v>3181</v>
      </c>
      <c r="C19" s="2" t="str">
        <f>_xlfn.XLOOKUP(B19,[1]Sheet2!BF:BF, [1]Sheet2!C:C, "")</f>
        <v>女</v>
      </c>
      <c r="D19" s="10" t="s">
        <v>3632</v>
      </c>
      <c r="E19" s="2" t="s">
        <v>27</v>
      </c>
      <c r="F19" s="2" t="s">
        <v>28</v>
      </c>
      <c r="G19" s="2" t="s">
        <v>252</v>
      </c>
      <c r="H19" s="2" t="s">
        <v>29</v>
      </c>
      <c r="I19" s="2" t="s">
        <v>3177</v>
      </c>
      <c r="O19" s="2" t="str">
        <f>_xlfn.LET(_xlpm.x, _xlfn.XLOOKUP(B19,Sheet3!N:N,Sheet3!O:O,""), IF(_xlpm.x=0,"",_xlpm.x))</f>
        <v>昆明市公安局五华分局</v>
      </c>
      <c r="P19" s="77" t="s">
        <v>7104</v>
      </c>
      <c r="Q19" s="2" t="s">
        <v>3182</v>
      </c>
      <c r="R19" s="2" t="s">
        <v>33</v>
      </c>
      <c r="S19" s="2">
        <v>18987198722</v>
      </c>
      <c r="T19" s="2" t="s">
        <v>244</v>
      </c>
      <c r="V19" s="2" t="str">
        <f>_xlfn.LET(_xlpm.x, _xlfn.XLOOKUP(X19,家庭成员!J:J,家庭成员!D:D,""), IF(_xlpm.x=0,"",_xlpm.x))</f>
        <v>黄绍斌</v>
      </c>
      <c r="W19" s="2" t="str">
        <f>_xlfn.LET(_xlpm.x, _xlfn.XLOOKUP(X19,家庭成员!J:J,家庭成员!C:C,""), IF(_xlpm.x=0,"",_xlpm.x))</f>
        <v>丈夫</v>
      </c>
      <c r="X19" s="2" t="s">
        <v>3184</v>
      </c>
      <c r="Y19" s="2" t="s">
        <v>34</v>
      </c>
    </row>
    <row r="20" spans="1:25" ht="15.6" x14ac:dyDescent="0.25">
      <c r="A20" s="8" t="s">
        <v>1745</v>
      </c>
      <c r="B20" s="8" t="s">
        <v>1751</v>
      </c>
      <c r="C20" s="2" t="str">
        <f>_xlfn.XLOOKUP(B20,[1]Sheet2!BF:BF, [1]Sheet2!C:C, "")</f>
        <v>男</v>
      </c>
      <c r="D20" s="10" t="s">
        <v>3633</v>
      </c>
      <c r="E20" s="2" t="s">
        <v>27</v>
      </c>
      <c r="F20" s="2" t="s">
        <v>119</v>
      </c>
      <c r="G20" s="2" t="s">
        <v>474</v>
      </c>
      <c r="H20" s="2" t="s">
        <v>253</v>
      </c>
      <c r="I20" s="2" t="s">
        <v>1748</v>
      </c>
      <c r="O20" s="2" t="str">
        <f>_xlfn.LET(_xlpm.x, _xlfn.XLOOKUP(B20,Sheet3!N:N,Sheet3!O:O,""), IF(_xlpm.x=0,"",_xlpm.x))</f>
        <v>南京市公安局建邺分局</v>
      </c>
      <c r="P20" s="77" t="s">
        <v>7105</v>
      </c>
      <c r="Q20" s="2" t="s">
        <v>1752</v>
      </c>
      <c r="R20" s="2" t="s">
        <v>33</v>
      </c>
      <c r="S20" s="2">
        <v>13476428527</v>
      </c>
      <c r="T20" s="2" t="s">
        <v>244</v>
      </c>
      <c r="V20" s="2" t="str">
        <f>_xlfn.LET(_xlpm.x, _xlfn.XLOOKUP(X20,家庭成员!J:J,家庭成员!D:D,""), IF(_xlpm.x=0,"",_xlpm.x))</f>
        <v/>
      </c>
      <c r="W20" s="2" t="str">
        <f>_xlfn.LET(_xlpm.x, _xlfn.XLOOKUP(X20,家庭成员!J:J,家庭成员!C:C,""), IF(_xlpm.x=0,"",_xlpm.x))</f>
        <v/>
      </c>
      <c r="X20" s="2" t="s">
        <v>244</v>
      </c>
      <c r="Y20" s="2" t="s">
        <v>34</v>
      </c>
    </row>
    <row r="21" spans="1:25" ht="15.6" x14ac:dyDescent="0.25">
      <c r="A21" s="8" t="s">
        <v>3218</v>
      </c>
      <c r="B21" s="8" t="s">
        <v>3223</v>
      </c>
      <c r="C21" s="2" t="str">
        <f>_xlfn.XLOOKUP(B21,[1]Sheet2!BF:BF, [1]Sheet2!C:C, "")</f>
        <v>女</v>
      </c>
      <c r="D21" s="10" t="s">
        <v>3634</v>
      </c>
      <c r="E21" s="2" t="s">
        <v>27</v>
      </c>
      <c r="F21" s="2" t="s">
        <v>28</v>
      </c>
      <c r="G21" s="2" t="s">
        <v>252</v>
      </c>
      <c r="H21" s="2" t="s">
        <v>29</v>
      </c>
      <c r="I21" s="2" t="s">
        <v>1653</v>
      </c>
      <c r="O21" s="2" t="str">
        <f>_xlfn.LET(_xlpm.x, _xlfn.XLOOKUP(B21,Sheet3!N:N,Sheet3!O:O,""), IF(_xlpm.x=0,"",_xlpm.x))</f>
        <v>昆明市公安局五华分局</v>
      </c>
      <c r="P21" s="77" t="s">
        <v>7106</v>
      </c>
      <c r="Q21" s="2" t="s">
        <v>3224</v>
      </c>
      <c r="R21" s="2" t="s">
        <v>33</v>
      </c>
      <c r="S21" s="2">
        <v>13577111362</v>
      </c>
      <c r="T21" s="2" t="s">
        <v>244</v>
      </c>
      <c r="V21" s="2" t="str">
        <f>_xlfn.LET(_xlpm.x, _xlfn.XLOOKUP(X21,家庭成员!J:J,家庭成员!D:D,""), IF(_xlpm.x=0,"",_xlpm.x))</f>
        <v>罗太群</v>
      </c>
      <c r="W21" s="2" t="str">
        <f>_xlfn.LET(_xlpm.x, _xlfn.XLOOKUP(X21,家庭成员!J:J,家庭成员!C:C,""), IF(_xlpm.x=0,"",_xlpm.x))</f>
        <v>母亲</v>
      </c>
      <c r="X21" s="2" t="s">
        <v>3227</v>
      </c>
      <c r="Y21" s="2" t="s">
        <v>34</v>
      </c>
    </row>
    <row r="22" spans="1:25" ht="15.6" x14ac:dyDescent="0.25">
      <c r="A22" s="8" t="s">
        <v>1651</v>
      </c>
      <c r="B22" s="8" t="s">
        <v>1657</v>
      </c>
      <c r="C22" s="2" t="str">
        <f>_xlfn.XLOOKUP(B22,[1]Sheet2!BF:BF, [1]Sheet2!C:C, "")</f>
        <v>男</v>
      </c>
      <c r="D22" s="10" t="s">
        <v>3627</v>
      </c>
      <c r="E22" s="2" t="s">
        <v>27</v>
      </c>
      <c r="F22" s="2" t="s">
        <v>119</v>
      </c>
      <c r="G22" s="2" t="s">
        <v>270</v>
      </c>
      <c r="H22" s="2" t="s">
        <v>29</v>
      </c>
      <c r="I22" s="2" t="s">
        <v>1653</v>
      </c>
      <c r="O22" s="2" t="str">
        <f>_xlfn.LET(_xlpm.x, _xlfn.XLOOKUP(B22,Sheet3!N:N,Sheet3!O:O,""), IF(_xlpm.x=0,"",_xlpm.x))</f>
        <v>南充市公安局高坪分局</v>
      </c>
      <c r="P22" s="77" t="s">
        <v>7107</v>
      </c>
      <c r="Q22" s="2" t="s">
        <v>1658</v>
      </c>
      <c r="R22" s="2" t="s">
        <v>33</v>
      </c>
      <c r="S22" s="2">
        <v>18725182834</v>
      </c>
      <c r="T22" s="2" t="s">
        <v>244</v>
      </c>
      <c r="V22" s="2" t="str">
        <f>_xlfn.LET(_xlpm.x, _xlfn.XLOOKUP(X22,家庭成员!J:J,家庭成员!D:D,""), IF(_xlpm.x=0,"",_xlpm.x))</f>
        <v>卿青</v>
      </c>
      <c r="W22" s="2" t="str">
        <f>_xlfn.LET(_xlpm.x, _xlfn.XLOOKUP(X22,家庭成员!J:J,家庭成员!C:C,""), IF(_xlpm.x=0,"",_xlpm.x))</f>
        <v>妻子</v>
      </c>
      <c r="X22" s="2" t="s">
        <v>1663</v>
      </c>
      <c r="Y22" s="2" t="s">
        <v>34</v>
      </c>
    </row>
    <row r="23" spans="1:25" ht="15.6" x14ac:dyDescent="0.25">
      <c r="A23" s="8" t="s">
        <v>2324</v>
      </c>
      <c r="B23" s="8" t="s">
        <v>2330</v>
      </c>
      <c r="C23" s="2" t="str">
        <f>_xlfn.XLOOKUP(B23,[1]Sheet2!BF:BF, [1]Sheet2!C:C, "")</f>
        <v>女</v>
      </c>
      <c r="D23" s="10" t="s">
        <v>3635</v>
      </c>
      <c r="E23" s="2" t="s">
        <v>27</v>
      </c>
      <c r="F23" s="2" t="s">
        <v>28</v>
      </c>
      <c r="G23" s="2" t="s">
        <v>474</v>
      </c>
      <c r="H23" s="2" t="s">
        <v>29</v>
      </c>
      <c r="I23" s="2" t="s">
        <v>1653</v>
      </c>
      <c r="O23" s="2" t="str">
        <f>_xlfn.LET(_xlpm.x, _xlfn.XLOOKUP(B23,Sheet3!N:N,Sheet3!O:O,""), IF(_xlpm.x=0,"",_xlpm.x))</f>
        <v>资阳市公安局雁江分局</v>
      </c>
      <c r="P23" s="77" t="s">
        <v>7108</v>
      </c>
      <c r="Q23" s="2" t="s">
        <v>2331</v>
      </c>
      <c r="R23" s="2" t="s">
        <v>33</v>
      </c>
      <c r="S23" s="2">
        <v>18088344518</v>
      </c>
      <c r="T23" s="2" t="s">
        <v>2325</v>
      </c>
      <c r="V23" s="2" t="str">
        <f>_xlfn.LET(_xlpm.x, _xlfn.XLOOKUP(X23,家庭成员!J:J,家庭成员!D:D,""), IF(_xlpm.x=0,"",_xlpm.x))</f>
        <v/>
      </c>
      <c r="W23" s="2" t="str">
        <f>_xlfn.LET(_xlpm.x, _xlfn.XLOOKUP(X23,家庭成员!J:J,家庭成员!C:C,""), IF(_xlpm.x=0,"",_xlpm.x))</f>
        <v/>
      </c>
      <c r="X23" s="2" t="s">
        <v>244</v>
      </c>
      <c r="Y23" s="2" t="s">
        <v>34</v>
      </c>
    </row>
    <row r="24" spans="1:25" ht="15.6" x14ac:dyDescent="0.25">
      <c r="A24" s="8" t="s">
        <v>2181</v>
      </c>
      <c r="B24" s="8" t="s">
        <v>2187</v>
      </c>
      <c r="C24" s="2" t="str">
        <f>_xlfn.XLOOKUP(B24,[1]Sheet2!BF:BF, [1]Sheet2!C:C, "")</f>
        <v>男</v>
      </c>
      <c r="D24" s="10" t="s">
        <v>3636</v>
      </c>
      <c r="E24" s="2" t="s">
        <v>27</v>
      </c>
      <c r="F24" s="2" t="s">
        <v>119</v>
      </c>
      <c r="G24" s="2" t="s">
        <v>252</v>
      </c>
      <c r="H24" s="2" t="s">
        <v>29</v>
      </c>
      <c r="I24" s="2" t="s">
        <v>1584</v>
      </c>
      <c r="O24" s="2" t="str">
        <f>_xlfn.LET(_xlpm.x, _xlfn.XLOOKUP(B24,Sheet3!N:N,Sheet3!O:O,""), IF(_xlpm.x=0,"",_xlpm.x))</f>
        <v>昆明市公安局五华分局</v>
      </c>
      <c r="P24" s="77" t="s">
        <v>7109</v>
      </c>
      <c r="Q24" s="2" t="s">
        <v>2188</v>
      </c>
      <c r="R24" s="2" t="s">
        <v>33</v>
      </c>
      <c r="S24" s="2">
        <v>13987193419</v>
      </c>
      <c r="T24" s="2" t="s">
        <v>244</v>
      </c>
      <c r="V24" s="2" t="str">
        <f>_xlfn.LET(_xlpm.x, _xlfn.XLOOKUP(X24,家庭成员!J:J,家庭成员!D:D,""), IF(_xlpm.x=0,"",_xlpm.x))</f>
        <v/>
      </c>
      <c r="W24" s="2" t="str">
        <f>_xlfn.LET(_xlpm.x, _xlfn.XLOOKUP(X24,家庭成员!J:J,家庭成员!C:C,""), IF(_xlpm.x=0,"",_xlpm.x))</f>
        <v/>
      </c>
      <c r="X24" s="2" t="s">
        <v>244</v>
      </c>
      <c r="Y24" s="2" t="s">
        <v>34</v>
      </c>
    </row>
    <row r="25" spans="1:25" ht="15.6" x14ac:dyDescent="0.25">
      <c r="A25" s="8" t="s">
        <v>1583</v>
      </c>
      <c r="B25" s="8" t="s">
        <v>1591</v>
      </c>
      <c r="C25" s="2" t="str">
        <f>_xlfn.XLOOKUP(B25,[1]Sheet2!BF:BF, [1]Sheet2!C:C, "")</f>
        <v>女</v>
      </c>
      <c r="D25" s="10" t="s">
        <v>3637</v>
      </c>
      <c r="E25" s="2" t="s">
        <v>27</v>
      </c>
      <c r="F25" s="2" t="s">
        <v>272</v>
      </c>
      <c r="G25" s="2" t="s">
        <v>252</v>
      </c>
      <c r="H25" s="2" t="s">
        <v>253</v>
      </c>
      <c r="I25" s="2" t="s">
        <v>1584</v>
      </c>
      <c r="O25" s="2" t="str">
        <f>_xlfn.LET(_xlpm.x, _xlfn.XLOOKUP(B25,Sheet3!N:N,Sheet3!O:O,""), IF(_xlpm.x=0,"",_xlpm.x))</f>
        <v>昆明市公安局官渡分局</v>
      </c>
      <c r="P25" s="77" t="s">
        <v>7110</v>
      </c>
      <c r="Q25" s="2" t="s">
        <v>1592</v>
      </c>
      <c r="R25" s="2" t="s">
        <v>33</v>
      </c>
      <c r="S25" s="2">
        <v>13099420515</v>
      </c>
      <c r="T25" s="2" t="s">
        <v>244</v>
      </c>
      <c r="V25" s="2" t="str">
        <f>_xlfn.LET(_xlpm.x, _xlfn.XLOOKUP(X25,家庭成员!J:J,家庭成员!D:D,""), IF(_xlpm.x=0,"",_xlpm.x))</f>
        <v/>
      </c>
      <c r="W25" s="2" t="str">
        <f>_xlfn.LET(_xlpm.x, _xlfn.XLOOKUP(X25,家庭成员!J:J,家庭成员!C:C,""), IF(_xlpm.x=0,"",_xlpm.x))</f>
        <v/>
      </c>
      <c r="X25" s="2" t="s">
        <v>244</v>
      </c>
      <c r="Y25" s="2" t="s">
        <v>34</v>
      </c>
    </row>
    <row r="26" spans="1:25" ht="15.6" x14ac:dyDescent="0.25">
      <c r="A26" s="8" t="s">
        <v>2267</v>
      </c>
      <c r="B26" s="8" t="s">
        <v>2273</v>
      </c>
      <c r="C26" s="2" t="str">
        <f>_xlfn.XLOOKUP(B26,[1]Sheet2!BF:BF, [1]Sheet2!C:C, "")</f>
        <v>男</v>
      </c>
      <c r="D26" s="10" t="s">
        <v>3638</v>
      </c>
      <c r="E26" s="2" t="s">
        <v>27</v>
      </c>
      <c r="F26" s="2" t="s">
        <v>119</v>
      </c>
      <c r="G26" s="2" t="s">
        <v>252</v>
      </c>
      <c r="H26" s="2" t="s">
        <v>29</v>
      </c>
      <c r="I26" s="2" t="s">
        <v>102</v>
      </c>
      <c r="O26" s="2" t="str">
        <f>_xlfn.LET(_xlpm.x, _xlfn.XLOOKUP(B26,Sheet3!N:N,Sheet3!O:O,""), IF(_xlpm.x=0,"",_xlpm.x))</f>
        <v>昆明市公安局五华分局</v>
      </c>
      <c r="P26" s="77" t="s">
        <v>7111</v>
      </c>
      <c r="Q26" s="2" t="s">
        <v>2274</v>
      </c>
      <c r="R26" s="2" t="s">
        <v>33</v>
      </c>
      <c r="S26" s="2">
        <v>13116291584</v>
      </c>
      <c r="T26" s="2" t="s">
        <v>244</v>
      </c>
      <c r="V26" s="2" t="str">
        <f>_xlfn.LET(_xlpm.x, _xlfn.XLOOKUP(X26,家庭成员!J:J,家庭成员!D:D,""), IF(_xlpm.x=0,"",_xlpm.x))</f>
        <v/>
      </c>
      <c r="W26" s="2" t="str">
        <f>_xlfn.LET(_xlpm.x, _xlfn.XLOOKUP(X26,家庭成员!J:J,家庭成员!C:C,""), IF(_xlpm.x=0,"",_xlpm.x))</f>
        <v/>
      </c>
      <c r="X26" s="2" t="s">
        <v>244</v>
      </c>
      <c r="Y26" s="2" t="s">
        <v>34</v>
      </c>
    </row>
    <row r="27" spans="1:25" ht="15.6" x14ac:dyDescent="0.25">
      <c r="A27" s="8" t="s">
        <v>3462</v>
      </c>
      <c r="B27" s="8" t="s">
        <v>3467</v>
      </c>
      <c r="C27" s="2" t="str">
        <f>_xlfn.XLOOKUP(B27,[1]Sheet2!BF:BF, [1]Sheet2!C:C, "")</f>
        <v>女</v>
      </c>
      <c r="D27" s="10" t="s">
        <v>3639</v>
      </c>
      <c r="E27" s="2" t="s">
        <v>983</v>
      </c>
      <c r="F27" s="2" t="s">
        <v>119</v>
      </c>
      <c r="G27" s="2" t="s">
        <v>252</v>
      </c>
      <c r="H27" s="2" t="s">
        <v>29</v>
      </c>
      <c r="I27" s="2" t="s">
        <v>102</v>
      </c>
      <c r="O27" s="2" t="str">
        <f>_xlfn.LET(_xlpm.x, _xlfn.XLOOKUP(B27,Sheet3!N:N,Sheet3!O:O,""), IF(_xlpm.x=0,"",_xlpm.x))</f>
        <v>昆明市公安局盘龙分局</v>
      </c>
      <c r="P27" s="77" t="s">
        <v>7112</v>
      </c>
      <c r="Q27" s="2" t="s">
        <v>3468</v>
      </c>
      <c r="R27" s="2" t="s">
        <v>33</v>
      </c>
      <c r="S27" s="2">
        <v>13908861017</v>
      </c>
      <c r="T27" s="2" t="s">
        <v>244</v>
      </c>
      <c r="V27" s="2" t="str">
        <f>_xlfn.LET(_xlpm.x, _xlfn.XLOOKUP(X27,家庭成员!J:J,家庭成员!D:D,""), IF(_xlpm.x=0,"",_xlpm.x))</f>
        <v>田京平</v>
      </c>
      <c r="W27" s="2" t="str">
        <f>_xlfn.LET(_xlpm.x, _xlfn.XLOOKUP(X27,家庭成员!J:J,家庭成员!C:C,""), IF(_xlpm.x=0,"",_xlpm.x))</f>
        <v>丈夫</v>
      </c>
      <c r="X27" s="2" t="s">
        <v>3472</v>
      </c>
      <c r="Y27" s="2" t="s">
        <v>34</v>
      </c>
    </row>
    <row r="28" spans="1:25" ht="15.6" x14ac:dyDescent="0.25">
      <c r="A28" s="8" t="s">
        <v>2517</v>
      </c>
      <c r="B28" s="8" t="s">
        <v>2524</v>
      </c>
      <c r="C28" s="2" t="str">
        <f>_xlfn.XLOOKUP(B28,[1]Sheet2!BF:BF, [1]Sheet2!C:C, "")</f>
        <v>男</v>
      </c>
      <c r="D28" s="10" t="s">
        <v>3640</v>
      </c>
      <c r="E28" s="2" t="s">
        <v>983</v>
      </c>
      <c r="F28" s="2" t="s">
        <v>28</v>
      </c>
      <c r="G28" s="2" t="s">
        <v>252</v>
      </c>
      <c r="H28" s="2" t="s">
        <v>29</v>
      </c>
      <c r="I28" s="2" t="s">
        <v>102</v>
      </c>
      <c r="O28" s="2" t="str">
        <f>_xlfn.LET(_xlpm.x, _xlfn.XLOOKUP(B28,Sheet3!N:N,Sheet3!O:O,""), IF(_xlpm.x=0,"",_xlpm.x))</f>
        <v>昆明市公安局盘龙分局</v>
      </c>
      <c r="P28" s="77" t="s">
        <v>7113</v>
      </c>
      <c r="Q28" s="2" t="s">
        <v>2525</v>
      </c>
      <c r="R28" s="2" t="s">
        <v>33</v>
      </c>
      <c r="S28" s="2">
        <v>13608711851</v>
      </c>
      <c r="T28" s="2" t="s">
        <v>244</v>
      </c>
      <c r="V28" s="2" t="str">
        <f>_xlfn.LET(_xlpm.x, _xlfn.XLOOKUP(X28,家庭成员!J:J,家庭成员!D:D,""), IF(_xlpm.x=0,"",_xlpm.x))</f>
        <v/>
      </c>
      <c r="W28" s="2" t="str">
        <f>_xlfn.LET(_xlpm.x, _xlfn.XLOOKUP(X28,家庭成员!J:J,家庭成员!C:C,""), IF(_xlpm.x=0,"",_xlpm.x))</f>
        <v/>
      </c>
      <c r="X28" s="2" t="s">
        <v>244</v>
      </c>
      <c r="Y28" s="2" t="s">
        <v>34</v>
      </c>
    </row>
    <row r="29" spans="1:25" ht="15.6" x14ac:dyDescent="0.25">
      <c r="A29" s="8" t="s">
        <v>3245</v>
      </c>
      <c r="B29" s="8" t="s">
        <v>3249</v>
      </c>
      <c r="C29" s="2" t="str">
        <f>_xlfn.XLOOKUP(B29,[1]Sheet2!BF:BF, [1]Sheet2!C:C, "")</f>
        <v>男</v>
      </c>
      <c r="D29" s="10" t="s">
        <v>3641</v>
      </c>
      <c r="E29" s="2" t="s">
        <v>973</v>
      </c>
      <c r="F29" s="2" t="s">
        <v>119</v>
      </c>
      <c r="G29" s="2" t="s">
        <v>252</v>
      </c>
      <c r="H29" s="2" t="s">
        <v>29</v>
      </c>
      <c r="I29" s="2" t="s">
        <v>1584</v>
      </c>
      <c r="O29" s="2" t="str">
        <f>_xlfn.LET(_xlpm.x, _xlfn.XLOOKUP(B29,Sheet3!N:N,Sheet3!O:O,""), IF(_xlpm.x=0,"",_xlpm.x))</f>
        <v>昆明市公安局西山分局</v>
      </c>
      <c r="P29" s="77" t="s">
        <v>7114</v>
      </c>
      <c r="Q29" s="2" t="s">
        <v>3250</v>
      </c>
      <c r="R29" s="2" t="s">
        <v>33</v>
      </c>
      <c r="S29" s="2">
        <v>15925202621</v>
      </c>
      <c r="T29" s="2" t="s">
        <v>244</v>
      </c>
      <c r="V29" s="2" t="str">
        <f>_xlfn.LET(_xlpm.x, _xlfn.XLOOKUP(X29,家庭成员!J:J,家庭成员!D:D,""), IF(_xlpm.x=0,"",_xlpm.x))</f>
        <v>龙芳芳</v>
      </c>
      <c r="W29" s="2" t="str">
        <f>_xlfn.LET(_xlpm.x, _xlfn.XLOOKUP(X29,家庭成员!J:J,家庭成员!C:C,""), IF(_xlpm.x=0,"",_xlpm.x))</f>
        <v>妻子</v>
      </c>
      <c r="X29" s="2" t="s">
        <v>3254</v>
      </c>
      <c r="Y29" s="2" t="s">
        <v>34</v>
      </c>
    </row>
    <row r="30" spans="1:25" ht="15.6" x14ac:dyDescent="0.25">
      <c r="A30" s="8" t="s">
        <v>2816</v>
      </c>
      <c r="B30" s="8" t="s">
        <v>2822</v>
      </c>
      <c r="C30" s="2" t="str">
        <f>_xlfn.XLOOKUP(B30,[1]Sheet2!BF:BF, [1]Sheet2!C:C, "")</f>
        <v>男</v>
      </c>
      <c r="D30" s="10" t="s">
        <v>3642</v>
      </c>
      <c r="E30" s="2" t="s">
        <v>973</v>
      </c>
      <c r="F30" s="2" t="s">
        <v>119</v>
      </c>
      <c r="G30" s="2" t="s">
        <v>474</v>
      </c>
      <c r="H30" s="2" t="s">
        <v>29</v>
      </c>
      <c r="I30" s="2" t="s">
        <v>102</v>
      </c>
      <c r="O30" s="2" t="str">
        <f>_xlfn.LET(_xlpm.x, _xlfn.XLOOKUP(B30,Sheet3!N:N,Sheet3!O:O,""), IF(_xlpm.x=0,"",_xlpm.x))</f>
        <v>彝良县公安局</v>
      </c>
      <c r="P30" s="77" t="s">
        <v>7115</v>
      </c>
      <c r="Q30" s="2" t="s">
        <v>2823</v>
      </c>
      <c r="R30" s="2" t="s">
        <v>33</v>
      </c>
      <c r="S30" s="2">
        <v>18287127806</v>
      </c>
      <c r="T30" s="2" t="s">
        <v>244</v>
      </c>
      <c r="V30" s="2" t="str">
        <f>_xlfn.LET(_xlpm.x, _xlfn.XLOOKUP(X30,家庭成员!J:J,家庭成员!D:D,""), IF(_xlpm.x=0,"",_xlpm.x))</f>
        <v/>
      </c>
      <c r="W30" s="2" t="str">
        <f>_xlfn.LET(_xlpm.x, _xlfn.XLOOKUP(X30,家庭成员!J:J,家庭成员!C:C,""), IF(_xlpm.x=0,"",_xlpm.x))</f>
        <v/>
      </c>
      <c r="X30" s="2" t="s">
        <v>244</v>
      </c>
      <c r="Y30" s="2" t="s">
        <v>34</v>
      </c>
    </row>
    <row r="31" spans="1:25" ht="15.6" x14ac:dyDescent="0.25">
      <c r="A31" s="8" t="s">
        <v>1987</v>
      </c>
      <c r="B31" s="8" t="s">
        <v>1992</v>
      </c>
      <c r="C31" s="2" t="str">
        <f>_xlfn.XLOOKUP(B31,[1]Sheet2!BF:BF, [1]Sheet2!C:C, "")</f>
        <v>男</v>
      </c>
      <c r="D31" s="10" t="s">
        <v>3643</v>
      </c>
      <c r="E31" s="2" t="s">
        <v>27</v>
      </c>
      <c r="F31" s="2" t="s">
        <v>119</v>
      </c>
      <c r="G31" s="2" t="s">
        <v>252</v>
      </c>
      <c r="H31" s="2" t="s">
        <v>253</v>
      </c>
      <c r="I31" s="2" t="s">
        <v>102</v>
      </c>
      <c r="O31" s="2" t="str">
        <f>_xlfn.LET(_xlpm.x, _xlfn.XLOOKUP(B31,Sheet3!N:N,Sheet3!O:O,""), IF(_xlpm.x=0,"",_xlpm.x))</f>
        <v>昆明市公安局五华分局</v>
      </c>
      <c r="P31" s="77" t="s">
        <v>7116</v>
      </c>
      <c r="Q31" s="2" t="s">
        <v>1993</v>
      </c>
      <c r="R31" s="2" t="s">
        <v>33</v>
      </c>
      <c r="S31" s="2">
        <v>13759187774</v>
      </c>
      <c r="T31" s="2" t="s">
        <v>1988</v>
      </c>
      <c r="V31" s="2" t="str">
        <f>_xlfn.LET(_xlpm.x, _xlfn.XLOOKUP(X31,家庭成员!J:J,家庭成员!D:D,""), IF(_xlpm.x=0,"",_xlpm.x))</f>
        <v>钟外铭</v>
      </c>
      <c r="W31" s="2" t="str">
        <f>_xlfn.LET(_xlpm.x, _xlfn.XLOOKUP(X31,家庭成员!J:J,家庭成员!C:C,""), IF(_xlpm.x=0,"",_xlpm.x))</f>
        <v>父亲</v>
      </c>
      <c r="X31" s="2" t="s">
        <v>1998</v>
      </c>
      <c r="Y31" s="2" t="s">
        <v>34</v>
      </c>
    </row>
    <row r="32" spans="1:25" ht="15.6" x14ac:dyDescent="0.25">
      <c r="A32" s="8" t="s">
        <v>2106</v>
      </c>
      <c r="B32" s="8" t="s">
        <v>2113</v>
      </c>
      <c r="C32" s="2" t="str">
        <f>_xlfn.XLOOKUP(B32,[1]Sheet2!BF:BF, [1]Sheet2!C:C, "")</f>
        <v>男</v>
      </c>
      <c r="D32" s="10" t="s">
        <v>3644</v>
      </c>
      <c r="E32" s="2" t="s">
        <v>27</v>
      </c>
      <c r="F32" s="2" t="s">
        <v>119</v>
      </c>
      <c r="G32" s="2" t="s">
        <v>252</v>
      </c>
      <c r="H32" s="2" t="s">
        <v>29</v>
      </c>
      <c r="I32" s="2" t="s">
        <v>102</v>
      </c>
      <c r="O32" s="2" t="str">
        <f>_xlfn.LET(_xlpm.x, _xlfn.XLOOKUP(B32,Sheet3!N:N,Sheet3!O:O,""), IF(_xlpm.x=0,"",_xlpm.x))</f>
        <v>昆明市公安局西山分局</v>
      </c>
      <c r="P32" s="77" t="s">
        <v>7117</v>
      </c>
      <c r="Q32" s="2" t="s">
        <v>2114</v>
      </c>
      <c r="R32" s="2" t="s">
        <v>33</v>
      </c>
      <c r="S32" s="2">
        <v>15877971809</v>
      </c>
      <c r="T32" s="2" t="s">
        <v>2107</v>
      </c>
      <c r="V32" s="2" t="str">
        <f>_xlfn.LET(_xlpm.x, _xlfn.XLOOKUP(X32,家庭成员!J:J,家庭成员!D:D,""), IF(_xlpm.x=0,"",_xlpm.x))</f>
        <v>罗世军</v>
      </c>
      <c r="W32" s="2" t="str">
        <f>_xlfn.LET(_xlpm.x, _xlfn.XLOOKUP(X32,家庭成员!J:J,家庭成员!C:C,""), IF(_xlpm.x=0,"",_xlpm.x))</f>
        <v>父亲</v>
      </c>
      <c r="X32" s="2" t="s">
        <v>2116</v>
      </c>
      <c r="Y32" s="2" t="s">
        <v>34</v>
      </c>
    </row>
    <row r="33" spans="1:25" ht="15.6" x14ac:dyDescent="0.25">
      <c r="A33" s="8" t="s">
        <v>3015</v>
      </c>
      <c r="B33" s="8" t="s">
        <v>3021</v>
      </c>
      <c r="C33" s="2" t="str">
        <f>_xlfn.XLOOKUP(B33,[1]Sheet2!BF:BF, [1]Sheet2!C:C, "")</f>
        <v>男</v>
      </c>
      <c r="D33" s="10" t="s">
        <v>3645</v>
      </c>
      <c r="E33" s="2" t="s">
        <v>27</v>
      </c>
      <c r="F33" s="2" t="s">
        <v>119</v>
      </c>
      <c r="G33" s="2" t="s">
        <v>252</v>
      </c>
      <c r="H33" s="2" t="s">
        <v>29</v>
      </c>
      <c r="I33" s="2" t="s">
        <v>102</v>
      </c>
      <c r="O33" s="2" t="str">
        <f>_xlfn.LET(_xlpm.x, _xlfn.XLOOKUP(B33,Sheet3!N:N,Sheet3!O:O,""), IF(_xlpm.x=0,"",_xlpm.x))</f>
        <v>昆明市公安局五华分局</v>
      </c>
      <c r="P33" s="77" t="s">
        <v>7118</v>
      </c>
      <c r="Q33" s="2" t="s">
        <v>3022</v>
      </c>
      <c r="R33" s="2" t="s">
        <v>33</v>
      </c>
      <c r="S33" s="2">
        <v>13669728590</v>
      </c>
      <c r="T33" s="2" t="s">
        <v>3016</v>
      </c>
      <c r="V33" s="2" t="str">
        <f>_xlfn.LET(_xlpm.x, _xlfn.XLOOKUP(X33,家庭成员!J:J,家庭成员!D:D,""), IF(_xlpm.x=0,"",_xlpm.x))</f>
        <v>王黛娅</v>
      </c>
      <c r="W33" s="2" t="str">
        <f>_xlfn.LET(_xlpm.x, _xlfn.XLOOKUP(X33,家庭成员!J:J,家庭成员!C:C,""), IF(_xlpm.x=0,"",_xlpm.x))</f>
        <v>母亲</v>
      </c>
      <c r="X33" s="2" t="s">
        <v>3024</v>
      </c>
      <c r="Y33" s="2" t="s">
        <v>34</v>
      </c>
    </row>
    <row r="34" spans="1:25" ht="15.6" x14ac:dyDescent="0.25">
      <c r="A34" s="8" t="s">
        <v>1845</v>
      </c>
      <c r="B34" s="8" t="s">
        <v>1850</v>
      </c>
      <c r="C34" s="2" t="str">
        <f>_xlfn.XLOOKUP(B34,[1]Sheet2!BF:BF, [1]Sheet2!C:C, "")</f>
        <v>男</v>
      </c>
      <c r="D34" s="10" t="s">
        <v>3646</v>
      </c>
      <c r="E34" s="2" t="s">
        <v>27</v>
      </c>
      <c r="F34" s="2" t="s">
        <v>119</v>
      </c>
      <c r="G34" s="2" t="s">
        <v>252</v>
      </c>
      <c r="H34" s="2" t="s">
        <v>29</v>
      </c>
      <c r="I34" s="2" t="s">
        <v>102</v>
      </c>
      <c r="O34" s="2" t="str">
        <f>_xlfn.LET(_xlpm.x, _xlfn.XLOOKUP(B34,Sheet3!N:N,Sheet3!O:O,""), IF(_xlpm.x=0,"",_xlpm.x))</f>
        <v>昆明市公安局五华分局</v>
      </c>
      <c r="P34" s="77" t="s">
        <v>7119</v>
      </c>
      <c r="Q34" s="2" t="s">
        <v>1851</v>
      </c>
      <c r="R34" s="2" t="s">
        <v>33</v>
      </c>
      <c r="S34" s="2">
        <v>18183848671</v>
      </c>
      <c r="T34" s="2" t="s">
        <v>244</v>
      </c>
      <c r="V34" s="2" t="str">
        <f>_xlfn.LET(_xlpm.x, _xlfn.XLOOKUP(X34,家庭成员!J:J,家庭成员!D:D,""), IF(_xlpm.x=0,"",_xlpm.x))</f>
        <v>周金萍</v>
      </c>
      <c r="W34" s="2" t="str">
        <f>_xlfn.LET(_xlpm.x, _xlfn.XLOOKUP(X34,家庭成员!J:J,家庭成员!C:C,""), IF(_xlpm.x=0,"",_xlpm.x))</f>
        <v>母亲</v>
      </c>
      <c r="X34" s="2" t="s">
        <v>1856</v>
      </c>
      <c r="Y34" s="2" t="s">
        <v>34</v>
      </c>
    </row>
    <row r="35" spans="1:25" ht="15.6" x14ac:dyDescent="0.25">
      <c r="A35" s="8" t="s">
        <v>3582</v>
      </c>
      <c r="B35" s="8" t="s">
        <v>3589</v>
      </c>
      <c r="C35" s="2" t="str">
        <f>_xlfn.XLOOKUP(B35,[1]Sheet2!BF:BF, [1]Sheet2!C:C, "")</f>
        <v>男</v>
      </c>
      <c r="D35" s="10" t="s">
        <v>3647</v>
      </c>
      <c r="E35" s="2" t="s">
        <v>27</v>
      </c>
      <c r="F35" s="2" t="s">
        <v>119</v>
      </c>
      <c r="G35" s="2" t="s">
        <v>252</v>
      </c>
      <c r="H35" s="2" t="s">
        <v>29</v>
      </c>
      <c r="I35" s="2" t="s">
        <v>102</v>
      </c>
      <c r="O35" s="2" t="str">
        <f>_xlfn.LET(_xlpm.x, _xlfn.XLOOKUP(B35,Sheet3!N:N,Sheet3!O:O,""), IF(_xlpm.x=0,"",_xlpm.x))</f>
        <v>昆明市公安局五华分局</v>
      </c>
      <c r="P35" s="77" t="s">
        <v>7120</v>
      </c>
      <c r="Q35" s="2" t="s">
        <v>3590</v>
      </c>
      <c r="R35" s="2" t="s">
        <v>33</v>
      </c>
      <c r="S35" s="2">
        <v>13708436449</v>
      </c>
      <c r="T35" s="2" t="s">
        <v>244</v>
      </c>
      <c r="V35" s="2" t="str">
        <f>_xlfn.LET(_xlpm.x, _xlfn.XLOOKUP(X35,家庭成员!J:J,家庭成员!D:D,""), IF(_xlpm.x=0,"",_xlpm.x))</f>
        <v>杨紫</v>
      </c>
      <c r="W35" s="2" t="str">
        <f>_xlfn.LET(_xlpm.x, _xlfn.XLOOKUP(X35,家庭成员!J:J,家庭成员!C:C,""), IF(_xlpm.x=0,"",_xlpm.x))</f>
        <v>妻子</v>
      </c>
      <c r="X35" s="2" t="s">
        <v>3594</v>
      </c>
      <c r="Y35" s="2" t="s">
        <v>34</v>
      </c>
    </row>
    <row r="36" spans="1:25" ht="15.6" x14ac:dyDescent="0.25">
      <c r="A36" s="8" t="s">
        <v>3552</v>
      </c>
      <c r="B36" s="8" t="s">
        <v>3557</v>
      </c>
      <c r="C36" s="2" t="str">
        <f>_xlfn.XLOOKUP(B36,[1]Sheet2!BF:BF, [1]Sheet2!C:C, "")</f>
        <v>男</v>
      </c>
      <c r="D36" s="10" t="s">
        <v>3648</v>
      </c>
      <c r="E36" s="2" t="s">
        <v>27</v>
      </c>
      <c r="F36" s="2" t="s">
        <v>119</v>
      </c>
      <c r="G36" s="2" t="s">
        <v>252</v>
      </c>
      <c r="H36" s="2" t="s">
        <v>29</v>
      </c>
      <c r="I36" s="2" t="s">
        <v>1572</v>
      </c>
      <c r="O36" s="2" t="str">
        <f>_xlfn.LET(_xlpm.x, _xlfn.XLOOKUP(B36,Sheet3!N:N,Sheet3!O:O,""), IF(_xlpm.x=0,"",_xlpm.x))</f>
        <v>昆明市公安局五华分局</v>
      </c>
      <c r="P36" s="77" t="s">
        <v>7121</v>
      </c>
      <c r="Q36" s="2" t="s">
        <v>3558</v>
      </c>
      <c r="R36" s="2" t="s">
        <v>33</v>
      </c>
      <c r="S36" s="2">
        <v>13759189090</v>
      </c>
      <c r="T36" s="2" t="s">
        <v>244</v>
      </c>
      <c r="V36" s="2" t="str">
        <f>_xlfn.LET(_xlpm.x, _xlfn.XLOOKUP(X36,家庭成员!J:J,家庭成员!D:D,""), IF(_xlpm.x=0,"",_xlpm.x))</f>
        <v/>
      </c>
      <c r="W36" s="2" t="str">
        <f>_xlfn.LET(_xlpm.x, _xlfn.XLOOKUP(X36,家庭成员!J:J,家庭成员!C:C,""), IF(_xlpm.x=0,"",_xlpm.x))</f>
        <v/>
      </c>
      <c r="X36" s="2" t="s">
        <v>244</v>
      </c>
      <c r="Y36" s="2" t="s">
        <v>34</v>
      </c>
    </row>
    <row r="37" spans="1:25" ht="15.6" x14ac:dyDescent="0.25">
      <c r="A37" s="8" t="s">
        <v>2663</v>
      </c>
      <c r="B37" s="8" t="s">
        <v>2667</v>
      </c>
      <c r="C37" s="2" t="str">
        <f>_xlfn.XLOOKUP(B37,[1]Sheet2!BF:BF, [1]Sheet2!C:C, "")</f>
        <v>男</v>
      </c>
      <c r="D37" s="10" t="s">
        <v>3649</v>
      </c>
      <c r="E37" s="2" t="s">
        <v>435</v>
      </c>
      <c r="F37" s="2" t="s">
        <v>119</v>
      </c>
      <c r="G37" s="2" t="s">
        <v>252</v>
      </c>
      <c r="H37" s="2" t="s">
        <v>29</v>
      </c>
      <c r="I37" s="2" t="s">
        <v>102</v>
      </c>
      <c r="O37" s="2" t="str">
        <f>_xlfn.LET(_xlpm.x, _xlfn.XLOOKUP(B37,Sheet3!N:N,Sheet3!O:O,""), IF(_xlpm.x=0,"",_xlpm.x))</f>
        <v>昆明市公安局官渡分局</v>
      </c>
      <c r="P37" s="77" t="s">
        <v>7122</v>
      </c>
      <c r="Q37" s="2" t="s">
        <v>3983</v>
      </c>
      <c r="R37" s="2" t="s">
        <v>33</v>
      </c>
      <c r="S37" s="2">
        <v>13888996847</v>
      </c>
      <c r="T37" s="2" t="s">
        <v>244</v>
      </c>
      <c r="V37" s="2" t="str">
        <f>_xlfn.LET(_xlpm.x, _xlfn.XLOOKUP(X37,家庭成员!J:J,家庭成员!D:D,""), IF(_xlpm.x=0,"",_xlpm.x))</f>
        <v/>
      </c>
      <c r="W37" s="2" t="str">
        <f>_xlfn.LET(_xlpm.x, _xlfn.XLOOKUP(X37,家庭成员!J:J,家庭成员!C:C,""), IF(_xlpm.x=0,"",_xlpm.x))</f>
        <v/>
      </c>
      <c r="X37" s="2" t="s">
        <v>244</v>
      </c>
      <c r="Y37" s="2" t="s">
        <v>34</v>
      </c>
    </row>
    <row r="38" spans="1:25" ht="15.6" x14ac:dyDescent="0.25">
      <c r="A38" s="8" t="s">
        <v>3202</v>
      </c>
      <c r="B38" s="8" t="s">
        <v>3205</v>
      </c>
      <c r="C38" s="2" t="str">
        <f>_xlfn.XLOOKUP(B38,[1]Sheet2!BF:BF, [1]Sheet2!C:C, "")</f>
        <v>男</v>
      </c>
      <c r="D38" s="10" t="s">
        <v>3650</v>
      </c>
      <c r="E38" s="2" t="s">
        <v>27</v>
      </c>
      <c r="F38" s="2" t="s">
        <v>119</v>
      </c>
      <c r="G38" s="2" t="s">
        <v>252</v>
      </c>
      <c r="H38" s="2" t="s">
        <v>29</v>
      </c>
      <c r="I38" s="2" t="s">
        <v>102</v>
      </c>
      <c r="O38" s="2" t="str">
        <f>_xlfn.LET(_xlpm.x, _xlfn.XLOOKUP(B38,Sheet3!N:N,Sheet3!O:O,""), IF(_xlpm.x=0,"",_xlpm.x))</f>
        <v>富民县公安局</v>
      </c>
      <c r="P38" s="77" t="s">
        <v>7123</v>
      </c>
      <c r="Q38" s="2" t="s">
        <v>3206</v>
      </c>
      <c r="R38" s="2" t="s">
        <v>33</v>
      </c>
      <c r="S38" s="2">
        <v>13888672831</v>
      </c>
      <c r="T38" s="2" t="s">
        <v>244</v>
      </c>
      <c r="V38" s="2" t="str">
        <f>_xlfn.LET(_xlpm.x, _xlfn.XLOOKUP(X38,家庭成员!J:J,家庭成员!D:D,""), IF(_xlpm.x=0,"",_xlpm.x))</f>
        <v/>
      </c>
      <c r="W38" s="2" t="str">
        <f>_xlfn.LET(_xlpm.x, _xlfn.XLOOKUP(X38,家庭成员!J:J,家庭成员!C:C,""), IF(_xlpm.x=0,"",_xlpm.x))</f>
        <v/>
      </c>
      <c r="X38" s="2" t="s">
        <v>244</v>
      </c>
      <c r="Y38" s="2" t="s">
        <v>34</v>
      </c>
    </row>
    <row r="39" spans="1:25" ht="15.6" x14ac:dyDescent="0.25">
      <c r="A39" s="8" t="s">
        <v>3606</v>
      </c>
      <c r="B39" s="8" t="s">
        <v>3612</v>
      </c>
      <c r="C39" s="2" t="str">
        <f>_xlfn.XLOOKUP(B39,[1]Sheet2!BF:BF, [1]Sheet2!C:C, "")</f>
        <v>男</v>
      </c>
      <c r="D39" s="10" t="s">
        <v>3651</v>
      </c>
      <c r="E39" s="2" t="s">
        <v>27</v>
      </c>
      <c r="F39" s="2" t="s">
        <v>119</v>
      </c>
      <c r="G39" s="2" t="s">
        <v>252</v>
      </c>
      <c r="H39" s="2" t="s">
        <v>29</v>
      </c>
      <c r="I39" s="2" t="s">
        <v>3607</v>
      </c>
      <c r="O39" s="2" t="str">
        <f>_xlfn.LET(_xlpm.x, _xlfn.XLOOKUP(B39,Sheet3!N:N,Sheet3!O:O,""), IF(_xlpm.x=0,"",_xlpm.x))</f>
        <v>昆明市公安局西山分局</v>
      </c>
      <c r="P39" s="77" t="s">
        <v>3260</v>
      </c>
      <c r="Q39" s="2" t="s">
        <v>3613</v>
      </c>
      <c r="R39" s="2" t="s">
        <v>33</v>
      </c>
      <c r="S39" s="2">
        <v>13888067261</v>
      </c>
      <c r="T39" s="2" t="s">
        <v>244</v>
      </c>
      <c r="V39" s="2" t="str">
        <f>_xlfn.LET(_xlpm.x, _xlfn.XLOOKUP(X39,家庭成员!J:J,家庭成员!D:D,""), IF(_xlpm.x=0,"",_xlpm.x))</f>
        <v>苗慧婷</v>
      </c>
      <c r="W39" s="2" t="str">
        <f>_xlfn.LET(_xlpm.x, _xlfn.XLOOKUP(X39,家庭成员!J:J,家庭成员!C:C,""), IF(_xlpm.x=0,"",_xlpm.x))</f>
        <v>妻子</v>
      </c>
      <c r="X39" s="2" t="s">
        <v>3616</v>
      </c>
      <c r="Y39" s="2" t="s">
        <v>34</v>
      </c>
    </row>
    <row r="40" spans="1:25" ht="15.6" x14ac:dyDescent="0.25">
      <c r="A40" s="8" t="s">
        <v>1312</v>
      </c>
      <c r="B40" s="8" t="s">
        <v>1320</v>
      </c>
      <c r="C40" s="2" t="str">
        <f>_xlfn.XLOOKUP(B40,[1]Sheet2!BF:BF, [1]Sheet2!C:C, "")</f>
        <v>男</v>
      </c>
      <c r="D40" s="10" t="s">
        <v>3652</v>
      </c>
      <c r="E40" s="2" t="s">
        <v>27</v>
      </c>
      <c r="F40" s="2" t="s">
        <v>119</v>
      </c>
      <c r="G40" s="2" t="s">
        <v>252</v>
      </c>
      <c r="H40" s="2" t="s">
        <v>253</v>
      </c>
      <c r="I40" s="2" t="s">
        <v>743</v>
      </c>
      <c r="O40" s="2" t="str">
        <f>_xlfn.LET(_xlpm.x, _xlfn.XLOOKUP(B40,Sheet3!N:N,Sheet3!O:O,""), IF(_xlpm.x=0,"",_xlpm.x))</f>
        <v>昆明市公安局官渡分局</v>
      </c>
      <c r="P40" s="77" t="s">
        <v>7124</v>
      </c>
      <c r="Q40" s="2" t="s">
        <v>1321</v>
      </c>
      <c r="R40" s="2" t="s">
        <v>33</v>
      </c>
      <c r="S40" s="2">
        <v>18687134828</v>
      </c>
      <c r="T40" s="2" t="s">
        <v>244</v>
      </c>
      <c r="V40" s="2" t="str">
        <f>_xlfn.LET(_xlpm.x, _xlfn.XLOOKUP(X40,家庭成员!J:J,家庭成员!D:D,""), IF(_xlpm.x=0,"",_xlpm.x))</f>
        <v/>
      </c>
      <c r="W40" s="2" t="str">
        <f>_xlfn.LET(_xlpm.x, _xlfn.XLOOKUP(X40,家庭成员!J:J,家庭成员!C:C,""), IF(_xlpm.x=0,"",_xlpm.x))</f>
        <v/>
      </c>
      <c r="X40" s="2" t="s">
        <v>244</v>
      </c>
      <c r="Y40" s="2" t="s">
        <v>34</v>
      </c>
    </row>
    <row r="41" spans="1:25" ht="15.6" x14ac:dyDescent="0.25">
      <c r="A41" s="8" t="s">
        <v>902</v>
      </c>
      <c r="B41" s="8" t="s">
        <v>907</v>
      </c>
      <c r="C41" s="2" t="str">
        <f>_xlfn.XLOOKUP(B41,[1]Sheet2!BF:BF, [1]Sheet2!C:C, "")</f>
        <v>男</v>
      </c>
      <c r="D41" s="10" t="s">
        <v>3628</v>
      </c>
      <c r="E41" s="2" t="s">
        <v>27</v>
      </c>
      <c r="F41" s="2" t="s">
        <v>119</v>
      </c>
      <c r="G41" s="2" t="s">
        <v>252</v>
      </c>
      <c r="H41" s="2" t="s">
        <v>253</v>
      </c>
      <c r="I41" s="2" t="s">
        <v>102</v>
      </c>
      <c r="O41" s="2" t="str">
        <f>_xlfn.LET(_xlpm.x, _xlfn.XLOOKUP(B41,Sheet3!N:N,Sheet3!O:O,""), IF(_xlpm.x=0,"",_xlpm.x))</f>
        <v>昆明市公安局五华分局</v>
      </c>
      <c r="P41" s="77" t="s">
        <v>123</v>
      </c>
      <c r="Q41" s="2" t="s">
        <v>908</v>
      </c>
      <c r="R41" s="2" t="s">
        <v>33</v>
      </c>
      <c r="S41" s="2">
        <v>15288485330</v>
      </c>
      <c r="T41" s="2" t="s">
        <v>244</v>
      </c>
      <c r="V41" s="2" t="str">
        <f>_xlfn.LET(_xlpm.x, _xlfn.XLOOKUP(X41,家庭成员!J:J,家庭成员!D:D,""), IF(_xlpm.x=0,"",_xlpm.x))</f>
        <v/>
      </c>
      <c r="W41" s="2" t="str">
        <f>_xlfn.LET(_xlpm.x, _xlfn.XLOOKUP(X41,家庭成员!J:J,家庭成员!C:C,""), IF(_xlpm.x=0,"",_xlpm.x))</f>
        <v/>
      </c>
      <c r="X41" s="2" t="s">
        <v>244</v>
      </c>
      <c r="Y41" s="2" t="s">
        <v>34</v>
      </c>
    </row>
    <row r="42" spans="1:25" ht="15.6" x14ac:dyDescent="0.25">
      <c r="A42" s="8" t="s">
        <v>412</v>
      </c>
      <c r="B42" s="8" t="s">
        <v>424</v>
      </c>
      <c r="C42" s="2" t="str">
        <f>_xlfn.XLOOKUP(B42,[1]Sheet2!BF:BF, [1]Sheet2!C:C, "")</f>
        <v>男</v>
      </c>
      <c r="D42" s="10" t="s">
        <v>3653</v>
      </c>
      <c r="E42" s="2" t="s">
        <v>27</v>
      </c>
      <c r="F42" s="2" t="s">
        <v>28</v>
      </c>
      <c r="G42" s="2" t="s">
        <v>252</v>
      </c>
      <c r="H42" s="2" t="s">
        <v>253</v>
      </c>
      <c r="I42" s="2" t="s">
        <v>416</v>
      </c>
      <c r="O42" s="2" t="str">
        <f>_xlfn.LET(_xlpm.x, _xlfn.XLOOKUP(B42,Sheet3!N:N,Sheet3!O:O,""), IF(_xlpm.x=0,"",_xlpm.x))</f>
        <v>昆明市公安局五华分局</v>
      </c>
      <c r="P42" s="77" t="s">
        <v>7125</v>
      </c>
      <c r="Q42" s="2" t="s">
        <v>425</v>
      </c>
      <c r="R42" s="2" t="s">
        <v>33</v>
      </c>
      <c r="S42" s="2">
        <v>13669702096</v>
      </c>
      <c r="T42" s="2" t="s">
        <v>413</v>
      </c>
      <c r="V42" s="2" t="str">
        <f>_xlfn.LET(_xlpm.x, _xlfn.XLOOKUP(X42,家庭成员!J:J,家庭成员!D:D,""), IF(_xlpm.x=0,"",_xlpm.x))</f>
        <v>李咏梅</v>
      </c>
      <c r="W42" s="2" t="str">
        <f>_xlfn.LET(_xlpm.x, _xlfn.XLOOKUP(X42,家庭成员!J:J,家庭成员!C:C,""), IF(_xlpm.x=0,"",_xlpm.x))</f>
        <v>母亲</v>
      </c>
      <c r="X42" s="2" t="s">
        <v>430</v>
      </c>
      <c r="Y42" s="2" t="s">
        <v>34</v>
      </c>
    </row>
    <row r="43" spans="1:25" ht="15.6" x14ac:dyDescent="0.25">
      <c r="A43" s="8" t="s">
        <v>2020</v>
      </c>
      <c r="B43" s="8" t="s">
        <v>2027</v>
      </c>
      <c r="C43" s="2" t="str">
        <f>_xlfn.XLOOKUP(B43,[1]Sheet2!BF:BF, [1]Sheet2!C:C, "")</f>
        <v>女</v>
      </c>
      <c r="D43" s="10" t="s">
        <v>3654</v>
      </c>
      <c r="E43" s="2" t="s">
        <v>973</v>
      </c>
      <c r="F43" s="2" t="s">
        <v>119</v>
      </c>
      <c r="G43" s="2" t="s">
        <v>252</v>
      </c>
      <c r="H43" s="2" t="s">
        <v>29</v>
      </c>
      <c r="I43" s="2" t="s">
        <v>102</v>
      </c>
      <c r="O43" s="2" t="str">
        <f>_xlfn.LET(_xlpm.x, _xlfn.XLOOKUP(B43,Sheet3!N:N,Sheet3!O:O,""), IF(_xlpm.x=0,"",_xlpm.x))</f>
        <v>昆明市公安局官渡分局</v>
      </c>
      <c r="P43" s="77" t="s">
        <v>1990</v>
      </c>
      <c r="Q43" s="2" t="s">
        <v>3983</v>
      </c>
      <c r="R43" s="2" t="s">
        <v>33</v>
      </c>
      <c r="S43" s="2">
        <v>18908893273</v>
      </c>
      <c r="T43" s="2" t="s">
        <v>244</v>
      </c>
      <c r="V43" s="2" t="str">
        <f>_xlfn.LET(_xlpm.x, _xlfn.XLOOKUP(X43,家庭成员!J:J,家庭成员!D:D,""), IF(_xlpm.x=0,"",_xlpm.x))</f>
        <v/>
      </c>
      <c r="W43" s="2" t="str">
        <f>_xlfn.LET(_xlpm.x, _xlfn.XLOOKUP(X43,家庭成员!J:J,家庭成员!C:C,""), IF(_xlpm.x=0,"",_xlpm.x))</f>
        <v/>
      </c>
      <c r="X43" s="2" t="s">
        <v>244</v>
      </c>
      <c r="Y43" s="2" t="s">
        <v>34</v>
      </c>
    </row>
    <row r="44" spans="1:25" ht="15.6" x14ac:dyDescent="0.25">
      <c r="A44" s="8" t="s">
        <v>3473</v>
      </c>
      <c r="B44" s="8" t="s">
        <v>3477</v>
      </c>
      <c r="C44" s="2" t="str">
        <f>_xlfn.XLOOKUP(B44,[1]Sheet2!BF:BF, [1]Sheet2!C:C, "")</f>
        <v>男</v>
      </c>
      <c r="D44" s="10" t="s">
        <v>3655</v>
      </c>
      <c r="E44" s="2" t="s">
        <v>251</v>
      </c>
      <c r="F44" s="2" t="s">
        <v>119</v>
      </c>
      <c r="G44" s="2" t="s">
        <v>252</v>
      </c>
      <c r="H44" s="2" t="s">
        <v>29</v>
      </c>
      <c r="I44" s="2" t="s">
        <v>102</v>
      </c>
      <c r="O44" s="2" t="str">
        <f>_xlfn.LET(_xlpm.x, _xlfn.XLOOKUP(B44,Sheet3!N:N,Sheet3!O:O,""), IF(_xlpm.x=0,"",_xlpm.x))</f>
        <v>昆明市公安局盘龙分局</v>
      </c>
      <c r="P44" s="77" t="s">
        <v>3465</v>
      </c>
      <c r="Q44" s="2" t="s">
        <v>3449</v>
      </c>
      <c r="R44" s="2" t="s">
        <v>33</v>
      </c>
      <c r="S44" s="2">
        <v>13354986323</v>
      </c>
      <c r="T44" s="2" t="s">
        <v>244</v>
      </c>
      <c r="V44" s="2" t="str">
        <f>_xlfn.LET(_xlpm.x, _xlfn.XLOOKUP(X44,家庭成员!J:J,家庭成员!D:D,""), IF(_xlpm.x=0,"",_xlpm.x))</f>
        <v>杨绍琼</v>
      </c>
      <c r="W44" s="2" t="str">
        <f>_xlfn.LET(_xlpm.x, _xlfn.XLOOKUP(X44,家庭成员!J:J,家庭成员!C:C,""), IF(_xlpm.x=0,"",_xlpm.x))</f>
        <v>妻子</v>
      </c>
      <c r="X44" s="2" t="s">
        <v>3481</v>
      </c>
      <c r="Y44" s="2" t="s">
        <v>34</v>
      </c>
    </row>
    <row r="45" spans="1:25" ht="15.6" x14ac:dyDescent="0.25">
      <c r="A45" s="8" t="s">
        <v>3404</v>
      </c>
      <c r="B45" s="8" t="s">
        <v>3409</v>
      </c>
      <c r="C45" s="2" t="str">
        <f>_xlfn.XLOOKUP(B45,[1]Sheet2!BF:BF, [1]Sheet2!C:C, "")</f>
        <v>男</v>
      </c>
      <c r="D45" s="10" t="s">
        <v>3622</v>
      </c>
      <c r="E45" s="2" t="s">
        <v>27</v>
      </c>
      <c r="F45" s="2" t="s">
        <v>28</v>
      </c>
      <c r="G45" s="2" t="s">
        <v>252</v>
      </c>
      <c r="H45" s="2" t="s">
        <v>29</v>
      </c>
      <c r="I45" s="2" t="s">
        <v>102</v>
      </c>
      <c r="O45" s="2" t="str">
        <f>_xlfn.LET(_xlpm.x, _xlfn.XLOOKUP(B45,Sheet3!N:N,Sheet3!O:O,""), IF(_xlpm.x=0,"",_xlpm.x))</f>
        <v>昆明市公安局盘龙分局</v>
      </c>
      <c r="P45" s="77" t="s">
        <v>7126</v>
      </c>
      <c r="Q45" s="2" t="s">
        <v>3410</v>
      </c>
      <c r="R45" s="2" t="s">
        <v>33</v>
      </c>
      <c r="S45" s="2">
        <v>13629424148</v>
      </c>
      <c r="T45" s="2" t="s">
        <v>244</v>
      </c>
      <c r="V45" s="2" t="str">
        <f>_xlfn.LET(_xlpm.x, _xlfn.XLOOKUP(X45,家庭成员!J:J,家庭成员!D:D,""), IF(_xlpm.x=0,"",_xlpm.x))</f>
        <v>赵林吉</v>
      </c>
      <c r="W45" s="2" t="str">
        <f>_xlfn.LET(_xlpm.x, _xlfn.XLOOKUP(X45,家庭成员!J:J,家庭成员!C:C,""), IF(_xlpm.x=0,"",_xlpm.x))</f>
        <v>妻子</v>
      </c>
      <c r="X45" s="2" t="s">
        <v>3412</v>
      </c>
      <c r="Y45" s="2" t="s">
        <v>34</v>
      </c>
    </row>
    <row r="46" spans="1:25" ht="15.6" x14ac:dyDescent="0.25">
      <c r="A46" s="8" t="s">
        <v>3513</v>
      </c>
      <c r="B46" s="8" t="s">
        <v>3518</v>
      </c>
      <c r="C46" s="2" t="str">
        <f>_xlfn.XLOOKUP(B46,[1]Sheet2!BF:BF, [1]Sheet2!C:C, "")</f>
        <v>男</v>
      </c>
      <c r="D46" s="10" t="s">
        <v>3656</v>
      </c>
      <c r="E46" s="2" t="s">
        <v>27</v>
      </c>
      <c r="F46" s="2" t="s">
        <v>119</v>
      </c>
      <c r="G46" s="2" t="s">
        <v>252</v>
      </c>
      <c r="H46" s="2" t="s">
        <v>29</v>
      </c>
      <c r="I46" s="2" t="s">
        <v>102</v>
      </c>
      <c r="O46" s="2" t="str">
        <f>_xlfn.LET(_xlpm.x, _xlfn.XLOOKUP(B46,Sheet3!N:N,Sheet3!O:O,""), IF(_xlpm.x=0,"",_xlpm.x))</f>
        <v>昆明市公安局官渡分局</v>
      </c>
      <c r="P46" s="77" t="s">
        <v>7127</v>
      </c>
      <c r="Q46" s="2" t="s">
        <v>372</v>
      </c>
      <c r="R46" s="2" t="s">
        <v>33</v>
      </c>
      <c r="S46" s="2">
        <v>13099919881</v>
      </c>
      <c r="T46" s="2" t="s">
        <v>244</v>
      </c>
      <c r="V46" s="2" t="str">
        <f>_xlfn.LET(_xlpm.x, _xlfn.XLOOKUP(X46,家庭成员!J:J,家庭成员!D:D,""), IF(_xlpm.x=0,"",_xlpm.x))</f>
        <v>杨兴凤</v>
      </c>
      <c r="W46" s="2" t="str">
        <f>_xlfn.LET(_xlpm.x, _xlfn.XLOOKUP(X46,家庭成员!J:J,家庭成员!C:C,""), IF(_xlpm.x=0,"",_xlpm.x))</f>
        <v>妻子</v>
      </c>
      <c r="X46" s="2" t="s">
        <v>3522</v>
      </c>
      <c r="Y46" s="2" t="s">
        <v>34</v>
      </c>
    </row>
    <row r="47" spans="1:25" ht="15.6" x14ac:dyDescent="0.25">
      <c r="A47" s="8" t="s">
        <v>3452</v>
      </c>
      <c r="B47" s="8" t="s">
        <v>3456</v>
      </c>
      <c r="C47" s="2" t="str">
        <f>_xlfn.XLOOKUP(B47,[1]Sheet2!BF:BF, [1]Sheet2!C:C, "")</f>
        <v>男</v>
      </c>
      <c r="D47" s="10" t="s">
        <v>3631</v>
      </c>
      <c r="E47" s="2" t="s">
        <v>838</v>
      </c>
      <c r="F47" s="2" t="s">
        <v>119</v>
      </c>
      <c r="G47" s="2" t="s">
        <v>252</v>
      </c>
      <c r="H47" s="2" t="s">
        <v>29</v>
      </c>
      <c r="I47" s="2" t="s">
        <v>102</v>
      </c>
      <c r="O47" s="2" t="str">
        <f>_xlfn.LET(_xlpm.x, _xlfn.XLOOKUP(B47,Sheet3!N:N,Sheet3!O:O,""), IF(_xlpm.x=0,"",_xlpm.x))</f>
        <v>昆明市公安局盘龙分局</v>
      </c>
      <c r="P47" s="77" t="s">
        <v>7128</v>
      </c>
      <c r="Q47" s="2" t="s">
        <v>3457</v>
      </c>
      <c r="R47" s="2" t="s">
        <v>33</v>
      </c>
      <c r="S47" s="2">
        <v>15808707317</v>
      </c>
      <c r="T47" s="2" t="s">
        <v>244</v>
      </c>
      <c r="V47" s="2" t="str">
        <f>_xlfn.LET(_xlpm.x, _xlfn.XLOOKUP(X47,家庭成员!J:J,家庭成员!D:D,""), IF(_xlpm.x=0,"",_xlpm.x))</f>
        <v>李银梅</v>
      </c>
      <c r="W47" s="2" t="str">
        <f>_xlfn.LET(_xlpm.x, _xlfn.XLOOKUP(X47,家庭成员!J:J,家庭成员!C:C,""), IF(_xlpm.x=0,"",_xlpm.x))</f>
        <v>妻子</v>
      </c>
      <c r="X47" s="2" t="s">
        <v>3461</v>
      </c>
      <c r="Y47" s="2" t="s">
        <v>34</v>
      </c>
    </row>
    <row r="48" spans="1:25" ht="15.6" x14ac:dyDescent="0.25">
      <c r="A48" s="8" t="s">
        <v>3433</v>
      </c>
      <c r="B48" s="8" t="s">
        <v>3438</v>
      </c>
      <c r="C48" s="2" t="str">
        <f>_xlfn.XLOOKUP(B48,[1]Sheet2!BF:BF, [1]Sheet2!C:C, "")</f>
        <v>男</v>
      </c>
      <c r="D48" s="10" t="s">
        <v>3657</v>
      </c>
      <c r="E48" s="2" t="s">
        <v>435</v>
      </c>
      <c r="F48" s="2" t="s">
        <v>119</v>
      </c>
      <c r="G48" s="2" t="s">
        <v>252</v>
      </c>
      <c r="H48" s="2" t="s">
        <v>29</v>
      </c>
      <c r="I48" s="2" t="s">
        <v>102</v>
      </c>
      <c r="O48" s="2" t="str">
        <f>_xlfn.LET(_xlpm.x, _xlfn.XLOOKUP(B48,Sheet3!N:N,Sheet3!O:O,""), IF(_xlpm.x=0,"",_xlpm.x))</f>
        <v>富民县公安局</v>
      </c>
      <c r="P48" s="77" t="s">
        <v>7129</v>
      </c>
      <c r="Q48" s="2" t="s">
        <v>3439</v>
      </c>
      <c r="R48" s="2" t="s">
        <v>33</v>
      </c>
      <c r="S48" s="2">
        <v>13608844780</v>
      </c>
      <c r="T48" s="2" t="s">
        <v>244</v>
      </c>
      <c r="V48" s="2" t="str">
        <f>_xlfn.LET(_xlpm.x, _xlfn.XLOOKUP(X48,家庭成员!J:J,家庭成员!D:D,""), IF(_xlpm.x=0,"",_xlpm.x))</f>
        <v>吴占丽</v>
      </c>
      <c r="W48" s="2" t="str">
        <f>_xlfn.LET(_xlpm.x, _xlfn.XLOOKUP(X48,家庭成员!J:J,家庭成员!C:C,""), IF(_xlpm.x=0,"",_xlpm.x))</f>
        <v>妻子</v>
      </c>
      <c r="X48" s="2" t="s">
        <v>3444</v>
      </c>
      <c r="Y48" s="2" t="s">
        <v>34</v>
      </c>
    </row>
    <row r="49" spans="1:25" ht="15.6" x14ac:dyDescent="0.25">
      <c r="A49" s="8" t="s">
        <v>2852</v>
      </c>
      <c r="B49" s="8" t="s">
        <v>2856</v>
      </c>
      <c r="C49" s="2" t="str">
        <f>_xlfn.XLOOKUP(B49,[1]Sheet2!BF:BF, [1]Sheet2!C:C, "")</f>
        <v>男</v>
      </c>
      <c r="D49" s="10" t="s">
        <v>3658</v>
      </c>
      <c r="E49" s="2" t="s">
        <v>27</v>
      </c>
      <c r="F49" s="2" t="s">
        <v>119</v>
      </c>
      <c r="G49" s="2" t="s">
        <v>293</v>
      </c>
      <c r="H49" s="2" t="s">
        <v>29</v>
      </c>
      <c r="I49" s="2" t="s">
        <v>102</v>
      </c>
      <c r="O49" s="2" t="str">
        <f>_xlfn.LET(_xlpm.x, _xlfn.XLOOKUP(B49,Sheet3!N:N,Sheet3!O:O,""), IF(_xlpm.x=0,"",_xlpm.x))</f>
        <v>昆明市公安局盘龙分局</v>
      </c>
      <c r="P49" s="77" t="s">
        <v>7130</v>
      </c>
      <c r="Q49" s="2" t="s">
        <v>2857</v>
      </c>
      <c r="R49" s="2" t="s">
        <v>33</v>
      </c>
      <c r="S49" s="2">
        <v>13759470903</v>
      </c>
      <c r="T49" s="2" t="s">
        <v>244</v>
      </c>
      <c r="V49" s="2" t="str">
        <f>_xlfn.LET(_xlpm.x, _xlfn.XLOOKUP(X49,家庭成员!J:J,家庭成员!D:D,""), IF(_xlpm.x=0,"",_xlpm.x))</f>
        <v>王聪仙</v>
      </c>
      <c r="W49" s="2" t="str">
        <f>_xlfn.LET(_xlpm.x, _xlfn.XLOOKUP(X49,家庭成员!J:J,家庭成员!C:C,""), IF(_xlpm.x=0,"",_xlpm.x))</f>
        <v>母亲</v>
      </c>
      <c r="X49" s="2" t="s">
        <v>2861</v>
      </c>
      <c r="Y49" s="2" t="s">
        <v>34</v>
      </c>
    </row>
    <row r="50" spans="1:25" ht="15.6" x14ac:dyDescent="0.25">
      <c r="A50" s="8" t="s">
        <v>2142</v>
      </c>
      <c r="B50" s="8" t="s">
        <v>2147</v>
      </c>
      <c r="C50" s="2" t="str">
        <f>_xlfn.XLOOKUP(B50,[1]Sheet2!BF:BF, [1]Sheet2!C:C, "")</f>
        <v>女</v>
      </c>
      <c r="D50" s="10" t="s">
        <v>3659</v>
      </c>
      <c r="E50" s="2" t="s">
        <v>27</v>
      </c>
      <c r="F50" s="2" t="s">
        <v>119</v>
      </c>
      <c r="G50" s="2" t="s">
        <v>252</v>
      </c>
      <c r="H50" s="2" t="s">
        <v>253</v>
      </c>
      <c r="I50" s="2" t="s">
        <v>102</v>
      </c>
      <c r="O50" s="2" t="str">
        <f>_xlfn.LET(_xlpm.x, _xlfn.XLOOKUP(B50,Sheet3!N:N,Sheet3!O:O,""), IF(_xlpm.x=0,"",_xlpm.x))</f>
        <v>昆明市公安局官渡分局</v>
      </c>
      <c r="P50" s="77" t="s">
        <v>780</v>
      </c>
      <c r="Q50" s="2" t="s">
        <v>2148</v>
      </c>
      <c r="R50" s="2" t="s">
        <v>33</v>
      </c>
      <c r="S50" s="2">
        <v>13759502516</v>
      </c>
      <c r="T50" s="2" t="s">
        <v>244</v>
      </c>
      <c r="V50" s="2" t="str">
        <f>_xlfn.LET(_xlpm.x, _xlfn.XLOOKUP(X50,家庭成员!J:J,家庭成员!D:D,""), IF(_xlpm.x=0,"",_xlpm.x))</f>
        <v/>
      </c>
      <c r="W50" s="2" t="str">
        <f>_xlfn.LET(_xlpm.x, _xlfn.XLOOKUP(X50,家庭成员!J:J,家庭成员!C:C,""), IF(_xlpm.x=0,"",_xlpm.x))</f>
        <v/>
      </c>
      <c r="X50" s="2" t="s">
        <v>244</v>
      </c>
      <c r="Y50" s="2" t="s">
        <v>34</v>
      </c>
    </row>
    <row r="51" spans="1:25" ht="15.6" x14ac:dyDescent="0.25">
      <c r="A51" s="8" t="s">
        <v>664</v>
      </c>
      <c r="B51" s="8" t="s">
        <v>679</v>
      </c>
      <c r="C51" s="2" t="str">
        <f>_xlfn.XLOOKUP(B51,[1]Sheet2!BF:BF, [1]Sheet2!C:C, "")</f>
        <v>男</v>
      </c>
      <c r="D51" s="10" t="s">
        <v>3660</v>
      </c>
      <c r="E51" s="2" t="s">
        <v>435</v>
      </c>
      <c r="F51" s="2" t="s">
        <v>119</v>
      </c>
      <c r="G51" s="2" t="s">
        <v>252</v>
      </c>
      <c r="H51" s="2" t="s">
        <v>253</v>
      </c>
      <c r="I51" s="2" t="s">
        <v>669</v>
      </c>
      <c r="O51" s="2" t="str">
        <f>_xlfn.LET(_xlpm.x, _xlfn.XLOOKUP(B51,Sheet3!N:N,Sheet3!O:O,""), IF(_xlpm.x=0,"",_xlpm.x))</f>
        <v>昆明市公安局盘龙分局</v>
      </c>
      <c r="P51" s="77" t="s">
        <v>7131</v>
      </c>
      <c r="Q51" s="2" t="s">
        <v>680</v>
      </c>
      <c r="R51" s="2" t="s">
        <v>33</v>
      </c>
      <c r="S51" s="2">
        <v>15388718958</v>
      </c>
      <c r="T51" s="2" t="s">
        <v>666</v>
      </c>
      <c r="V51" s="2" t="str">
        <f>_xlfn.LET(_xlpm.x, _xlfn.XLOOKUP(X51,家庭成员!J:J,家庭成员!D:D,""), IF(_xlpm.x=0,"",_xlpm.x))</f>
        <v>李娟</v>
      </c>
      <c r="W51" s="2" t="str">
        <f>_xlfn.LET(_xlpm.x, _xlfn.XLOOKUP(X51,家庭成员!J:J,家庭成员!C:C,""), IF(_xlpm.x=0,"",_xlpm.x))</f>
        <v>母亲</v>
      </c>
      <c r="X51" s="2" t="s">
        <v>686</v>
      </c>
      <c r="Y51" s="2" t="s">
        <v>34</v>
      </c>
    </row>
    <row r="52" spans="1:25" ht="15.6" x14ac:dyDescent="0.25">
      <c r="A52" s="8" t="s">
        <v>1616</v>
      </c>
      <c r="B52" s="8" t="s">
        <v>1623</v>
      </c>
      <c r="C52" s="2" t="str">
        <f>_xlfn.XLOOKUP(B52,[1]Sheet2!BF:BF, [1]Sheet2!C:C, "")</f>
        <v>男</v>
      </c>
      <c r="D52" s="10" t="s">
        <v>3661</v>
      </c>
      <c r="E52" s="2" t="s">
        <v>27</v>
      </c>
      <c r="F52" s="2" t="s">
        <v>119</v>
      </c>
      <c r="G52" s="2" t="s">
        <v>252</v>
      </c>
      <c r="H52" s="2" t="s">
        <v>29</v>
      </c>
      <c r="I52" s="2" t="s">
        <v>1618</v>
      </c>
      <c r="O52" s="2" t="str">
        <f>_xlfn.LET(_xlpm.x, _xlfn.XLOOKUP(B52,Sheet3!N:N,Sheet3!O:O,""), IF(_xlpm.x=0,"",_xlpm.x))</f>
        <v>昆明市公安局盘龙分局</v>
      </c>
      <c r="P52" s="77" t="s">
        <v>7132</v>
      </c>
      <c r="Q52" s="2" t="s">
        <v>1478</v>
      </c>
      <c r="R52" s="2" t="s">
        <v>33</v>
      </c>
      <c r="S52" s="2">
        <v>13888025668</v>
      </c>
      <c r="T52" s="2" t="s">
        <v>244</v>
      </c>
      <c r="V52" s="2" t="str">
        <f>_xlfn.LET(_xlpm.x, _xlfn.XLOOKUP(X52,家庭成员!J:J,家庭成员!D:D,""), IF(_xlpm.x=0,"",_xlpm.x))</f>
        <v/>
      </c>
      <c r="W52" s="2" t="str">
        <f>_xlfn.LET(_xlpm.x, _xlfn.XLOOKUP(X52,家庭成员!J:J,家庭成员!C:C,""), IF(_xlpm.x=0,"",_xlpm.x))</f>
        <v/>
      </c>
      <c r="X52" s="2" t="s">
        <v>244</v>
      </c>
      <c r="Y52" s="2" t="s">
        <v>34</v>
      </c>
    </row>
    <row r="53" spans="1:25" ht="15.6" x14ac:dyDescent="0.25">
      <c r="A53" s="8" t="s">
        <v>3572</v>
      </c>
      <c r="B53" s="8" t="s">
        <v>3577</v>
      </c>
      <c r="C53" s="2" t="str">
        <f>_xlfn.XLOOKUP(B53,[1]Sheet2!BF:BF, [1]Sheet2!C:C, "")</f>
        <v>女</v>
      </c>
      <c r="D53" s="10" t="s">
        <v>3662</v>
      </c>
      <c r="E53" s="2" t="s">
        <v>27</v>
      </c>
      <c r="F53" s="2" t="s">
        <v>119</v>
      </c>
      <c r="G53" s="2" t="s">
        <v>252</v>
      </c>
      <c r="H53" s="2" t="s">
        <v>29</v>
      </c>
      <c r="I53" s="2" t="s">
        <v>102</v>
      </c>
      <c r="O53" s="2" t="str">
        <f>_xlfn.LET(_xlpm.x, _xlfn.XLOOKUP(B53,Sheet3!N:N,Sheet3!O:O,""), IF(_xlpm.x=0,"",_xlpm.x))</f>
        <v>昆明市公安局五华分局</v>
      </c>
      <c r="P53" s="77" t="s">
        <v>7133</v>
      </c>
      <c r="Q53" s="2" t="s">
        <v>3578</v>
      </c>
      <c r="R53" s="2" t="s">
        <v>33</v>
      </c>
      <c r="S53" s="2">
        <v>13708489013</v>
      </c>
      <c r="T53" s="2" t="s">
        <v>244</v>
      </c>
      <c r="V53" s="2" t="str">
        <f>_xlfn.LET(_xlpm.x, _xlfn.XLOOKUP(X53,家庭成员!J:J,家庭成员!D:D,""), IF(_xlpm.x=0,"",_xlpm.x))</f>
        <v>林劲</v>
      </c>
      <c r="W53" s="2" t="str">
        <f>_xlfn.LET(_xlpm.x, _xlfn.XLOOKUP(X53,家庭成员!J:J,家庭成员!C:C,""), IF(_xlpm.x=0,"",_xlpm.x))</f>
        <v>丈夫</v>
      </c>
      <c r="X53" s="2" t="s">
        <v>3580</v>
      </c>
      <c r="Y53" s="2" t="s">
        <v>34</v>
      </c>
    </row>
    <row r="54" spans="1:25" ht="15.6" x14ac:dyDescent="0.25">
      <c r="A54" s="8" t="s">
        <v>3005</v>
      </c>
      <c r="B54" s="8" t="s">
        <v>3009</v>
      </c>
      <c r="C54" s="2" t="str">
        <f>_xlfn.XLOOKUP(B54,[1]Sheet2!BF:BF, [1]Sheet2!C:C, "")</f>
        <v>女</v>
      </c>
      <c r="D54" s="10" t="s">
        <v>3663</v>
      </c>
      <c r="E54" s="2" t="s">
        <v>27</v>
      </c>
      <c r="F54" s="2" t="s">
        <v>28</v>
      </c>
      <c r="G54" s="2" t="s">
        <v>252</v>
      </c>
      <c r="H54" s="2" t="s">
        <v>29</v>
      </c>
      <c r="I54" s="2" t="s">
        <v>102</v>
      </c>
      <c r="O54" s="2" t="str">
        <f>_xlfn.LET(_xlpm.x, _xlfn.XLOOKUP(B54,Sheet3!N:N,Sheet3!O:O,""), IF(_xlpm.x=0,"",_xlpm.x))</f>
        <v>昆明市公安局盘龙分局</v>
      </c>
      <c r="P54" s="77" t="s">
        <v>7134</v>
      </c>
      <c r="Q54" s="2" t="s">
        <v>3010</v>
      </c>
      <c r="R54" s="2" t="s">
        <v>33</v>
      </c>
      <c r="S54" s="2">
        <v>13888072406</v>
      </c>
      <c r="T54" s="2" t="s">
        <v>3006</v>
      </c>
      <c r="V54" s="2" t="str">
        <f>_xlfn.LET(_xlpm.x, _xlfn.XLOOKUP(X54,家庭成员!J:J,家庭成员!D:D,""), IF(_xlpm.x=0,"",_xlpm.x))</f>
        <v>王璟</v>
      </c>
      <c r="W54" s="2" t="str">
        <f>_xlfn.LET(_xlpm.x, _xlfn.XLOOKUP(X54,家庭成员!J:J,家庭成员!C:C,""), IF(_xlpm.x=0,"",_xlpm.x))</f>
        <v>丈夫</v>
      </c>
      <c r="X54" s="2" t="s">
        <v>3013</v>
      </c>
      <c r="Y54" s="2" t="s">
        <v>34</v>
      </c>
    </row>
    <row r="55" spans="1:25" ht="15.6" x14ac:dyDescent="0.25">
      <c r="A55" s="8" t="s">
        <v>2846</v>
      </c>
      <c r="B55" s="8" t="s">
        <v>2850</v>
      </c>
      <c r="C55" s="2" t="str">
        <f>_xlfn.XLOOKUP(B55,[1]Sheet2!BF:BF, [1]Sheet2!C:C, "")</f>
        <v>男</v>
      </c>
      <c r="D55" s="10" t="s">
        <v>3664</v>
      </c>
      <c r="E55" s="2" t="s">
        <v>27</v>
      </c>
      <c r="F55" s="2" t="s">
        <v>119</v>
      </c>
      <c r="G55" s="2" t="s">
        <v>252</v>
      </c>
      <c r="H55" s="2" t="s">
        <v>29</v>
      </c>
      <c r="I55" s="2" t="s">
        <v>102</v>
      </c>
      <c r="O55" s="2" t="str">
        <f>_xlfn.LET(_xlpm.x, _xlfn.XLOOKUP(B55,Sheet3!N:N,Sheet3!O:O,""), IF(_xlpm.x=0,"",_xlpm.x))</f>
        <v>富民县公安局</v>
      </c>
      <c r="P55" s="77" t="s">
        <v>7135</v>
      </c>
      <c r="Q55" s="2" t="s">
        <v>2851</v>
      </c>
      <c r="R55" s="2" t="s">
        <v>33</v>
      </c>
      <c r="S55" s="2">
        <v>15288130252</v>
      </c>
      <c r="T55" s="2" t="s">
        <v>244</v>
      </c>
      <c r="V55" s="2" t="str">
        <f>_xlfn.LET(_xlpm.x, _xlfn.XLOOKUP(X55,家庭成员!J:J,家庭成员!D:D,""), IF(_xlpm.x=0,"",_xlpm.x))</f>
        <v/>
      </c>
      <c r="W55" s="2" t="str">
        <f>_xlfn.LET(_xlpm.x, _xlfn.XLOOKUP(X55,家庭成员!J:J,家庭成员!C:C,""), IF(_xlpm.x=0,"",_xlpm.x))</f>
        <v/>
      </c>
      <c r="X55" s="2" t="s">
        <v>244</v>
      </c>
      <c r="Y55" s="2" t="s">
        <v>34</v>
      </c>
    </row>
    <row r="56" spans="1:25" ht="15.6" x14ac:dyDescent="0.25">
      <c r="A56" s="8" t="s">
        <v>527</v>
      </c>
      <c r="B56" s="8" t="s">
        <v>538</v>
      </c>
      <c r="C56" s="2" t="str">
        <f>_xlfn.XLOOKUP(B56,[1]Sheet2!BF:BF, [1]Sheet2!C:C, "")</f>
        <v>男</v>
      </c>
      <c r="D56" s="10" t="s">
        <v>3665</v>
      </c>
      <c r="E56" s="2" t="s">
        <v>27</v>
      </c>
      <c r="F56" s="2" t="s">
        <v>119</v>
      </c>
      <c r="G56" s="2" t="s">
        <v>293</v>
      </c>
      <c r="H56" s="2" t="s">
        <v>253</v>
      </c>
      <c r="I56" s="2" t="s">
        <v>102</v>
      </c>
      <c r="O56" s="2" t="str">
        <f>_xlfn.LET(_xlpm.x, _xlfn.XLOOKUP(B56,Sheet3!N:N,Sheet3!O:O,""), IF(_xlpm.x=0,"",_xlpm.x))</f>
        <v>昆明市公安局呈贡分局</v>
      </c>
      <c r="P56" s="77" t="s">
        <v>7136</v>
      </c>
      <c r="Q56" s="2" t="s">
        <v>539</v>
      </c>
      <c r="R56" s="2" t="s">
        <v>33</v>
      </c>
      <c r="S56" s="2">
        <v>18206864823</v>
      </c>
      <c r="T56" s="2" t="s">
        <v>528</v>
      </c>
      <c r="V56" s="2" t="str">
        <f>_xlfn.LET(_xlpm.x, _xlfn.XLOOKUP(X56,家庭成员!J:J,家庭成员!D:D,""), IF(_xlpm.x=0,"",_xlpm.x))</f>
        <v>倪义</v>
      </c>
      <c r="W56" s="2" t="str">
        <f>_xlfn.LET(_xlpm.x, _xlfn.XLOOKUP(X56,家庭成员!J:J,家庭成员!C:C,""), IF(_xlpm.x=0,"",_xlpm.x))</f>
        <v>父亲</v>
      </c>
      <c r="X56" s="2" t="s">
        <v>546</v>
      </c>
      <c r="Y56" s="2" t="s">
        <v>34</v>
      </c>
    </row>
    <row r="57" spans="1:25" ht="15.6" x14ac:dyDescent="0.25">
      <c r="A57" s="8" t="s">
        <v>3256</v>
      </c>
      <c r="B57" s="8" t="s">
        <v>3262</v>
      </c>
      <c r="C57" s="2" t="str">
        <f>_xlfn.XLOOKUP(B57,[1]Sheet2!BF:BF, [1]Sheet2!C:C, "")</f>
        <v>男</v>
      </c>
      <c r="D57" s="10" t="s">
        <v>3666</v>
      </c>
      <c r="E57" s="2" t="s">
        <v>27</v>
      </c>
      <c r="F57" s="2" t="s">
        <v>119</v>
      </c>
      <c r="G57" s="2" t="s">
        <v>270</v>
      </c>
      <c r="H57" s="2" t="s">
        <v>29</v>
      </c>
      <c r="I57" s="2" t="s">
        <v>102</v>
      </c>
      <c r="O57" s="2" t="str">
        <f>_xlfn.LET(_xlpm.x, _xlfn.XLOOKUP(B57,Sheet3!N:N,Sheet3!O:O,""), IF(_xlpm.x=0,"",_xlpm.x))</f>
        <v>江川县公安局</v>
      </c>
      <c r="P57" s="77" t="s">
        <v>7137</v>
      </c>
      <c r="Q57" s="2" t="s">
        <v>3263</v>
      </c>
      <c r="R57" s="2" t="s">
        <v>33</v>
      </c>
      <c r="S57" s="2">
        <v>13518705179</v>
      </c>
      <c r="T57" s="2" t="s">
        <v>244</v>
      </c>
      <c r="V57" s="2" t="str">
        <f>_xlfn.LET(_xlpm.x, _xlfn.XLOOKUP(X57,家庭成员!J:J,家庭成员!D:D,""), IF(_xlpm.x=0,"",_xlpm.x))</f>
        <v>褚艳芬</v>
      </c>
      <c r="W57" s="2" t="str">
        <f>_xlfn.LET(_xlpm.x, _xlfn.XLOOKUP(X57,家庭成员!J:J,家庭成员!C:C,""), IF(_xlpm.x=0,"",_xlpm.x))</f>
        <v>妻子</v>
      </c>
      <c r="X57" s="2" t="s">
        <v>3265</v>
      </c>
      <c r="Y57" s="2" t="s">
        <v>34</v>
      </c>
    </row>
    <row r="58" spans="1:25" ht="15.6" x14ac:dyDescent="0.25">
      <c r="A58" s="8" t="s">
        <v>1901</v>
      </c>
      <c r="B58" s="8" t="s">
        <v>1905</v>
      </c>
      <c r="C58" s="2" t="str">
        <f>_xlfn.XLOOKUP(B58,[1]Sheet2!BF:BF, [1]Sheet2!C:C, "")</f>
        <v>男</v>
      </c>
      <c r="D58" s="10" t="s">
        <v>3667</v>
      </c>
      <c r="E58" s="2" t="s">
        <v>251</v>
      </c>
      <c r="F58" s="2" t="s">
        <v>272</v>
      </c>
      <c r="G58" s="2" t="s">
        <v>293</v>
      </c>
      <c r="H58" s="2" t="s">
        <v>29</v>
      </c>
      <c r="I58" s="2" t="s">
        <v>102</v>
      </c>
      <c r="O58" s="2" t="str">
        <f>_xlfn.LET(_xlpm.x, _xlfn.XLOOKUP(B58,Sheet3!N:N,Sheet3!O:O,""), IF(_xlpm.x=0,"",_xlpm.x))</f>
        <v>晋宁县公安局</v>
      </c>
      <c r="P58" s="77" t="s">
        <v>7138</v>
      </c>
      <c r="Q58" s="2" t="s">
        <v>32</v>
      </c>
      <c r="R58" s="2" t="s">
        <v>33</v>
      </c>
      <c r="S58" s="2">
        <v>13529148300</v>
      </c>
      <c r="T58" s="2" t="s">
        <v>244</v>
      </c>
      <c r="V58" s="2" t="str">
        <f>_xlfn.LET(_xlpm.x, _xlfn.XLOOKUP(X58,家庭成员!J:J,家庭成员!D:D,""), IF(_xlpm.x=0,"",_xlpm.x))</f>
        <v>陈学文</v>
      </c>
      <c r="W58" s="2" t="str">
        <f>_xlfn.LET(_xlpm.x, _xlfn.XLOOKUP(X58,家庭成员!J:J,家庭成员!C:C,""), IF(_xlpm.x=0,"",_xlpm.x))</f>
        <v>父亲</v>
      </c>
      <c r="X58" s="2" t="s">
        <v>1908</v>
      </c>
      <c r="Y58" s="2" t="s">
        <v>34</v>
      </c>
    </row>
    <row r="59" spans="1:25" ht="15.6" x14ac:dyDescent="0.25">
      <c r="A59" s="8" t="s">
        <v>1230</v>
      </c>
      <c r="B59" s="8" t="s">
        <v>1235</v>
      </c>
      <c r="C59" s="2" t="str">
        <f>_xlfn.XLOOKUP(B59,[1]Sheet2!BF:BF, [1]Sheet2!C:C, "")</f>
        <v>女</v>
      </c>
      <c r="D59" s="10" t="s">
        <v>3668</v>
      </c>
      <c r="E59" s="2" t="s">
        <v>27</v>
      </c>
      <c r="F59" s="2" t="s">
        <v>272</v>
      </c>
      <c r="G59" s="2" t="s">
        <v>293</v>
      </c>
      <c r="H59" s="2" t="s">
        <v>253</v>
      </c>
      <c r="I59" s="2" t="s">
        <v>102</v>
      </c>
      <c r="O59" s="2" t="str">
        <f>_xlfn.LET(_xlpm.x, _xlfn.XLOOKUP(B59,Sheet3!N:N,Sheet3!O:O,""), IF(_xlpm.x=0,"",_xlpm.x))</f>
        <v>晋宁县公安局</v>
      </c>
      <c r="P59" s="77" t="s">
        <v>7139</v>
      </c>
      <c r="Q59" s="2" t="s">
        <v>1236</v>
      </c>
      <c r="R59" s="2" t="s">
        <v>33</v>
      </c>
      <c r="S59" s="2">
        <v>18082903252</v>
      </c>
      <c r="T59" s="2" t="s">
        <v>244</v>
      </c>
      <c r="V59" s="2" t="str">
        <f>_xlfn.LET(_xlpm.x, _xlfn.XLOOKUP(X59,家庭成员!J:J,家庭成员!D:D,""), IF(_xlpm.x=0,"",_xlpm.x))</f>
        <v>周虎</v>
      </c>
      <c r="W59" s="2" t="str">
        <f>_xlfn.LET(_xlpm.x, _xlfn.XLOOKUP(X59,家庭成员!J:J,家庭成员!C:C,""), IF(_xlpm.x=0,"",_xlpm.x))</f>
        <v>父亲</v>
      </c>
      <c r="X59" s="2" t="s">
        <v>1241</v>
      </c>
      <c r="Y59" s="2" t="s">
        <v>34</v>
      </c>
    </row>
    <row r="60" spans="1:25" ht="15.6" x14ac:dyDescent="0.25">
      <c r="A60" s="8" t="s">
        <v>247</v>
      </c>
      <c r="B60" s="8" t="s">
        <v>262</v>
      </c>
      <c r="C60" s="2" t="str">
        <f>_xlfn.XLOOKUP(B60,[1]Sheet2!BF:BF, [1]Sheet2!C:C, "")</f>
        <v>男</v>
      </c>
      <c r="D60" s="10" t="s">
        <v>3669</v>
      </c>
      <c r="E60" s="2" t="s">
        <v>251</v>
      </c>
      <c r="F60" s="2" t="s">
        <v>119</v>
      </c>
      <c r="G60" s="2" t="s">
        <v>252</v>
      </c>
      <c r="H60" s="2" t="s">
        <v>253</v>
      </c>
      <c r="I60" s="2" t="s">
        <v>102</v>
      </c>
      <c r="O60" s="2" t="str">
        <f>_xlfn.LET(_xlpm.x, _xlfn.XLOOKUP(B60,Sheet3!N:N,Sheet3!O:O,""), IF(_xlpm.x=0,"",_xlpm.x))</f>
        <v/>
      </c>
      <c r="P60" s="77" t="s">
        <v>244</v>
      </c>
      <c r="Q60" s="2" t="s">
        <v>244</v>
      </c>
      <c r="R60" s="2" t="s">
        <v>239</v>
      </c>
      <c r="S60" s="2">
        <v>18314340264</v>
      </c>
      <c r="T60" s="2" t="s">
        <v>248</v>
      </c>
      <c r="V60" s="2" t="str">
        <f>_xlfn.LET(_xlpm.x, _xlfn.XLOOKUP(X60,家庭成员!J:J,家庭成员!D:D,""), IF(_xlpm.x=0,"",_xlpm.x))</f>
        <v/>
      </c>
      <c r="W60" s="2" t="str">
        <f>_xlfn.LET(_xlpm.x, _xlfn.XLOOKUP(X60,家庭成员!J:J,家庭成员!C:C,""), IF(_xlpm.x=0,"",_xlpm.x))</f>
        <v/>
      </c>
      <c r="X60" s="2"/>
      <c r="Y60" s="2" t="s">
        <v>34</v>
      </c>
    </row>
    <row r="61" spans="1:25" ht="15.6" x14ac:dyDescent="0.25">
      <c r="A61" s="8" t="s">
        <v>3128</v>
      </c>
      <c r="B61" s="8" t="s">
        <v>3133</v>
      </c>
      <c r="C61" s="2" t="str">
        <f>_xlfn.XLOOKUP(B61,[1]Sheet2!BF:BF, [1]Sheet2!C:C, "")</f>
        <v>男</v>
      </c>
      <c r="D61" s="10" t="s">
        <v>3670</v>
      </c>
      <c r="E61" s="2" t="s">
        <v>27</v>
      </c>
      <c r="F61" s="2" t="s">
        <v>119</v>
      </c>
      <c r="G61" s="2" t="s">
        <v>293</v>
      </c>
      <c r="H61" s="2" t="s">
        <v>29</v>
      </c>
      <c r="I61" s="2" t="s">
        <v>102</v>
      </c>
      <c r="O61" s="2" t="str">
        <f>_xlfn.LET(_xlpm.x, _xlfn.XLOOKUP(B61,Sheet3!N:N,Sheet3!O:O,""), IF(_xlpm.x=0,"",_xlpm.x))</f>
        <v>富民县公安局</v>
      </c>
      <c r="P61" s="77" t="s">
        <v>7140</v>
      </c>
      <c r="Q61" s="2" t="s">
        <v>3134</v>
      </c>
      <c r="R61" s="2" t="s">
        <v>33</v>
      </c>
      <c r="S61" s="2">
        <v>13629675367</v>
      </c>
      <c r="T61" s="2" t="s">
        <v>244</v>
      </c>
      <c r="V61" s="2" t="str">
        <f>_xlfn.LET(_xlpm.x, _xlfn.XLOOKUP(X61,家庭成员!J:J,家庭成员!D:D,""), IF(_xlpm.x=0,"",_xlpm.x))</f>
        <v>耿琼芝</v>
      </c>
      <c r="W61" s="2" t="str">
        <f>_xlfn.LET(_xlpm.x, _xlfn.XLOOKUP(X61,家庭成员!J:J,家庭成员!C:C,""), IF(_xlpm.x=0,"",_xlpm.x))</f>
        <v>妻子</v>
      </c>
      <c r="X61" s="2" t="s">
        <v>3136</v>
      </c>
      <c r="Y61" s="2" t="s">
        <v>34</v>
      </c>
    </row>
    <row r="62" spans="1:25" ht="15.6" x14ac:dyDescent="0.25">
      <c r="A62" s="8" t="s">
        <v>3081</v>
      </c>
      <c r="B62" s="8" t="s">
        <v>3085</v>
      </c>
      <c r="C62" s="2" t="str">
        <f>_xlfn.XLOOKUP(B62,[1]Sheet2!BF:BF, [1]Sheet2!C:C, "")</f>
        <v>男</v>
      </c>
      <c r="D62" s="10" t="s">
        <v>3671</v>
      </c>
      <c r="E62" s="2" t="s">
        <v>27</v>
      </c>
      <c r="F62" s="2" t="s">
        <v>119</v>
      </c>
      <c r="G62" s="2" t="s">
        <v>293</v>
      </c>
      <c r="H62" s="2" t="s">
        <v>29</v>
      </c>
      <c r="I62" s="2" t="s">
        <v>102</v>
      </c>
      <c r="O62" s="2" t="str">
        <f>_xlfn.LET(_xlpm.x, _xlfn.XLOOKUP(B62,Sheet3!N:N,Sheet3!O:O,""), IF(_xlpm.x=0,"",_xlpm.x))</f>
        <v>富民县公安局</v>
      </c>
      <c r="P62" s="77" t="s">
        <v>86</v>
      </c>
      <c r="Q62" s="2" t="s">
        <v>2813</v>
      </c>
      <c r="R62" s="2" t="s">
        <v>33</v>
      </c>
      <c r="S62" s="2">
        <v>15987162869</v>
      </c>
      <c r="T62" s="2" t="s">
        <v>244</v>
      </c>
      <c r="V62" s="2" t="str">
        <f>_xlfn.LET(_xlpm.x, _xlfn.XLOOKUP(X62,家庭成员!J:J,家庭成员!D:D,""), IF(_xlpm.x=0,"",_xlpm.x))</f>
        <v>李祖仙</v>
      </c>
      <c r="W62" s="2" t="str">
        <f>_xlfn.LET(_xlpm.x, _xlfn.XLOOKUP(X62,家庭成员!J:J,家庭成员!C:C,""), IF(_xlpm.x=0,"",_xlpm.x))</f>
        <v>妻子</v>
      </c>
      <c r="X62" s="2" t="s">
        <v>3087</v>
      </c>
      <c r="Y62" s="2" t="s">
        <v>34</v>
      </c>
    </row>
    <row r="63" spans="1:25" ht="15.6" x14ac:dyDescent="0.25">
      <c r="A63" s="8" t="s">
        <v>2582</v>
      </c>
      <c r="B63" s="8" t="s">
        <v>2586</v>
      </c>
      <c r="C63" s="2" t="str">
        <f>_xlfn.XLOOKUP(B63,[1]Sheet2!BF:BF, [1]Sheet2!C:C, "")</f>
        <v>男</v>
      </c>
      <c r="D63" s="10" t="s">
        <v>3672</v>
      </c>
      <c r="E63" s="2" t="s">
        <v>27</v>
      </c>
      <c r="F63" s="2" t="s">
        <v>119</v>
      </c>
      <c r="G63" s="2" t="s">
        <v>293</v>
      </c>
      <c r="H63" s="2" t="s">
        <v>29</v>
      </c>
      <c r="I63" s="2" t="s">
        <v>102</v>
      </c>
      <c r="O63" s="2" t="str">
        <f>_xlfn.LET(_xlpm.x, _xlfn.XLOOKUP(B63,Sheet3!N:N,Sheet3!O:O,""), IF(_xlpm.x=0,"",_xlpm.x))</f>
        <v>富民县公安局</v>
      </c>
      <c r="P63" s="77" t="s">
        <v>7141</v>
      </c>
      <c r="Q63" s="2" t="s">
        <v>3983</v>
      </c>
      <c r="R63" s="2" t="s">
        <v>33</v>
      </c>
      <c r="S63" s="2">
        <v>15912163467</v>
      </c>
      <c r="T63" s="2" t="s">
        <v>244</v>
      </c>
      <c r="V63" s="2" t="str">
        <f>_xlfn.LET(_xlpm.x, _xlfn.XLOOKUP(X63,家庭成员!J:J,家庭成员!D:D,""), IF(_xlpm.x=0,"",_xlpm.x))</f>
        <v>李双琼</v>
      </c>
      <c r="W63" s="2" t="str">
        <f>_xlfn.LET(_xlpm.x, _xlfn.XLOOKUP(X63,家庭成员!J:J,家庭成员!C:C,""), IF(_xlpm.x=0,"",_xlpm.x))</f>
        <v>妻子</v>
      </c>
      <c r="X63" s="2" t="s">
        <v>2588</v>
      </c>
      <c r="Y63" s="2" t="s">
        <v>34</v>
      </c>
    </row>
    <row r="64" spans="1:25" ht="15.6" x14ac:dyDescent="0.25">
      <c r="A64" s="8" t="s">
        <v>3312</v>
      </c>
      <c r="B64" s="8" t="s">
        <v>3316</v>
      </c>
      <c r="C64" s="2" t="str">
        <f>_xlfn.XLOOKUP(B64,[1]Sheet2!BF:BF, [1]Sheet2!C:C, "")</f>
        <v>男</v>
      </c>
      <c r="D64" s="10" t="s">
        <v>3673</v>
      </c>
      <c r="E64" s="2" t="s">
        <v>27</v>
      </c>
      <c r="F64" s="2" t="s">
        <v>119</v>
      </c>
      <c r="G64" s="2" t="s">
        <v>293</v>
      </c>
      <c r="H64" s="2" t="s">
        <v>1349</v>
      </c>
      <c r="I64" s="2" t="s">
        <v>102</v>
      </c>
      <c r="O64" s="2" t="str">
        <f>_xlfn.LET(_xlpm.x, _xlfn.XLOOKUP(B64,Sheet3!N:N,Sheet3!O:O,""), IF(_xlpm.x=0,"",_xlpm.x))</f>
        <v>富民县公安局</v>
      </c>
      <c r="P64" s="77" t="s">
        <v>7142</v>
      </c>
      <c r="Q64" s="2" t="s">
        <v>2675</v>
      </c>
      <c r="R64" s="2" t="s">
        <v>33</v>
      </c>
      <c r="S64" s="2">
        <v>13888834810</v>
      </c>
      <c r="T64" s="2" t="s">
        <v>244</v>
      </c>
      <c r="V64" s="2" t="str">
        <f>_xlfn.LET(_xlpm.x, _xlfn.XLOOKUP(X64,家庭成员!J:J,家庭成员!D:D,""), IF(_xlpm.x=0,"",_xlpm.x))</f>
        <v/>
      </c>
      <c r="W64" s="2" t="str">
        <f>_xlfn.LET(_xlpm.x, _xlfn.XLOOKUP(X64,家庭成员!J:J,家庭成员!C:C,""), IF(_xlpm.x=0,"",_xlpm.x))</f>
        <v/>
      </c>
      <c r="X64" s="2" t="s">
        <v>244</v>
      </c>
      <c r="Y64" s="2" t="s">
        <v>34</v>
      </c>
    </row>
    <row r="65" spans="1:25" ht="15.6" x14ac:dyDescent="0.25">
      <c r="A65" s="8" t="s">
        <v>2790</v>
      </c>
      <c r="B65" s="8" t="s">
        <v>2795</v>
      </c>
      <c r="C65" s="2" t="str">
        <f>_xlfn.XLOOKUP(B65,[1]Sheet2!BF:BF, [1]Sheet2!C:C, "")</f>
        <v>男</v>
      </c>
      <c r="D65" s="10" t="s">
        <v>3674</v>
      </c>
      <c r="E65" s="2" t="s">
        <v>27</v>
      </c>
      <c r="F65" s="2" t="s">
        <v>119</v>
      </c>
      <c r="G65" s="2" t="s">
        <v>252</v>
      </c>
      <c r="H65" s="2" t="s">
        <v>29</v>
      </c>
      <c r="I65" s="2" t="s">
        <v>102</v>
      </c>
      <c r="O65" s="2" t="str">
        <f>_xlfn.LET(_xlpm.x, _xlfn.XLOOKUP(B65,Sheet3!N:N,Sheet3!O:O,""), IF(_xlpm.x=0,"",_xlpm.x))</f>
        <v>富民县公安局</v>
      </c>
      <c r="P65" s="77" t="s">
        <v>7143</v>
      </c>
      <c r="Q65" s="2" t="s">
        <v>2796</v>
      </c>
      <c r="R65" s="2" t="s">
        <v>33</v>
      </c>
      <c r="S65" s="2">
        <v>13658710650</v>
      </c>
      <c r="T65" s="2" t="s">
        <v>244</v>
      </c>
      <c r="V65" s="2" t="str">
        <f>_xlfn.LET(_xlpm.x, _xlfn.XLOOKUP(X65,家庭成员!J:J,家庭成员!D:D,""), IF(_xlpm.x=0,"",_xlpm.x))</f>
        <v>刘萍</v>
      </c>
      <c r="W65" s="2" t="str">
        <f>_xlfn.LET(_xlpm.x, _xlfn.XLOOKUP(X65,家庭成员!J:J,家庭成员!C:C,""), IF(_xlpm.x=0,"",_xlpm.x))</f>
        <v>妻子</v>
      </c>
      <c r="X65" s="2" t="s">
        <v>2798</v>
      </c>
      <c r="Y65" s="2" t="s">
        <v>34</v>
      </c>
    </row>
    <row r="66" spans="1:25" ht="15.6" x14ac:dyDescent="0.25">
      <c r="A66" s="8" t="s">
        <v>2799</v>
      </c>
      <c r="B66" s="8" t="s">
        <v>2803</v>
      </c>
      <c r="C66" s="2" t="str">
        <f>_xlfn.XLOOKUP(B66,[1]Sheet2!BF:BF, [1]Sheet2!C:C, "")</f>
        <v>女</v>
      </c>
      <c r="D66" s="10" t="s">
        <v>3675</v>
      </c>
      <c r="E66" s="2" t="s">
        <v>27</v>
      </c>
      <c r="F66" s="2" t="s">
        <v>119</v>
      </c>
      <c r="G66" s="2" t="s">
        <v>293</v>
      </c>
      <c r="H66" s="2" t="s">
        <v>29</v>
      </c>
      <c r="I66" s="2" t="s">
        <v>102</v>
      </c>
      <c r="O66" s="2" t="str">
        <f>_xlfn.LET(_xlpm.x, _xlfn.XLOOKUP(B66,Sheet3!N:N,Sheet3!O:O,""), IF(_xlpm.x=0,"",_xlpm.x))</f>
        <v>富民县公安局</v>
      </c>
      <c r="P66" s="77" t="s">
        <v>7144</v>
      </c>
      <c r="Q66" s="2" t="s">
        <v>2804</v>
      </c>
      <c r="R66" s="2" t="s">
        <v>33</v>
      </c>
      <c r="S66" s="2">
        <v>13888304192</v>
      </c>
      <c r="T66" s="2" t="s">
        <v>244</v>
      </c>
      <c r="V66" s="2" t="str">
        <f>_xlfn.LET(_xlpm.x, _xlfn.XLOOKUP(X66,家庭成员!J:J,家庭成员!D:D,""), IF(_xlpm.x=0,"",_xlpm.x))</f>
        <v>完蓉飘雪</v>
      </c>
      <c r="W66" s="2" t="str">
        <f>_xlfn.LET(_xlpm.x, _xlfn.XLOOKUP(X66,家庭成员!J:J,家庭成员!C:C,""), IF(_xlpm.x=0,"",_xlpm.x))</f>
        <v>女儿</v>
      </c>
      <c r="X66" s="2" t="s">
        <v>2807</v>
      </c>
      <c r="Y66" s="2" t="s">
        <v>34</v>
      </c>
    </row>
    <row r="67" spans="1:25" ht="15.6" x14ac:dyDescent="0.25">
      <c r="A67" s="8" t="s">
        <v>2632</v>
      </c>
      <c r="B67" s="8" t="s">
        <v>2637</v>
      </c>
      <c r="C67" s="2" t="str">
        <f>_xlfn.XLOOKUP(B67,[1]Sheet2!BF:BF, [1]Sheet2!C:C, "")</f>
        <v>男</v>
      </c>
      <c r="D67" s="10" t="s">
        <v>3676</v>
      </c>
      <c r="E67" s="2" t="s">
        <v>27</v>
      </c>
      <c r="F67" s="2" t="s">
        <v>119</v>
      </c>
      <c r="G67" s="2" t="s">
        <v>252</v>
      </c>
      <c r="H67" s="2" t="s">
        <v>29</v>
      </c>
      <c r="I67" s="2" t="s">
        <v>102</v>
      </c>
      <c r="O67" s="2" t="str">
        <f>_xlfn.LET(_xlpm.x, _xlfn.XLOOKUP(B67,Sheet3!N:N,Sheet3!O:O,""), IF(_xlpm.x=0,"",_xlpm.x))</f>
        <v>富民县公安局</v>
      </c>
      <c r="P67" s="77" t="s">
        <v>7145</v>
      </c>
      <c r="Q67" s="2" t="s">
        <v>2638</v>
      </c>
      <c r="R67" s="2" t="s">
        <v>33</v>
      </c>
      <c r="S67" s="2">
        <v>13987198661</v>
      </c>
      <c r="T67" s="2" t="s">
        <v>244</v>
      </c>
      <c r="V67" s="2" t="str">
        <f>_xlfn.LET(_xlpm.x, _xlfn.XLOOKUP(X67,家庭成员!J:J,家庭成员!D:D,""), IF(_xlpm.x=0,"",_xlpm.x))</f>
        <v>屠玉萍</v>
      </c>
      <c r="W67" s="2" t="str">
        <f>_xlfn.LET(_xlpm.x, _xlfn.XLOOKUP(X67,家庭成员!J:J,家庭成员!C:C,""), IF(_xlpm.x=0,"",_xlpm.x))</f>
        <v>妻子</v>
      </c>
      <c r="X67" s="2" t="s">
        <v>2643</v>
      </c>
      <c r="Y67" s="2" t="s">
        <v>34</v>
      </c>
    </row>
    <row r="68" spans="1:25" ht="15.6" x14ac:dyDescent="0.25">
      <c r="A68" s="8" t="s">
        <v>1521</v>
      </c>
      <c r="B68" s="8" t="s">
        <v>3270</v>
      </c>
      <c r="C68" s="2" t="str">
        <f>_xlfn.XLOOKUP(B68,[1]Sheet2!BF:BF, [1]Sheet2!C:C, "")</f>
        <v>男</v>
      </c>
      <c r="D68" s="10" t="s">
        <v>3677</v>
      </c>
      <c r="E68" s="2" t="s">
        <v>27</v>
      </c>
      <c r="F68" s="2" t="s">
        <v>119</v>
      </c>
      <c r="G68" s="2" t="s">
        <v>252</v>
      </c>
      <c r="H68" s="2" t="s">
        <v>29</v>
      </c>
      <c r="I68" s="2" t="s">
        <v>102</v>
      </c>
      <c r="O68" s="2" t="str">
        <f>_xlfn.LET(_xlpm.x, _xlfn.XLOOKUP(B68,Sheet3!N:N,Sheet3!O:O,""), IF(_xlpm.x=0,"",_xlpm.x))</f>
        <v>昆明市公安局盘龙分局</v>
      </c>
      <c r="P68" s="77" t="s">
        <v>7146</v>
      </c>
      <c r="Q68" s="2" t="s">
        <v>3271</v>
      </c>
      <c r="R68" s="2" t="s">
        <v>33</v>
      </c>
      <c r="S68" s="2">
        <v>13888252773</v>
      </c>
      <c r="T68" s="2" t="s">
        <v>244</v>
      </c>
      <c r="V68" s="2" t="str">
        <f>_xlfn.LET(_xlpm.x, _xlfn.XLOOKUP(X68,家庭成员!J:J,家庭成员!D:D,""), IF(_xlpm.x=0,"",_xlpm.x))</f>
        <v>施晓琼</v>
      </c>
      <c r="W68" s="2" t="str">
        <f>_xlfn.LET(_xlpm.x, _xlfn.XLOOKUP(X68,家庭成员!J:J,家庭成员!C:C,""), IF(_xlpm.x=0,"",_xlpm.x))</f>
        <v>妻子</v>
      </c>
      <c r="X68" s="2" t="s">
        <v>3275</v>
      </c>
      <c r="Y68" s="2" t="s">
        <v>34</v>
      </c>
    </row>
    <row r="69" spans="1:25" ht="15.6" x14ac:dyDescent="0.25">
      <c r="A69" s="8" t="s">
        <v>3294</v>
      </c>
      <c r="B69" s="8" t="s">
        <v>3298</v>
      </c>
      <c r="C69" s="2" t="str">
        <f>_xlfn.XLOOKUP(B69,[1]Sheet2!BF:BF, [1]Sheet2!C:C, "")</f>
        <v>男</v>
      </c>
      <c r="D69" s="10" t="s">
        <v>3678</v>
      </c>
      <c r="E69" s="2" t="s">
        <v>27</v>
      </c>
      <c r="F69" s="2" t="s">
        <v>119</v>
      </c>
      <c r="G69" s="2" t="s">
        <v>293</v>
      </c>
      <c r="H69" s="2" t="s">
        <v>29</v>
      </c>
      <c r="I69" s="2" t="s">
        <v>102</v>
      </c>
      <c r="O69" s="2" t="str">
        <f>_xlfn.LET(_xlpm.x, _xlfn.XLOOKUP(B69,Sheet3!N:N,Sheet3!O:O,""), IF(_xlpm.x=0,"",_xlpm.x))</f>
        <v>富民县公安局</v>
      </c>
      <c r="P69" s="77" t="s">
        <v>7147</v>
      </c>
      <c r="Q69" s="2" t="s">
        <v>3299</v>
      </c>
      <c r="R69" s="2" t="s">
        <v>33</v>
      </c>
      <c r="S69" s="2">
        <v>18213817556</v>
      </c>
      <c r="T69" s="2" t="s">
        <v>244</v>
      </c>
      <c r="V69" s="2" t="str">
        <f>_xlfn.LET(_xlpm.x, _xlfn.XLOOKUP(X69,家庭成员!J:J,家庭成员!D:D,""), IF(_xlpm.x=0,"",_xlpm.x))</f>
        <v>娄凤萍</v>
      </c>
      <c r="W69" s="2" t="str">
        <f>_xlfn.LET(_xlpm.x, _xlfn.XLOOKUP(X69,家庭成员!J:J,家庭成员!C:C,""), IF(_xlpm.x=0,"",_xlpm.x))</f>
        <v>妻子</v>
      </c>
      <c r="X69" s="2" t="s">
        <v>3303</v>
      </c>
      <c r="Y69" s="2" t="s">
        <v>34</v>
      </c>
    </row>
    <row r="70" spans="1:25" ht="15.6" x14ac:dyDescent="0.25">
      <c r="A70" s="8" t="s">
        <v>3169</v>
      </c>
      <c r="B70" s="8" t="s">
        <v>3173</v>
      </c>
      <c r="C70" s="2" t="str">
        <f>_xlfn.XLOOKUP(B70,[1]Sheet2!BF:BF, [1]Sheet2!C:C, "")</f>
        <v>女</v>
      </c>
      <c r="D70" s="10" t="s">
        <v>3679</v>
      </c>
      <c r="E70" s="2" t="s">
        <v>27</v>
      </c>
      <c r="F70" s="2" t="s">
        <v>119</v>
      </c>
      <c r="G70" s="2" t="s">
        <v>252</v>
      </c>
      <c r="H70" s="2" t="s">
        <v>29</v>
      </c>
      <c r="I70" s="2" t="s">
        <v>102</v>
      </c>
      <c r="O70" s="2" t="str">
        <f>_xlfn.LET(_xlpm.x, _xlfn.XLOOKUP(B70,Sheet3!N:N,Sheet3!O:O,""), IF(_xlpm.x=0,"",_xlpm.x))</f>
        <v>富民县公安局</v>
      </c>
      <c r="P70" s="77" t="s">
        <v>7148</v>
      </c>
      <c r="Q70" s="2" t="s">
        <v>728</v>
      </c>
      <c r="R70" s="2" t="s">
        <v>33</v>
      </c>
      <c r="S70" s="2">
        <v>13888388942</v>
      </c>
      <c r="T70" s="2" t="s">
        <v>244</v>
      </c>
      <c r="V70" s="2" t="str">
        <f>_xlfn.LET(_xlpm.x, _xlfn.XLOOKUP(X70,家庭成员!J:J,家庭成员!D:D,""), IF(_xlpm.x=0,"",_xlpm.x))</f>
        <v>李生</v>
      </c>
      <c r="W70" s="2" t="str">
        <f>_xlfn.LET(_xlpm.x, _xlfn.XLOOKUP(X70,家庭成员!J:J,家庭成员!C:C,""), IF(_xlpm.x=0,"",_xlpm.x))</f>
        <v>丈夫</v>
      </c>
      <c r="X70" s="2" t="s">
        <v>3175</v>
      </c>
      <c r="Y70" s="2" t="s">
        <v>34</v>
      </c>
    </row>
    <row r="71" spans="1:25" ht="15.6" x14ac:dyDescent="0.25">
      <c r="A71" s="8" t="s">
        <v>3209</v>
      </c>
      <c r="B71" s="8" t="s">
        <v>3213</v>
      </c>
      <c r="C71" s="2" t="str">
        <f>_xlfn.XLOOKUP(B71,[1]Sheet2!BF:BF, [1]Sheet2!C:C, "")</f>
        <v>男</v>
      </c>
      <c r="D71" s="10" t="s">
        <v>3679</v>
      </c>
      <c r="E71" s="2" t="s">
        <v>27</v>
      </c>
      <c r="F71" s="2" t="s">
        <v>119</v>
      </c>
      <c r="G71" s="2" t="s">
        <v>293</v>
      </c>
      <c r="H71" s="2" t="s">
        <v>29</v>
      </c>
      <c r="I71" s="2" t="s">
        <v>102</v>
      </c>
      <c r="O71" s="2" t="str">
        <f>_xlfn.LET(_xlpm.x, _xlfn.XLOOKUP(B71,Sheet3!N:N,Sheet3!O:O,""), IF(_xlpm.x=0,"",_xlpm.x))</f>
        <v>富民县公安局</v>
      </c>
      <c r="P71" s="77" t="s">
        <v>7149</v>
      </c>
      <c r="Q71" s="2" t="s">
        <v>3214</v>
      </c>
      <c r="R71" s="2" t="s">
        <v>33</v>
      </c>
      <c r="S71" s="2">
        <v>15025106499</v>
      </c>
      <c r="T71" s="2" t="s">
        <v>244</v>
      </c>
      <c r="V71" s="2" t="str">
        <f>_xlfn.LET(_xlpm.x, _xlfn.XLOOKUP(X71,家庭成员!J:J,家庭成员!D:D,""), IF(_xlpm.x=0,"",_xlpm.x))</f>
        <v/>
      </c>
      <c r="W71" s="2" t="str">
        <f>_xlfn.LET(_xlpm.x, _xlfn.XLOOKUP(X71,家庭成员!J:J,家庭成员!C:C,""), IF(_xlpm.x=0,"",_xlpm.x))</f>
        <v/>
      </c>
      <c r="X71" s="2" t="s">
        <v>244</v>
      </c>
      <c r="Y71" s="2" t="s">
        <v>34</v>
      </c>
    </row>
    <row r="72" spans="1:25" ht="15.6" x14ac:dyDescent="0.25">
      <c r="A72" s="8" t="s">
        <v>2153</v>
      </c>
      <c r="B72" s="8" t="s">
        <v>2158</v>
      </c>
      <c r="C72" s="2" t="str">
        <f>_xlfn.XLOOKUP(B72,[1]Sheet2!BF:BF, [1]Sheet2!C:C, "")</f>
        <v>女</v>
      </c>
      <c r="D72" s="10" t="s">
        <v>3680</v>
      </c>
      <c r="E72" s="2" t="s">
        <v>251</v>
      </c>
      <c r="F72" s="2" t="s">
        <v>119</v>
      </c>
      <c r="G72" s="2" t="s">
        <v>293</v>
      </c>
      <c r="H72" s="2" t="s">
        <v>29</v>
      </c>
      <c r="I72" s="2" t="s">
        <v>102</v>
      </c>
      <c r="O72" s="2" t="str">
        <f>_xlfn.LET(_xlpm.x, _xlfn.XLOOKUP(B72,Sheet3!N:N,Sheet3!O:O,""), IF(_xlpm.x=0,"",_xlpm.x))</f>
        <v>富民县公安局</v>
      </c>
      <c r="P72" s="77" t="s">
        <v>7150</v>
      </c>
      <c r="Q72" s="2" t="s">
        <v>2159</v>
      </c>
      <c r="R72" s="2" t="s">
        <v>33</v>
      </c>
      <c r="S72" s="2">
        <v>13888540295</v>
      </c>
      <c r="T72" s="2" t="s">
        <v>244</v>
      </c>
      <c r="V72" s="2" t="str">
        <f>_xlfn.LET(_xlpm.x, _xlfn.XLOOKUP(X72,家庭成员!J:J,家庭成员!D:D,""), IF(_xlpm.x=0,"",_xlpm.x))</f>
        <v>李继华</v>
      </c>
      <c r="W72" s="2" t="str">
        <f>_xlfn.LET(_xlpm.x, _xlfn.XLOOKUP(X72,家庭成员!J:J,家庭成员!C:C,""), IF(_xlpm.x=0,"",_xlpm.x))</f>
        <v>丈夫</v>
      </c>
      <c r="X72" s="2" t="s">
        <v>2161</v>
      </c>
      <c r="Y72" s="2" t="s">
        <v>34</v>
      </c>
    </row>
    <row r="73" spans="1:25" ht="15.6" x14ac:dyDescent="0.25">
      <c r="A73" s="8" t="s">
        <v>3185</v>
      </c>
      <c r="B73" s="8" t="s">
        <v>3188</v>
      </c>
      <c r="C73" s="2" t="str">
        <f>_xlfn.XLOOKUP(B73,[1]Sheet2!BF:BF, [1]Sheet2!C:C, "")</f>
        <v>男</v>
      </c>
      <c r="D73" s="10" t="s">
        <v>3681</v>
      </c>
      <c r="E73" s="2" t="s">
        <v>27</v>
      </c>
      <c r="F73" s="2" t="s">
        <v>119</v>
      </c>
      <c r="G73" s="2" t="s">
        <v>252</v>
      </c>
      <c r="H73" s="2" t="s">
        <v>29</v>
      </c>
      <c r="I73" s="2" t="s">
        <v>102</v>
      </c>
      <c r="O73" s="2" t="str">
        <f>_xlfn.LET(_xlpm.x, _xlfn.XLOOKUP(B73,Sheet3!N:N,Sheet3!O:O,""), IF(_xlpm.x=0,"",_xlpm.x))</f>
        <v>富民县公安局</v>
      </c>
      <c r="P73" s="77" t="s">
        <v>7151</v>
      </c>
      <c r="Q73" s="2" t="s">
        <v>3189</v>
      </c>
      <c r="R73" s="2" t="s">
        <v>33</v>
      </c>
      <c r="S73" s="2">
        <v>18787191262</v>
      </c>
      <c r="T73" s="2" t="s">
        <v>244</v>
      </c>
      <c r="V73" s="2" t="str">
        <f>_xlfn.LET(_xlpm.x, _xlfn.XLOOKUP(X73,家庭成员!J:J,家庭成员!D:D,""), IF(_xlpm.x=0,"",_xlpm.x))</f>
        <v>吴雪梅</v>
      </c>
      <c r="W73" s="2" t="str">
        <f>_xlfn.LET(_xlpm.x, _xlfn.XLOOKUP(X73,家庭成员!J:J,家庭成员!C:C,""), IF(_xlpm.x=0,"",_xlpm.x))</f>
        <v>妻子</v>
      </c>
      <c r="X73" s="2" t="s">
        <v>3194</v>
      </c>
      <c r="Y73" s="2" t="s">
        <v>34</v>
      </c>
    </row>
    <row r="74" spans="1:25" ht="15.6" x14ac:dyDescent="0.25">
      <c r="A74" s="8" t="s">
        <v>2554</v>
      </c>
      <c r="B74" s="8" t="s">
        <v>2560</v>
      </c>
      <c r="C74" s="2" t="str">
        <f>_xlfn.XLOOKUP(B74,[1]Sheet2!BF:BF, [1]Sheet2!C:C, "")</f>
        <v>女</v>
      </c>
      <c r="D74" s="10" t="s">
        <v>3652</v>
      </c>
      <c r="E74" s="2" t="s">
        <v>27</v>
      </c>
      <c r="F74" s="2" t="s">
        <v>119</v>
      </c>
      <c r="G74" s="2" t="s">
        <v>293</v>
      </c>
      <c r="H74" s="2" t="s">
        <v>29</v>
      </c>
      <c r="I74" s="2" t="s">
        <v>102</v>
      </c>
      <c r="O74" s="2" t="str">
        <f>_xlfn.LET(_xlpm.x, _xlfn.XLOOKUP(B74,Sheet3!N:N,Sheet3!O:O,""), IF(_xlpm.x=0,"",_xlpm.x))</f>
        <v>富民县公安局</v>
      </c>
      <c r="P74" s="77" t="s">
        <v>7152</v>
      </c>
      <c r="Q74" s="2" t="s">
        <v>2561</v>
      </c>
      <c r="R74" s="2" t="s">
        <v>33</v>
      </c>
      <c r="S74" s="2">
        <v>18314163936</v>
      </c>
      <c r="T74" s="2" t="s">
        <v>244</v>
      </c>
      <c r="V74" s="2" t="str">
        <f>_xlfn.LET(_xlpm.x, _xlfn.XLOOKUP(X74,家庭成员!J:J,家庭成员!D:D,""), IF(_xlpm.x=0,"",_xlpm.x))</f>
        <v>黄明彬</v>
      </c>
      <c r="W74" s="2" t="str">
        <f>_xlfn.LET(_xlpm.x, _xlfn.XLOOKUP(X74,家庭成员!J:J,家庭成员!C:C,""), IF(_xlpm.x=0,"",_xlpm.x))</f>
        <v>丈夫</v>
      </c>
      <c r="X74" s="2" t="s">
        <v>2563</v>
      </c>
      <c r="Y74" s="2" t="s">
        <v>34</v>
      </c>
    </row>
    <row r="75" spans="1:25" ht="15.6" x14ac:dyDescent="0.25">
      <c r="A75" s="8" t="s">
        <v>2332</v>
      </c>
      <c r="B75" s="8" t="s">
        <v>2336</v>
      </c>
      <c r="C75" s="2" t="str">
        <f>_xlfn.XLOOKUP(B75,[1]Sheet2!BF:BF, [1]Sheet2!C:C, "")</f>
        <v>女</v>
      </c>
      <c r="D75" s="10" t="s">
        <v>3682</v>
      </c>
      <c r="E75" s="2" t="s">
        <v>27</v>
      </c>
      <c r="F75" s="2" t="s">
        <v>119</v>
      </c>
      <c r="G75" s="2" t="s">
        <v>252</v>
      </c>
      <c r="H75" s="2" t="s">
        <v>29</v>
      </c>
      <c r="I75" s="2" t="s">
        <v>102</v>
      </c>
      <c r="O75" s="2" t="str">
        <f>_xlfn.LET(_xlpm.x, _xlfn.XLOOKUP(B75,Sheet3!N:N,Sheet3!O:O,""), IF(_xlpm.x=0,"",_xlpm.x))</f>
        <v>富民县公安局</v>
      </c>
      <c r="P75" s="77" t="s">
        <v>7153</v>
      </c>
      <c r="Q75" s="2" t="s">
        <v>3983</v>
      </c>
      <c r="R75" s="2" t="s">
        <v>33</v>
      </c>
      <c r="S75" s="2">
        <v>13658866801</v>
      </c>
      <c r="T75" s="2" t="s">
        <v>244</v>
      </c>
      <c r="V75" s="2" t="str">
        <f>_xlfn.LET(_xlpm.x, _xlfn.XLOOKUP(X75,家庭成员!J:J,家庭成员!D:D,""), IF(_xlpm.x=0,"",_xlpm.x))</f>
        <v/>
      </c>
      <c r="W75" s="2" t="str">
        <f>_xlfn.LET(_xlpm.x, _xlfn.XLOOKUP(X75,家庭成员!J:J,家庭成员!C:C,""), IF(_xlpm.x=0,"",_xlpm.x))</f>
        <v/>
      </c>
      <c r="X75" s="2" t="s">
        <v>244</v>
      </c>
      <c r="Y75" s="2" t="s">
        <v>34</v>
      </c>
    </row>
    <row r="76" spans="1:25" ht="15.6" x14ac:dyDescent="0.25">
      <c r="A76" s="8" t="s">
        <v>2080</v>
      </c>
      <c r="B76" s="8" t="s">
        <v>2085</v>
      </c>
      <c r="C76" s="2" t="str">
        <f>_xlfn.XLOOKUP(B76,[1]Sheet2!BF:BF, [1]Sheet2!C:C, "")</f>
        <v>男</v>
      </c>
      <c r="D76" s="10" t="s">
        <v>3683</v>
      </c>
      <c r="E76" s="2" t="s">
        <v>27</v>
      </c>
      <c r="F76" s="2" t="s">
        <v>119</v>
      </c>
      <c r="G76" s="2" t="s">
        <v>293</v>
      </c>
      <c r="H76" s="2" t="s">
        <v>29</v>
      </c>
      <c r="I76" s="2" t="s">
        <v>102</v>
      </c>
      <c r="O76" s="2" t="str">
        <f>_xlfn.LET(_xlpm.x, _xlfn.XLOOKUP(B76,Sheet3!N:N,Sheet3!O:O,""), IF(_xlpm.x=0,"",_xlpm.x))</f>
        <v>富民县公安局</v>
      </c>
      <c r="P76" s="77" t="s">
        <v>7154</v>
      </c>
      <c r="Q76" s="2" t="s">
        <v>2086</v>
      </c>
      <c r="R76" s="2" t="s">
        <v>33</v>
      </c>
      <c r="S76" s="2">
        <v>15808756360</v>
      </c>
      <c r="T76" s="2" t="s">
        <v>244</v>
      </c>
      <c r="V76" s="2" t="str">
        <f>_xlfn.LET(_xlpm.x, _xlfn.XLOOKUP(X76,家庭成员!J:J,家庭成员!D:D,""), IF(_xlpm.x=0,"",_xlpm.x))</f>
        <v>张淑英</v>
      </c>
      <c r="W76" s="2" t="str">
        <f>_xlfn.LET(_xlpm.x, _xlfn.XLOOKUP(X76,家庭成员!J:J,家庭成员!C:C,""), IF(_xlpm.x=0,"",_xlpm.x))</f>
        <v>母亲</v>
      </c>
      <c r="X76" s="2" t="s">
        <v>2090</v>
      </c>
      <c r="Y76" s="2" t="s">
        <v>34</v>
      </c>
    </row>
    <row r="77" spans="1:25" ht="15.6" x14ac:dyDescent="0.25">
      <c r="A77" s="8" t="s">
        <v>3445</v>
      </c>
      <c r="B77" s="8" t="s">
        <v>3448</v>
      </c>
      <c r="C77" s="2" t="str">
        <f>_xlfn.XLOOKUP(B77,[1]Sheet2!BF:BF, [1]Sheet2!C:C, "")</f>
        <v>女</v>
      </c>
      <c r="D77" s="10" t="s">
        <v>3629</v>
      </c>
      <c r="E77" s="2" t="s">
        <v>251</v>
      </c>
      <c r="F77" s="2" t="s">
        <v>28</v>
      </c>
      <c r="G77" s="2" t="s">
        <v>293</v>
      </c>
      <c r="H77" s="2" t="s">
        <v>29</v>
      </c>
      <c r="I77" s="2" t="s">
        <v>102</v>
      </c>
      <c r="O77" s="2" t="str">
        <f>_xlfn.LET(_xlpm.x, _xlfn.XLOOKUP(B77,Sheet3!N:N,Sheet3!O:O,""), IF(_xlpm.x=0,"",_xlpm.x))</f>
        <v>富民县公安局</v>
      </c>
      <c r="P77" s="77" t="s">
        <v>3465</v>
      </c>
      <c r="Q77" s="2" t="s">
        <v>3449</v>
      </c>
      <c r="R77" s="2" t="s">
        <v>33</v>
      </c>
      <c r="S77" s="2">
        <v>13888016952</v>
      </c>
      <c r="T77" s="2" t="s">
        <v>244</v>
      </c>
      <c r="V77" s="2" t="str">
        <f>_xlfn.LET(_xlpm.x, _xlfn.XLOOKUP(X77,家庭成员!J:J,家庭成员!D:D,""), IF(_xlpm.x=0,"",_xlpm.x))</f>
        <v>李成</v>
      </c>
      <c r="W77" s="2" t="str">
        <f>_xlfn.LET(_xlpm.x, _xlfn.XLOOKUP(X77,家庭成员!J:J,家庭成员!C:C,""), IF(_xlpm.x=0,"",_xlpm.x))</f>
        <v>丈夫</v>
      </c>
      <c r="X77" s="2" t="s">
        <v>3451</v>
      </c>
      <c r="Y77" s="2" t="s">
        <v>34</v>
      </c>
    </row>
    <row r="78" spans="1:25" ht="15.6" x14ac:dyDescent="0.25">
      <c r="A78" s="8" t="s">
        <v>2808</v>
      </c>
      <c r="B78" s="8" t="s">
        <v>2812</v>
      </c>
      <c r="C78" s="2" t="str">
        <f>_xlfn.XLOOKUP(B78,[1]Sheet2!BF:BF, [1]Sheet2!C:C, "")</f>
        <v>男</v>
      </c>
      <c r="D78" s="10" t="s">
        <v>3684</v>
      </c>
      <c r="E78" s="2" t="s">
        <v>27</v>
      </c>
      <c r="F78" s="2" t="s">
        <v>119</v>
      </c>
      <c r="G78" s="2" t="s">
        <v>293</v>
      </c>
      <c r="H78" s="2" t="s">
        <v>29</v>
      </c>
      <c r="I78" s="2" t="s">
        <v>102</v>
      </c>
      <c r="O78" s="2" t="str">
        <f>_xlfn.LET(_xlpm.x, _xlfn.XLOOKUP(B78,Sheet3!N:N,Sheet3!O:O,""), IF(_xlpm.x=0,"",_xlpm.x))</f>
        <v>富民县公安局</v>
      </c>
      <c r="P78" s="77" t="s">
        <v>86</v>
      </c>
      <c r="Q78" s="2" t="s">
        <v>2813</v>
      </c>
      <c r="R78" s="2" t="s">
        <v>33</v>
      </c>
      <c r="S78" s="2">
        <v>13629651628</v>
      </c>
      <c r="T78" s="2" t="s">
        <v>244</v>
      </c>
      <c r="V78" s="2" t="str">
        <f>_xlfn.LET(_xlpm.x, _xlfn.XLOOKUP(X78,家庭成员!J:J,家庭成员!D:D,""), IF(_xlpm.x=0,"",_xlpm.x))</f>
        <v>纪艳清</v>
      </c>
      <c r="W78" s="2" t="str">
        <f>_xlfn.LET(_xlpm.x, _xlfn.XLOOKUP(X78,家庭成员!J:J,家庭成员!C:C,""), IF(_xlpm.x=0,"",_xlpm.x))</f>
        <v>妻子</v>
      </c>
      <c r="X78" s="2" t="s">
        <v>2815</v>
      </c>
      <c r="Y78" s="2" t="s">
        <v>34</v>
      </c>
    </row>
    <row r="79" spans="1:25" ht="15.6" x14ac:dyDescent="0.25">
      <c r="A79" s="8" t="s">
        <v>3088</v>
      </c>
      <c r="B79" s="8" t="s">
        <v>3091</v>
      </c>
      <c r="C79" s="2" t="str">
        <f>_xlfn.XLOOKUP(B79,[1]Sheet2!BF:BF, [1]Sheet2!C:C, "")</f>
        <v>男</v>
      </c>
      <c r="D79" s="10" t="s">
        <v>3685</v>
      </c>
      <c r="E79" s="2" t="s">
        <v>251</v>
      </c>
      <c r="F79" s="2" t="s">
        <v>119</v>
      </c>
      <c r="G79" s="2" t="s">
        <v>293</v>
      </c>
      <c r="H79" s="2" t="s">
        <v>29</v>
      </c>
      <c r="I79" s="2" t="s">
        <v>102</v>
      </c>
      <c r="O79" s="2" t="str">
        <f>_xlfn.LET(_xlpm.x, _xlfn.XLOOKUP(B79,Sheet3!N:N,Sheet3!O:O,""), IF(_xlpm.x=0,"",_xlpm.x))</f>
        <v>富民县公安局</v>
      </c>
      <c r="P79" s="77" t="s">
        <v>7155</v>
      </c>
      <c r="Q79" s="2" t="s">
        <v>3092</v>
      </c>
      <c r="R79" s="2" t="s">
        <v>33</v>
      </c>
      <c r="S79" s="2">
        <v>13888094022</v>
      </c>
      <c r="T79" s="2" t="s">
        <v>244</v>
      </c>
      <c r="V79" s="2" t="str">
        <f>_xlfn.LET(_xlpm.x, _xlfn.XLOOKUP(X79,家庭成员!J:J,家庭成员!D:D,""), IF(_xlpm.x=0,"",_xlpm.x))</f>
        <v/>
      </c>
      <c r="W79" s="2" t="str">
        <f>_xlfn.LET(_xlpm.x, _xlfn.XLOOKUP(X79,家庭成员!J:J,家庭成员!C:C,""), IF(_xlpm.x=0,"",_xlpm.x))</f>
        <v/>
      </c>
      <c r="X79" s="2" t="s">
        <v>244</v>
      </c>
      <c r="Y79" s="2" t="s">
        <v>34</v>
      </c>
    </row>
    <row r="80" spans="1:25" ht="15.6" x14ac:dyDescent="0.25">
      <c r="A80" s="8" t="s">
        <v>3238</v>
      </c>
      <c r="B80" s="8" t="s">
        <v>3241</v>
      </c>
      <c r="C80" s="2" t="str">
        <f>_xlfn.XLOOKUP(B80,[1]Sheet2!BF:BF, [1]Sheet2!C:C, "")</f>
        <v>女</v>
      </c>
      <c r="D80" s="10" t="s">
        <v>3657</v>
      </c>
      <c r="E80" s="2" t="s">
        <v>27</v>
      </c>
      <c r="F80" s="2" t="s">
        <v>119</v>
      </c>
      <c r="G80" s="2" t="s">
        <v>293</v>
      </c>
      <c r="H80" s="2" t="s">
        <v>29</v>
      </c>
      <c r="I80" s="2" t="s">
        <v>102</v>
      </c>
      <c r="O80" s="2" t="str">
        <f>_xlfn.LET(_xlpm.x, _xlfn.XLOOKUP(B80,Sheet3!N:N,Sheet3!O:O,""), IF(_xlpm.x=0,"",_xlpm.x))</f>
        <v>富民县公安局</v>
      </c>
      <c r="P80" s="77" t="s">
        <v>7156</v>
      </c>
      <c r="Q80" s="2" t="s">
        <v>3242</v>
      </c>
      <c r="R80" s="2" t="s">
        <v>33</v>
      </c>
      <c r="S80" s="2">
        <v>15808755514</v>
      </c>
      <c r="T80" s="2" t="s">
        <v>244</v>
      </c>
      <c r="V80" s="2" t="str">
        <f>_xlfn.LET(_xlpm.x, _xlfn.XLOOKUP(X80,家庭成员!J:J,家庭成员!D:D,""), IF(_xlpm.x=0,"",_xlpm.x))</f>
        <v>杨皓翔</v>
      </c>
      <c r="W80" s="2" t="str">
        <f>_xlfn.LET(_xlpm.x, _xlfn.XLOOKUP(X80,家庭成员!J:J,家庭成员!C:C,""), IF(_xlpm.x=0,"",_xlpm.x))</f>
        <v>儿子</v>
      </c>
      <c r="X80" s="2" t="s">
        <v>3244</v>
      </c>
      <c r="Y80" s="2" t="s">
        <v>34</v>
      </c>
    </row>
    <row r="81" spans="1:25" ht="15.6" x14ac:dyDescent="0.25">
      <c r="A81" s="8" t="s">
        <v>3145</v>
      </c>
      <c r="B81" s="8" t="s">
        <v>3148</v>
      </c>
      <c r="C81" s="2" t="str">
        <f>_xlfn.XLOOKUP(B81,[1]Sheet2!BF:BF, [1]Sheet2!C:C, "")</f>
        <v>男</v>
      </c>
      <c r="D81" s="10" t="s">
        <v>3686</v>
      </c>
      <c r="E81" s="2" t="s">
        <v>27</v>
      </c>
      <c r="F81" s="2" t="s">
        <v>119</v>
      </c>
      <c r="G81" s="2" t="s">
        <v>293</v>
      </c>
      <c r="H81" s="2" t="s">
        <v>29</v>
      </c>
      <c r="I81" s="2" t="s">
        <v>102</v>
      </c>
      <c r="O81" s="2" t="str">
        <f>_xlfn.LET(_xlpm.x, _xlfn.XLOOKUP(B81,Sheet3!N:N,Sheet3!O:O,""), IF(_xlpm.x=0,"",_xlpm.x))</f>
        <v>富民县公安局</v>
      </c>
      <c r="P81" s="77" t="s">
        <v>7157</v>
      </c>
      <c r="Q81" s="2" t="s">
        <v>3149</v>
      </c>
      <c r="R81" s="2" t="s">
        <v>33</v>
      </c>
      <c r="S81" s="2">
        <v>13529022438</v>
      </c>
      <c r="T81" s="2" t="s">
        <v>244</v>
      </c>
      <c r="V81" s="2" t="str">
        <f>_xlfn.LET(_xlpm.x, _xlfn.XLOOKUP(X81,家庭成员!J:J,家庭成员!D:D,""), IF(_xlpm.x=0,"",_xlpm.x))</f>
        <v>王晓丹</v>
      </c>
      <c r="W81" s="2" t="str">
        <f>_xlfn.LET(_xlpm.x, _xlfn.XLOOKUP(X81,家庭成员!J:J,家庭成员!C:C,""), IF(_xlpm.x=0,"",_xlpm.x))</f>
        <v>妻子</v>
      </c>
      <c r="X81" s="2" t="s">
        <v>3151</v>
      </c>
      <c r="Y81" s="2" t="s">
        <v>34</v>
      </c>
    </row>
    <row r="82" spans="1:25" ht="15.6" x14ac:dyDescent="0.25">
      <c r="A82" s="8" t="s">
        <v>1244</v>
      </c>
      <c r="B82" s="8" t="s">
        <v>1250</v>
      </c>
      <c r="C82" s="2" t="str">
        <f>_xlfn.XLOOKUP(B82,[1]Sheet2!BF:BF, [1]Sheet2!C:C, "")</f>
        <v>男</v>
      </c>
      <c r="D82" s="10" t="s">
        <v>3687</v>
      </c>
      <c r="E82" s="2" t="s">
        <v>27</v>
      </c>
      <c r="F82" s="2" t="s">
        <v>28</v>
      </c>
      <c r="G82" s="2" t="s">
        <v>293</v>
      </c>
      <c r="H82" s="2" t="s">
        <v>29</v>
      </c>
      <c r="I82" s="2" t="s">
        <v>102</v>
      </c>
      <c r="O82" s="2" t="str">
        <f>_xlfn.LET(_xlpm.x, _xlfn.XLOOKUP(B82,Sheet3!N:N,Sheet3!O:O,""), IF(_xlpm.x=0,"",_xlpm.x))</f>
        <v>富民县公安局</v>
      </c>
      <c r="P82" s="77" t="s">
        <v>7158</v>
      </c>
      <c r="Q82" s="2" t="s">
        <v>1251</v>
      </c>
      <c r="R82" s="2" t="s">
        <v>33</v>
      </c>
      <c r="S82" s="2">
        <v>15887820832</v>
      </c>
      <c r="T82" s="2" t="s">
        <v>244</v>
      </c>
      <c r="V82" s="2" t="str">
        <f>_xlfn.LET(_xlpm.x, _xlfn.XLOOKUP(X82,家庭成员!J:J,家庭成员!D:D,""), IF(_xlpm.x=0,"",_xlpm.x))</f>
        <v>王晓芳</v>
      </c>
      <c r="W82" s="2" t="str">
        <f>_xlfn.LET(_xlpm.x, _xlfn.XLOOKUP(X82,家庭成员!J:J,家庭成员!C:C,""), IF(_xlpm.x=0,"",_xlpm.x))</f>
        <v>妻子</v>
      </c>
      <c r="X82" s="2" t="s">
        <v>1258</v>
      </c>
      <c r="Y82" s="2" t="s">
        <v>34</v>
      </c>
    </row>
    <row r="83" spans="1:25" ht="15.6" x14ac:dyDescent="0.25">
      <c r="A83" s="8" t="s">
        <v>3304</v>
      </c>
      <c r="B83" s="8" t="s">
        <v>3308</v>
      </c>
      <c r="C83" s="2" t="str">
        <f>_xlfn.XLOOKUP(B83,[1]Sheet2!BF:BF, [1]Sheet2!C:C, "")</f>
        <v>男</v>
      </c>
      <c r="D83" s="10" t="s">
        <v>3688</v>
      </c>
      <c r="E83" s="2" t="s">
        <v>27</v>
      </c>
      <c r="F83" s="2" t="s">
        <v>28</v>
      </c>
      <c r="G83" s="2" t="s">
        <v>293</v>
      </c>
      <c r="H83" s="2" t="s">
        <v>29</v>
      </c>
      <c r="I83" s="2" t="s">
        <v>102</v>
      </c>
      <c r="O83" s="2" t="str">
        <f>_xlfn.LET(_xlpm.x, _xlfn.XLOOKUP(B83,Sheet3!N:N,Sheet3!O:O,""), IF(_xlpm.x=0,"",_xlpm.x))</f>
        <v>富民县公安局</v>
      </c>
      <c r="P83" s="77" t="s">
        <v>7159</v>
      </c>
      <c r="Q83" s="2" t="s">
        <v>3309</v>
      </c>
      <c r="R83" s="2" t="s">
        <v>33</v>
      </c>
      <c r="S83" s="2">
        <v>13987191217</v>
      </c>
      <c r="T83" s="2" t="s">
        <v>244</v>
      </c>
      <c r="V83" s="2" t="str">
        <f>_xlfn.LET(_xlpm.x, _xlfn.XLOOKUP(X83,家庭成员!J:J,家庭成员!D:D,""), IF(_xlpm.x=0,"",_xlpm.x))</f>
        <v>赵宗明</v>
      </c>
      <c r="W83" s="2" t="str">
        <f>_xlfn.LET(_xlpm.x, _xlfn.XLOOKUP(X83,家庭成员!J:J,家庭成员!C:C,""), IF(_xlpm.x=0,"",_xlpm.x))</f>
        <v>妻子</v>
      </c>
      <c r="X83" s="2" t="s">
        <v>3311</v>
      </c>
      <c r="Y83" s="2" t="s">
        <v>34</v>
      </c>
    </row>
    <row r="84" spans="1:25" ht="15.6" x14ac:dyDescent="0.25">
      <c r="A84" s="8" t="s">
        <v>3137</v>
      </c>
      <c r="B84" s="8" t="s">
        <v>3141</v>
      </c>
      <c r="C84" s="2" t="str">
        <f>_xlfn.XLOOKUP(B84,[1]Sheet2!BF:BF, [1]Sheet2!C:C, "")</f>
        <v>男</v>
      </c>
      <c r="D84" s="10" t="s">
        <v>3689</v>
      </c>
      <c r="E84" s="2" t="s">
        <v>983</v>
      </c>
      <c r="F84" s="2" t="s">
        <v>119</v>
      </c>
      <c r="G84" s="2" t="s">
        <v>252</v>
      </c>
      <c r="H84" s="2" t="s">
        <v>29</v>
      </c>
      <c r="I84" s="2" t="s">
        <v>102</v>
      </c>
      <c r="O84" s="2" t="str">
        <f>_xlfn.LET(_xlpm.x, _xlfn.XLOOKUP(B84,Sheet3!N:N,Sheet3!O:O,""), IF(_xlpm.x=0,"",_xlpm.x))</f>
        <v>富民县公安局</v>
      </c>
      <c r="P84" s="77" t="s">
        <v>7160</v>
      </c>
      <c r="Q84" s="2" t="s">
        <v>3142</v>
      </c>
      <c r="R84" s="2" t="s">
        <v>33</v>
      </c>
      <c r="S84" s="2">
        <v>15887270662</v>
      </c>
      <c r="T84" s="2" t="s">
        <v>244</v>
      </c>
      <c r="V84" s="2" t="str">
        <f>_xlfn.LET(_xlpm.x, _xlfn.XLOOKUP(X84,家庭成员!J:J,家庭成员!D:D,""), IF(_xlpm.x=0,"",_xlpm.x))</f>
        <v>李祖兰</v>
      </c>
      <c r="W84" s="2" t="str">
        <f>_xlfn.LET(_xlpm.x, _xlfn.XLOOKUP(X84,家庭成员!J:J,家庭成员!C:C,""), IF(_xlpm.x=0,"",_xlpm.x))</f>
        <v>妻子</v>
      </c>
      <c r="X84" s="2" t="s">
        <v>3144</v>
      </c>
      <c r="Y84" s="2" t="s">
        <v>34</v>
      </c>
    </row>
    <row r="85" spans="1:25" ht="15.6" x14ac:dyDescent="0.25">
      <c r="A85" s="8" t="s">
        <v>2302</v>
      </c>
      <c r="B85" s="8" t="s">
        <v>2308</v>
      </c>
      <c r="C85" s="2" t="str">
        <f>_xlfn.XLOOKUP(B85,[1]Sheet2!BF:BF, [1]Sheet2!C:C, "")</f>
        <v>男</v>
      </c>
      <c r="D85" s="10" t="s">
        <v>3632</v>
      </c>
      <c r="E85" s="2" t="s">
        <v>251</v>
      </c>
      <c r="F85" s="2" t="s">
        <v>119</v>
      </c>
      <c r="G85" s="2" t="s">
        <v>252</v>
      </c>
      <c r="H85" s="2" t="s">
        <v>29</v>
      </c>
      <c r="I85" s="2" t="s">
        <v>102</v>
      </c>
      <c r="O85" s="2" t="str">
        <f>_xlfn.LET(_xlpm.x, _xlfn.XLOOKUP(B85,Sheet3!N:N,Sheet3!O:O,""), IF(_xlpm.x=0,"",_xlpm.x))</f>
        <v>富民县公安局</v>
      </c>
      <c r="P85" s="77" t="s">
        <v>7161</v>
      </c>
      <c r="Q85" s="2" t="s">
        <v>2309</v>
      </c>
      <c r="R85" s="2" t="s">
        <v>33</v>
      </c>
      <c r="S85" s="2">
        <v>15887010435</v>
      </c>
      <c r="T85" s="2" t="s">
        <v>244</v>
      </c>
      <c r="V85" s="2" t="str">
        <f>_xlfn.LET(_xlpm.x, _xlfn.XLOOKUP(X85,家庭成员!J:J,家庭成员!D:D,""), IF(_xlpm.x=0,"",_xlpm.x))</f>
        <v>杨金秀</v>
      </c>
      <c r="W85" s="2" t="str">
        <f>_xlfn.LET(_xlpm.x, _xlfn.XLOOKUP(X85,家庭成员!J:J,家庭成员!C:C,""), IF(_xlpm.x=0,"",_xlpm.x))</f>
        <v>妻子</v>
      </c>
      <c r="X85" s="2" t="s">
        <v>2311</v>
      </c>
      <c r="Y85" s="2" t="s">
        <v>34</v>
      </c>
    </row>
    <row r="86" spans="1:25" ht="15.6" x14ac:dyDescent="0.25">
      <c r="A86" s="8" t="s">
        <v>3152</v>
      </c>
      <c r="B86" s="8" t="s">
        <v>3157</v>
      </c>
      <c r="C86" s="2" t="str">
        <f>_xlfn.XLOOKUP(B86,[1]Sheet2!BF:BF, [1]Sheet2!C:C, "")</f>
        <v>男</v>
      </c>
      <c r="D86" s="10" t="s">
        <v>3690</v>
      </c>
      <c r="E86" s="2" t="s">
        <v>27</v>
      </c>
      <c r="F86" s="2" t="s">
        <v>28</v>
      </c>
      <c r="G86" s="2" t="s">
        <v>252</v>
      </c>
      <c r="H86" s="2" t="s">
        <v>29</v>
      </c>
      <c r="I86" s="2" t="s">
        <v>102</v>
      </c>
      <c r="O86" s="2" t="str">
        <f>_xlfn.LET(_xlpm.x, _xlfn.XLOOKUP(B86,Sheet3!N:N,Sheet3!O:O,""), IF(_xlpm.x=0,"",_xlpm.x))</f>
        <v>富民县公安局</v>
      </c>
      <c r="P86" s="77" t="s">
        <v>7162</v>
      </c>
      <c r="Q86" s="2" t="s">
        <v>3158</v>
      </c>
      <c r="R86" s="2" t="s">
        <v>33</v>
      </c>
      <c r="S86" s="2">
        <v>15925118163</v>
      </c>
      <c r="T86" s="2" t="s">
        <v>244</v>
      </c>
      <c r="V86" s="2" t="str">
        <f>_xlfn.LET(_xlpm.x, _xlfn.XLOOKUP(X86,家庭成员!J:J,家庭成员!D:D,""), IF(_xlpm.x=0,"",_xlpm.x))</f>
        <v>戴娟</v>
      </c>
      <c r="W86" s="2" t="str">
        <f>_xlfn.LET(_xlpm.x, _xlfn.XLOOKUP(X86,家庭成员!J:J,家庭成员!C:C,""), IF(_xlpm.x=0,"",_xlpm.x))</f>
        <v>妻子</v>
      </c>
      <c r="X86" s="2" t="s">
        <v>3161</v>
      </c>
      <c r="Y86" s="2" t="s">
        <v>34</v>
      </c>
    </row>
    <row r="87" spans="1:25" ht="15.6" x14ac:dyDescent="0.25">
      <c r="A87" s="8" t="s">
        <v>2601</v>
      </c>
      <c r="B87" s="8" t="s">
        <v>2605</v>
      </c>
      <c r="C87" s="2" t="str">
        <f>_xlfn.XLOOKUP(B87,[1]Sheet2!BF:BF, [1]Sheet2!C:C, "")</f>
        <v>女</v>
      </c>
      <c r="D87" s="10" t="s">
        <v>3690</v>
      </c>
      <c r="E87" s="2" t="s">
        <v>27</v>
      </c>
      <c r="F87" s="2" t="s">
        <v>119</v>
      </c>
      <c r="G87" s="2" t="s">
        <v>252</v>
      </c>
      <c r="H87" s="2" t="s">
        <v>29</v>
      </c>
      <c r="I87" s="2" t="s">
        <v>102</v>
      </c>
      <c r="O87" s="2" t="str">
        <f>_xlfn.LET(_xlpm.x, _xlfn.XLOOKUP(B87,Sheet3!N:N,Sheet3!O:O,""), IF(_xlpm.x=0,"",_xlpm.x))</f>
        <v>富民县公安局</v>
      </c>
      <c r="P87" s="77" t="s">
        <v>7163</v>
      </c>
      <c r="Q87" s="2" t="s">
        <v>2606</v>
      </c>
      <c r="R87" s="2" t="s">
        <v>33</v>
      </c>
      <c r="S87" s="2">
        <v>18687821791</v>
      </c>
      <c r="T87" s="2" t="s">
        <v>244</v>
      </c>
      <c r="V87" s="2" t="str">
        <f>_xlfn.LET(_xlpm.x, _xlfn.XLOOKUP(X87,家庭成员!J:J,家庭成员!D:D,""), IF(_xlpm.x=0,"",_xlpm.x))</f>
        <v>冯涛</v>
      </c>
      <c r="W87" s="2" t="str">
        <f>_xlfn.LET(_xlpm.x, _xlfn.XLOOKUP(X87,家庭成员!J:J,家庭成员!C:C,""), IF(_xlpm.x=0,"",_xlpm.x))</f>
        <v>丈夫</v>
      </c>
      <c r="X87" s="2" t="s">
        <v>2609</v>
      </c>
      <c r="Y87" s="2" t="s">
        <v>34</v>
      </c>
    </row>
    <row r="88" spans="1:25" ht="15.6" x14ac:dyDescent="0.25">
      <c r="A88" s="8" t="s">
        <v>2826</v>
      </c>
      <c r="B88" s="8" t="s">
        <v>2830</v>
      </c>
      <c r="C88" s="2" t="str">
        <f>_xlfn.XLOOKUP(B88,[1]Sheet2!BF:BF, [1]Sheet2!C:C, "")</f>
        <v>男</v>
      </c>
      <c r="D88" s="10" t="s">
        <v>3691</v>
      </c>
      <c r="E88" s="2" t="s">
        <v>27</v>
      </c>
      <c r="F88" s="2" t="s">
        <v>119</v>
      </c>
      <c r="G88" s="2" t="s">
        <v>293</v>
      </c>
      <c r="H88" s="2" t="s">
        <v>29</v>
      </c>
      <c r="I88" s="2" t="s">
        <v>102</v>
      </c>
      <c r="O88" s="2" t="str">
        <f>_xlfn.LET(_xlpm.x, _xlfn.XLOOKUP(B88,Sheet3!N:N,Sheet3!O:O,""), IF(_xlpm.x=0,"",_xlpm.x))</f>
        <v>富民县公安局</v>
      </c>
      <c r="P88" s="77" t="s">
        <v>7164</v>
      </c>
      <c r="Q88" s="2" t="s">
        <v>2831</v>
      </c>
      <c r="R88" s="2" t="s">
        <v>33</v>
      </c>
      <c r="S88" s="2">
        <v>13888053515</v>
      </c>
      <c r="T88" s="2" t="s">
        <v>244</v>
      </c>
      <c r="V88" s="2" t="str">
        <f>_xlfn.LET(_xlpm.x, _xlfn.XLOOKUP(X88,家庭成员!J:J,家庭成员!D:D,""), IF(_xlpm.x=0,"",_xlpm.x))</f>
        <v>黄桂花</v>
      </c>
      <c r="W88" s="2" t="str">
        <f>_xlfn.LET(_xlpm.x, _xlfn.XLOOKUP(X88,家庭成员!J:J,家庭成员!C:C,""), IF(_xlpm.x=0,"",_xlpm.x))</f>
        <v>妻子</v>
      </c>
      <c r="X88" s="2" t="s">
        <v>2835</v>
      </c>
      <c r="Y88" s="2" t="s">
        <v>34</v>
      </c>
    </row>
    <row r="89" spans="1:25" ht="15.6" x14ac:dyDescent="0.25">
      <c r="A89" s="8" t="s">
        <v>1664</v>
      </c>
      <c r="B89" s="8" t="s">
        <v>1669</v>
      </c>
      <c r="C89" s="2" t="str">
        <f>_xlfn.XLOOKUP(B89,[1]Sheet2!BF:BF, [1]Sheet2!C:C, "")</f>
        <v>女</v>
      </c>
      <c r="D89" s="10" t="s">
        <v>3618</v>
      </c>
      <c r="E89" s="2" t="s">
        <v>251</v>
      </c>
      <c r="F89" s="2" t="s">
        <v>28</v>
      </c>
      <c r="G89" s="2" t="s">
        <v>293</v>
      </c>
      <c r="H89" s="2" t="s">
        <v>29</v>
      </c>
      <c r="I89" s="2" t="s">
        <v>102</v>
      </c>
      <c r="O89" s="2" t="str">
        <f>_xlfn.LET(_xlpm.x, _xlfn.XLOOKUP(B89,Sheet3!N:N,Sheet3!O:O,""), IF(_xlpm.x=0,"",_xlpm.x))</f>
        <v>富民县公安局</v>
      </c>
      <c r="P89" s="77" t="s">
        <v>7165</v>
      </c>
      <c r="Q89" s="2" t="s">
        <v>1670</v>
      </c>
      <c r="R89" s="2" t="s">
        <v>33</v>
      </c>
      <c r="S89" s="2">
        <v>13888996850</v>
      </c>
      <c r="T89" s="2" t="s">
        <v>244</v>
      </c>
      <c r="V89" s="2" t="str">
        <f>_xlfn.LET(_xlpm.x, _xlfn.XLOOKUP(X89,家庭成员!J:J,家庭成员!D:D,""), IF(_xlpm.x=0,"",_xlpm.x))</f>
        <v>廖宇</v>
      </c>
      <c r="W89" s="2" t="str">
        <f>_xlfn.LET(_xlpm.x, _xlfn.XLOOKUP(X89,家庭成员!J:J,家庭成员!C:C,""), IF(_xlpm.x=0,"",_xlpm.x))</f>
        <v>丈夫</v>
      </c>
      <c r="X89" s="2" t="s">
        <v>1676</v>
      </c>
      <c r="Y89" s="2" t="s">
        <v>34</v>
      </c>
    </row>
    <row r="90" spans="1:25" ht="15.6" x14ac:dyDescent="0.25">
      <c r="A90" s="8" t="s">
        <v>3318</v>
      </c>
      <c r="B90" s="8" t="s">
        <v>3321</v>
      </c>
      <c r="C90" s="2" t="str">
        <f>_xlfn.XLOOKUP(B90,[1]Sheet2!BF:BF, [1]Sheet2!C:C, "")</f>
        <v>男</v>
      </c>
      <c r="D90" s="10" t="s">
        <v>3692</v>
      </c>
      <c r="E90" s="2" t="s">
        <v>27</v>
      </c>
      <c r="F90" s="2" t="s">
        <v>119</v>
      </c>
      <c r="G90" s="2" t="s">
        <v>293</v>
      </c>
      <c r="H90" s="2" t="s">
        <v>29</v>
      </c>
      <c r="I90" s="2" t="s">
        <v>102</v>
      </c>
      <c r="O90" s="2" t="str">
        <f>_xlfn.LET(_xlpm.x, _xlfn.XLOOKUP(B90,Sheet3!N:N,Sheet3!O:O,""), IF(_xlpm.x=0,"",_xlpm.x))</f>
        <v>富民县公安局</v>
      </c>
      <c r="P90" s="77" t="s">
        <v>7166</v>
      </c>
      <c r="Q90" s="2" t="s">
        <v>3322</v>
      </c>
      <c r="R90" s="2" t="s">
        <v>33</v>
      </c>
      <c r="S90" s="2">
        <v>15887160792</v>
      </c>
      <c r="T90" s="2" t="s">
        <v>244</v>
      </c>
      <c r="V90" s="2" t="str">
        <f>_xlfn.LET(_xlpm.x, _xlfn.XLOOKUP(X90,家庭成员!J:J,家庭成员!D:D,""), IF(_xlpm.x=0,"",_xlpm.x))</f>
        <v>夏志明</v>
      </c>
      <c r="W90" s="2" t="str">
        <f>_xlfn.LET(_xlpm.x, _xlfn.XLOOKUP(X90,家庭成员!J:J,家庭成员!C:C,""), IF(_xlpm.x=0,"",_xlpm.x))</f>
        <v>父亲</v>
      </c>
      <c r="X90" s="2" t="s">
        <v>3325</v>
      </c>
      <c r="Y90" s="2" t="s">
        <v>34</v>
      </c>
    </row>
    <row r="91" spans="1:25" ht="15.6" x14ac:dyDescent="0.25">
      <c r="A91" s="8" t="s">
        <v>1910</v>
      </c>
      <c r="B91" s="8" t="s">
        <v>1914</v>
      </c>
      <c r="C91" s="2" t="str">
        <f>_xlfn.XLOOKUP(B91,[1]Sheet2!BF:BF, [1]Sheet2!C:C, "")</f>
        <v>女</v>
      </c>
      <c r="D91" s="10" t="s">
        <v>3693</v>
      </c>
      <c r="E91" s="2" t="s">
        <v>27</v>
      </c>
      <c r="F91" s="2" t="s">
        <v>28</v>
      </c>
      <c r="G91" s="2" t="s">
        <v>252</v>
      </c>
      <c r="H91" s="2" t="s">
        <v>29</v>
      </c>
      <c r="I91" s="2" t="s">
        <v>102</v>
      </c>
      <c r="O91" s="2" t="str">
        <f>_xlfn.LET(_xlpm.x, _xlfn.XLOOKUP(B91,Sheet3!N:N,Sheet3!O:O,""), IF(_xlpm.x=0,"",_xlpm.x))</f>
        <v>富民县公安局</v>
      </c>
      <c r="P91" s="77" t="s">
        <v>7167</v>
      </c>
      <c r="Q91" s="2" t="s">
        <v>1915</v>
      </c>
      <c r="R91" s="2" t="s">
        <v>33</v>
      </c>
      <c r="S91" s="2">
        <v>13888756214</v>
      </c>
      <c r="T91" s="2" t="s">
        <v>244</v>
      </c>
      <c r="V91" s="2" t="str">
        <f>_xlfn.LET(_xlpm.x, _xlfn.XLOOKUP(X91,家庭成员!J:J,家庭成员!D:D,""), IF(_xlpm.x=0,"",_xlpm.x))</f>
        <v/>
      </c>
      <c r="W91" s="2" t="str">
        <f>_xlfn.LET(_xlpm.x, _xlfn.XLOOKUP(X91,家庭成员!J:J,家庭成员!C:C,""), IF(_xlpm.x=0,"",_xlpm.x))</f>
        <v/>
      </c>
      <c r="X91" s="2" t="s">
        <v>244</v>
      </c>
      <c r="Y91" s="2" t="s">
        <v>34</v>
      </c>
    </row>
    <row r="92" spans="1:25" ht="15.6" x14ac:dyDescent="0.25">
      <c r="A92" s="8" t="s">
        <v>1809</v>
      </c>
      <c r="B92" s="8" t="s">
        <v>1816</v>
      </c>
      <c r="C92" s="2" t="str">
        <f>_xlfn.XLOOKUP(B92,[1]Sheet2!BF:BF, [1]Sheet2!C:C, "")</f>
        <v>女</v>
      </c>
      <c r="D92" s="10" t="s">
        <v>3694</v>
      </c>
      <c r="E92" s="2" t="s">
        <v>27</v>
      </c>
      <c r="F92" s="2" t="s">
        <v>119</v>
      </c>
      <c r="G92" s="2" t="s">
        <v>252</v>
      </c>
      <c r="H92" s="2" t="s">
        <v>29</v>
      </c>
      <c r="I92" s="2" t="s">
        <v>102</v>
      </c>
      <c r="O92" s="2" t="str">
        <f>_xlfn.LET(_xlpm.x, _xlfn.XLOOKUP(B92,Sheet3!N:N,Sheet3!O:O,""), IF(_xlpm.x=0,"",_xlpm.x))</f>
        <v>富民县公安局</v>
      </c>
      <c r="P92" s="77" t="s">
        <v>7168</v>
      </c>
      <c r="Q92" s="2" t="s">
        <v>1817</v>
      </c>
      <c r="R92" s="2" t="s">
        <v>33</v>
      </c>
      <c r="S92" s="2">
        <v>13888855421</v>
      </c>
      <c r="T92" s="2" t="s">
        <v>1810</v>
      </c>
      <c r="V92" s="2" t="str">
        <f>_xlfn.LET(_xlpm.x, _xlfn.XLOOKUP(X92,家庭成员!J:J,家庭成员!D:D,""), IF(_xlpm.x=0,"",_xlpm.x))</f>
        <v/>
      </c>
      <c r="W92" s="2" t="str">
        <f>_xlfn.LET(_xlpm.x, _xlfn.XLOOKUP(X92,家庭成员!J:J,家庭成员!C:C,""), IF(_xlpm.x=0,"",_xlpm.x))</f>
        <v/>
      </c>
      <c r="X92" s="2" t="s">
        <v>244</v>
      </c>
      <c r="Y92" s="2" t="s">
        <v>34</v>
      </c>
    </row>
    <row r="93" spans="1:25" ht="15.6" x14ac:dyDescent="0.25">
      <c r="A93" s="8" t="s">
        <v>2466</v>
      </c>
      <c r="B93" s="8" t="s">
        <v>2471</v>
      </c>
      <c r="C93" s="2" t="str">
        <f>_xlfn.XLOOKUP(B93,[1]Sheet2!BF:BF, [1]Sheet2!C:C, "")</f>
        <v>女</v>
      </c>
      <c r="D93" s="10" t="s">
        <v>3695</v>
      </c>
      <c r="E93" s="2" t="s">
        <v>27</v>
      </c>
      <c r="F93" s="2" t="s">
        <v>28</v>
      </c>
      <c r="G93" s="2" t="s">
        <v>293</v>
      </c>
      <c r="H93" s="2" t="s">
        <v>29</v>
      </c>
      <c r="I93" s="2" t="s">
        <v>102</v>
      </c>
      <c r="O93" s="2" t="str">
        <f>_xlfn.LET(_xlpm.x, _xlfn.XLOOKUP(B93,Sheet3!N:N,Sheet3!O:O,""), IF(_xlpm.x=0,"",_xlpm.x))</f>
        <v>富民县公安局</v>
      </c>
      <c r="P93" s="77" t="s">
        <v>7169</v>
      </c>
      <c r="Q93" s="2" t="s">
        <v>2472</v>
      </c>
      <c r="R93" s="2" t="s">
        <v>33</v>
      </c>
      <c r="S93" s="2">
        <v>13577197144</v>
      </c>
      <c r="T93" s="2" t="s">
        <v>2467</v>
      </c>
      <c r="V93" s="2" t="str">
        <f>_xlfn.LET(_xlpm.x, _xlfn.XLOOKUP(X93,家庭成员!J:J,家庭成员!D:D,""), IF(_xlpm.x=0,"",_xlpm.x))</f>
        <v>黄丽芝</v>
      </c>
      <c r="W93" s="2" t="str">
        <f>_xlfn.LET(_xlpm.x, _xlfn.XLOOKUP(X93,家庭成员!J:J,家庭成员!C:C,""), IF(_xlpm.x=0,"",_xlpm.x))</f>
        <v>母亲</v>
      </c>
      <c r="X93" s="2" t="s">
        <v>2476</v>
      </c>
      <c r="Y93" s="2" t="s">
        <v>34</v>
      </c>
    </row>
    <row r="94" spans="1:25" ht="15.6" x14ac:dyDescent="0.25">
      <c r="A94" s="8" t="s">
        <v>3365</v>
      </c>
      <c r="B94" s="8" t="s">
        <v>3368</v>
      </c>
      <c r="C94" s="2" t="str">
        <f>_xlfn.XLOOKUP(B94,[1]Sheet2!BF:BF, [1]Sheet2!C:C, "")</f>
        <v>男</v>
      </c>
      <c r="D94" s="10" t="s">
        <v>3696</v>
      </c>
      <c r="E94" s="2" t="s">
        <v>27</v>
      </c>
      <c r="F94" s="2" t="s">
        <v>119</v>
      </c>
      <c r="G94" s="2" t="s">
        <v>293</v>
      </c>
      <c r="H94" s="2" t="s">
        <v>29</v>
      </c>
      <c r="I94" s="2" t="s">
        <v>102</v>
      </c>
      <c r="O94" s="2" t="str">
        <f>_xlfn.LET(_xlpm.x, _xlfn.XLOOKUP(B94,Sheet3!N:N,Sheet3!O:O,""), IF(_xlpm.x=0,"",_xlpm.x))</f>
        <v>富民县公安局</v>
      </c>
      <c r="P94" s="77" t="s">
        <v>7170</v>
      </c>
      <c r="Q94" s="2" t="s">
        <v>2616</v>
      </c>
      <c r="R94" s="2" t="s">
        <v>33</v>
      </c>
      <c r="S94" s="2">
        <v>15969410889</v>
      </c>
      <c r="T94" s="2" t="s">
        <v>244</v>
      </c>
      <c r="V94" s="2" t="str">
        <f>_xlfn.LET(_xlpm.x, _xlfn.XLOOKUP(X94,家庭成员!J:J,家庭成员!D:D,""), IF(_xlpm.x=0,"",_xlpm.x))</f>
        <v/>
      </c>
      <c r="W94" s="2" t="str">
        <f>_xlfn.LET(_xlpm.x, _xlfn.XLOOKUP(X94,家庭成员!J:J,家庭成员!C:C,""), IF(_xlpm.x=0,"",_xlpm.x))</f>
        <v/>
      </c>
      <c r="X94" s="2" t="s">
        <v>244</v>
      </c>
      <c r="Y94" s="2" t="s">
        <v>34</v>
      </c>
    </row>
    <row r="95" spans="1:25" ht="15.6" x14ac:dyDescent="0.25">
      <c r="A95" s="8" t="s">
        <v>3370</v>
      </c>
      <c r="B95" s="8" t="s">
        <v>3374</v>
      </c>
      <c r="C95" s="2" t="str">
        <f>_xlfn.XLOOKUP(B95,[1]Sheet2!BF:BF, [1]Sheet2!C:C, "")</f>
        <v>男</v>
      </c>
      <c r="D95" s="10" t="s">
        <v>3697</v>
      </c>
      <c r="E95" s="2" t="s">
        <v>27</v>
      </c>
      <c r="F95" s="2" t="s">
        <v>119</v>
      </c>
      <c r="G95" s="2" t="s">
        <v>252</v>
      </c>
      <c r="H95" s="2" t="s">
        <v>29</v>
      </c>
      <c r="I95" s="2" t="s">
        <v>102</v>
      </c>
      <c r="O95" s="2" t="str">
        <f>_xlfn.LET(_xlpm.x, _xlfn.XLOOKUP(B95,Sheet3!N:N,Sheet3!O:O,""), IF(_xlpm.x=0,"",_xlpm.x))</f>
        <v>富民县公安局</v>
      </c>
      <c r="P95" s="77" t="s">
        <v>7171</v>
      </c>
      <c r="Q95" s="2" t="s">
        <v>3375</v>
      </c>
      <c r="R95" s="2" t="s">
        <v>33</v>
      </c>
      <c r="S95" s="2">
        <v>13669761325</v>
      </c>
      <c r="T95" s="2" t="s">
        <v>244</v>
      </c>
      <c r="V95" s="2" t="str">
        <f>_xlfn.LET(_xlpm.x, _xlfn.XLOOKUP(X95,家庭成员!J:J,家庭成员!D:D,""), IF(_xlpm.x=0,"",_xlpm.x))</f>
        <v>陈天勇</v>
      </c>
      <c r="W95" s="2" t="str">
        <f>_xlfn.LET(_xlpm.x, _xlfn.XLOOKUP(X95,家庭成员!J:J,家庭成员!C:C,""), IF(_xlpm.x=0,"",_xlpm.x))</f>
        <v>父亲</v>
      </c>
      <c r="X95" s="2" t="s">
        <v>3379</v>
      </c>
      <c r="Y95" s="2" t="s">
        <v>34</v>
      </c>
    </row>
    <row r="96" spans="1:25" ht="15.6" x14ac:dyDescent="0.25">
      <c r="A96" s="8" t="s">
        <v>2286</v>
      </c>
      <c r="B96" s="8" t="s">
        <v>2292</v>
      </c>
      <c r="C96" s="2" t="str">
        <f>_xlfn.XLOOKUP(B96,[1]Sheet2!BF:BF, [1]Sheet2!C:C, "")</f>
        <v>男</v>
      </c>
      <c r="D96" s="10" t="s">
        <v>3698</v>
      </c>
      <c r="E96" s="2" t="s">
        <v>251</v>
      </c>
      <c r="F96" s="2" t="s">
        <v>119</v>
      </c>
      <c r="G96" s="2" t="s">
        <v>293</v>
      </c>
      <c r="H96" s="2" t="s">
        <v>29</v>
      </c>
      <c r="I96" s="2" t="s">
        <v>102</v>
      </c>
      <c r="O96" s="2" t="str">
        <f>_xlfn.LET(_xlpm.x, _xlfn.XLOOKUP(B96,Sheet3!N:N,Sheet3!O:O,""), IF(_xlpm.x=0,"",_xlpm.x))</f>
        <v>富民县公安局</v>
      </c>
      <c r="P96" s="77" t="s">
        <v>7172</v>
      </c>
      <c r="Q96" s="2" t="s">
        <v>2293</v>
      </c>
      <c r="R96" s="2" t="s">
        <v>33</v>
      </c>
      <c r="S96" s="2">
        <v>15887859881</v>
      </c>
      <c r="T96" s="2" t="s">
        <v>2287</v>
      </c>
      <c r="V96" s="2" t="str">
        <f>_xlfn.LET(_xlpm.x, _xlfn.XLOOKUP(X96,家庭成员!J:J,家庭成员!D:D,""), IF(_xlpm.x=0,"",_xlpm.x))</f>
        <v/>
      </c>
      <c r="W96" s="2" t="str">
        <f>_xlfn.LET(_xlpm.x, _xlfn.XLOOKUP(X96,家庭成员!J:J,家庭成员!C:C,""), IF(_xlpm.x=0,"",_xlpm.x))</f>
        <v/>
      </c>
      <c r="X96" s="2" t="s">
        <v>244</v>
      </c>
      <c r="Y96" s="2" t="s">
        <v>34</v>
      </c>
    </row>
    <row r="97" spans="1:25" ht="15.6" x14ac:dyDescent="0.25">
      <c r="A97" s="8" t="s">
        <v>3093</v>
      </c>
      <c r="B97" s="8" t="s">
        <v>3097</v>
      </c>
      <c r="C97" s="2" t="str">
        <f>_xlfn.XLOOKUP(B97,[1]Sheet2!BF:BF, [1]Sheet2!C:C, "")</f>
        <v>男</v>
      </c>
      <c r="D97" s="10" t="s">
        <v>3699</v>
      </c>
      <c r="E97" s="2" t="s">
        <v>27</v>
      </c>
      <c r="F97" s="2" t="s">
        <v>28</v>
      </c>
      <c r="G97" s="2" t="s">
        <v>293</v>
      </c>
      <c r="H97" s="2" t="s">
        <v>29</v>
      </c>
      <c r="I97" s="2" t="s">
        <v>102</v>
      </c>
      <c r="O97" s="2" t="str">
        <f>_xlfn.LET(_xlpm.x, _xlfn.XLOOKUP(B97,Sheet3!N:N,Sheet3!O:O,""), IF(_xlpm.x=0,"",_xlpm.x))</f>
        <v>富民县公安局</v>
      </c>
      <c r="P97" s="77" t="s">
        <v>7173</v>
      </c>
      <c r="Q97" s="2" t="s">
        <v>3098</v>
      </c>
      <c r="R97" s="2" t="s">
        <v>33</v>
      </c>
      <c r="S97" s="2">
        <v>15096692829</v>
      </c>
      <c r="T97" s="2" t="s">
        <v>244</v>
      </c>
      <c r="V97" s="2" t="str">
        <f>_xlfn.LET(_xlpm.x, _xlfn.XLOOKUP(X97,家庭成员!J:J,家庭成员!D:D,""), IF(_xlpm.x=0,"",_xlpm.x))</f>
        <v>彭登祥</v>
      </c>
      <c r="W97" s="2" t="str">
        <f>_xlfn.LET(_xlpm.x, _xlfn.XLOOKUP(X97,家庭成员!J:J,家庭成员!C:C,""), IF(_xlpm.x=0,"",_xlpm.x))</f>
        <v>父亲</v>
      </c>
      <c r="X97" s="2" t="s">
        <v>3103</v>
      </c>
      <c r="Y97" s="2" t="s">
        <v>34</v>
      </c>
    </row>
    <row r="98" spans="1:25" ht="15.6" x14ac:dyDescent="0.25">
      <c r="A98" s="8" t="s">
        <v>2347</v>
      </c>
      <c r="B98" s="8" t="s">
        <v>2352</v>
      </c>
      <c r="C98" s="2" t="str">
        <f>_xlfn.XLOOKUP(B98,[1]Sheet2!BF:BF, [1]Sheet2!C:C, "")</f>
        <v>男</v>
      </c>
      <c r="D98" s="10" t="s">
        <v>3699</v>
      </c>
      <c r="E98" s="2" t="s">
        <v>27</v>
      </c>
      <c r="F98" s="2" t="s">
        <v>119</v>
      </c>
      <c r="G98" s="2" t="s">
        <v>252</v>
      </c>
      <c r="H98" s="2" t="s">
        <v>29</v>
      </c>
      <c r="I98" s="2" t="s">
        <v>102</v>
      </c>
      <c r="O98" s="2" t="str">
        <f>_xlfn.LET(_xlpm.x, _xlfn.XLOOKUP(B98,Sheet3!N:N,Sheet3!O:O,""), IF(_xlpm.x=0,"",_xlpm.x))</f>
        <v>富民县公安局</v>
      </c>
      <c r="P98" s="77" t="s">
        <v>7174</v>
      </c>
      <c r="Q98" s="2" t="s">
        <v>2353</v>
      </c>
      <c r="R98" s="2" t="s">
        <v>33</v>
      </c>
      <c r="S98" s="2">
        <v>13008692052</v>
      </c>
      <c r="T98" s="2" t="s">
        <v>2348</v>
      </c>
      <c r="V98" s="2" t="str">
        <f>_xlfn.LET(_xlpm.x, _xlfn.XLOOKUP(X98,家庭成员!J:J,家庭成员!D:D,""), IF(_xlpm.x=0,"",_xlpm.x))</f>
        <v>余正荣</v>
      </c>
      <c r="W98" s="2" t="str">
        <f>_xlfn.LET(_xlpm.x, _xlfn.XLOOKUP(X98,家庭成员!J:J,家庭成员!C:C,""), IF(_xlpm.x=0,"",_xlpm.x))</f>
        <v>父亲</v>
      </c>
      <c r="X98" s="2" t="s">
        <v>2357</v>
      </c>
      <c r="Y98" s="2" t="s">
        <v>34</v>
      </c>
    </row>
    <row r="99" spans="1:25" ht="15.6" x14ac:dyDescent="0.25">
      <c r="A99" s="8" t="s">
        <v>291</v>
      </c>
      <c r="B99" s="8" t="s">
        <v>303</v>
      </c>
      <c r="C99" s="2" t="str">
        <f>_xlfn.XLOOKUP(B99,[1]Sheet2!BF:BF, [1]Sheet2!C:C, "")</f>
        <v>男</v>
      </c>
      <c r="D99" s="10" t="s">
        <v>3659</v>
      </c>
      <c r="E99" s="2" t="s">
        <v>27</v>
      </c>
      <c r="F99" s="2" t="s">
        <v>28</v>
      </c>
      <c r="G99" s="2" t="s">
        <v>293</v>
      </c>
      <c r="H99" s="2" t="s">
        <v>29</v>
      </c>
      <c r="I99" s="2" t="s">
        <v>102</v>
      </c>
      <c r="O99" s="2" t="str">
        <f>_xlfn.LET(_xlpm.x, _xlfn.XLOOKUP(B99,Sheet3!N:N,Sheet3!O:O,""), IF(_xlpm.x=0,"",_xlpm.x))</f>
        <v>富民县公安局</v>
      </c>
      <c r="P99" s="77" t="s">
        <v>7175</v>
      </c>
      <c r="Q99" s="2" t="s">
        <v>304</v>
      </c>
      <c r="R99" s="2" t="s">
        <v>239</v>
      </c>
      <c r="S99" s="2">
        <v>15911640061</v>
      </c>
      <c r="T99" s="2" t="s">
        <v>244</v>
      </c>
      <c r="V99" s="2" t="str">
        <f>_xlfn.LET(_xlpm.x, _xlfn.XLOOKUP(X99,家庭成员!J:J,家庭成员!D:D,""), IF(_xlpm.x=0,"",_xlpm.x))</f>
        <v/>
      </c>
      <c r="W99" s="2" t="str">
        <f>_xlfn.LET(_xlpm.x, _xlfn.XLOOKUP(X99,家庭成员!J:J,家庭成员!C:C,""), IF(_xlpm.x=0,"",_xlpm.x))</f>
        <v/>
      </c>
      <c r="X99" s="2"/>
      <c r="Y99" s="2" t="s">
        <v>34</v>
      </c>
    </row>
    <row r="100" spans="1:25" ht="15.6" x14ac:dyDescent="0.25">
      <c r="A100" s="8" t="s">
        <v>373</v>
      </c>
      <c r="B100" s="8" t="s">
        <v>381</v>
      </c>
      <c r="C100" s="2" t="str">
        <f>_xlfn.XLOOKUP(B100,[1]Sheet2!BF:BF, [1]Sheet2!C:C, "")</f>
        <v>男</v>
      </c>
      <c r="D100" s="10" t="s">
        <v>3700</v>
      </c>
      <c r="E100" s="2" t="s">
        <v>251</v>
      </c>
      <c r="F100" s="2" t="s">
        <v>119</v>
      </c>
      <c r="G100" s="2" t="s">
        <v>252</v>
      </c>
      <c r="H100" s="2" t="s">
        <v>253</v>
      </c>
      <c r="I100" s="2" t="s">
        <v>102</v>
      </c>
      <c r="O100" s="2" t="str">
        <f>_xlfn.LET(_xlpm.x, _xlfn.XLOOKUP(B100,Sheet3!N:N,Sheet3!O:O,""), IF(_xlpm.x=0,"",_xlpm.x))</f>
        <v>富民县公安局</v>
      </c>
      <c r="P100" s="77" t="s">
        <v>7176</v>
      </c>
      <c r="Q100" s="2" t="s">
        <v>382</v>
      </c>
      <c r="R100" s="2" t="s">
        <v>33</v>
      </c>
      <c r="S100" s="2">
        <v>13099992915</v>
      </c>
      <c r="T100" s="2" t="s">
        <v>374</v>
      </c>
      <c r="V100" s="2" t="str">
        <f>_xlfn.LET(_xlpm.x, _xlfn.XLOOKUP(X100,家庭成员!J:J,家庭成员!D:D,""), IF(_xlpm.x=0,"",_xlpm.x))</f>
        <v>张向阳</v>
      </c>
      <c r="W100" s="2" t="str">
        <f>_xlfn.LET(_xlpm.x, _xlfn.XLOOKUP(X100,家庭成员!J:J,家庭成员!C:C,""), IF(_xlpm.x=0,"",_xlpm.x))</f>
        <v>父亲</v>
      </c>
      <c r="X100" s="2" t="s">
        <v>389</v>
      </c>
      <c r="Y100" s="2" t="s">
        <v>34</v>
      </c>
    </row>
    <row r="101" spans="1:25" ht="15.6" x14ac:dyDescent="0.25">
      <c r="A101" s="8" t="s">
        <v>1999</v>
      </c>
      <c r="B101" s="8" t="s">
        <v>2004</v>
      </c>
      <c r="C101" s="2" t="str">
        <f>_xlfn.XLOOKUP(B101,[1]Sheet2!BF:BF, [1]Sheet2!C:C, "")</f>
        <v>女</v>
      </c>
      <c r="D101" s="10" t="s">
        <v>3701</v>
      </c>
      <c r="E101" s="2" t="s">
        <v>27</v>
      </c>
      <c r="F101" s="2" t="s">
        <v>119</v>
      </c>
      <c r="G101" s="2" t="s">
        <v>293</v>
      </c>
      <c r="H101" s="2" t="s">
        <v>29</v>
      </c>
      <c r="I101" s="2" t="s">
        <v>102</v>
      </c>
      <c r="O101" s="2" t="str">
        <f>_xlfn.LET(_xlpm.x, _xlfn.XLOOKUP(B101,Sheet3!N:N,Sheet3!O:O,""), IF(_xlpm.x=0,"",_xlpm.x))</f>
        <v>富民县公安局</v>
      </c>
      <c r="P101" s="77" t="s">
        <v>7177</v>
      </c>
      <c r="Q101" s="2" t="s">
        <v>2005</v>
      </c>
      <c r="R101" s="2" t="s">
        <v>33</v>
      </c>
      <c r="S101" s="2">
        <v>13629683592</v>
      </c>
      <c r="T101" s="2" t="s">
        <v>2000</v>
      </c>
      <c r="V101" s="2" t="str">
        <f>_xlfn.LET(_xlpm.x, _xlfn.XLOOKUP(X101,家庭成员!J:J,家庭成员!D:D,""), IF(_xlpm.x=0,"",_xlpm.x))</f>
        <v/>
      </c>
      <c r="W101" s="2" t="str">
        <f>_xlfn.LET(_xlpm.x, _xlfn.XLOOKUP(X101,家庭成员!J:J,家庭成员!C:C,""), IF(_xlpm.x=0,"",_xlpm.x))</f>
        <v/>
      </c>
      <c r="X101" s="2" t="s">
        <v>244</v>
      </c>
      <c r="Y101" s="2" t="s">
        <v>34</v>
      </c>
    </row>
    <row r="102" spans="1:25" ht="15.6" x14ac:dyDescent="0.25">
      <c r="A102" s="8" t="s">
        <v>2170</v>
      </c>
      <c r="B102" s="8" t="s">
        <v>2175</v>
      </c>
      <c r="C102" s="2" t="str">
        <f>_xlfn.XLOOKUP(B102,[1]Sheet2!BF:BF, [1]Sheet2!C:C, "")</f>
        <v>女</v>
      </c>
      <c r="D102" s="10" t="s">
        <v>3702</v>
      </c>
      <c r="E102" s="2" t="s">
        <v>27</v>
      </c>
      <c r="F102" s="2" t="s">
        <v>504</v>
      </c>
      <c r="G102" s="2" t="s">
        <v>293</v>
      </c>
      <c r="H102" s="2" t="s">
        <v>29</v>
      </c>
      <c r="I102" s="2" t="s">
        <v>102</v>
      </c>
      <c r="O102" s="2" t="str">
        <f>_xlfn.LET(_xlpm.x, _xlfn.XLOOKUP(B102,Sheet3!N:N,Sheet3!O:O,""), IF(_xlpm.x=0,"",_xlpm.x))</f>
        <v>富民县公安局</v>
      </c>
      <c r="P102" s="77" t="s">
        <v>7178</v>
      </c>
      <c r="Q102" s="2" t="s">
        <v>2176</v>
      </c>
      <c r="R102" s="2" t="s">
        <v>33</v>
      </c>
      <c r="S102" s="2">
        <v>15969446996</v>
      </c>
      <c r="T102" s="2" t="s">
        <v>2171</v>
      </c>
      <c r="V102" s="2" t="str">
        <f>_xlfn.LET(_xlpm.x, _xlfn.XLOOKUP(X102,家庭成员!J:J,家庭成员!D:D,""), IF(_xlpm.x=0,"",_xlpm.x))</f>
        <v>李洪明</v>
      </c>
      <c r="W102" s="2" t="str">
        <f>_xlfn.LET(_xlpm.x, _xlfn.XLOOKUP(X102,家庭成员!J:J,家庭成员!C:C,""), IF(_xlpm.x=0,"",_xlpm.x))</f>
        <v>父亲</v>
      </c>
      <c r="X102" s="2" t="s">
        <v>2180</v>
      </c>
      <c r="Y102" s="2" t="s">
        <v>34</v>
      </c>
    </row>
    <row r="103" spans="1:25" ht="15.6" x14ac:dyDescent="0.25">
      <c r="A103" s="8" t="s">
        <v>2589</v>
      </c>
      <c r="B103" s="8" t="s">
        <v>2596</v>
      </c>
      <c r="C103" s="2" t="str">
        <f>_xlfn.XLOOKUP(B103,[1]Sheet2!BF:BF, [1]Sheet2!C:C, "")</f>
        <v>女</v>
      </c>
      <c r="D103" s="10" t="s">
        <v>3703</v>
      </c>
      <c r="E103" s="2" t="s">
        <v>27</v>
      </c>
      <c r="F103" s="2" t="s">
        <v>119</v>
      </c>
      <c r="G103" s="2" t="s">
        <v>293</v>
      </c>
      <c r="H103" s="2" t="s">
        <v>29</v>
      </c>
      <c r="I103" s="2" t="s">
        <v>102</v>
      </c>
      <c r="O103" s="2" t="str">
        <f>_xlfn.LET(_xlpm.x, _xlfn.XLOOKUP(B103,Sheet3!N:N,Sheet3!O:O,""), IF(_xlpm.x=0,"",_xlpm.x))</f>
        <v>富民县公安局</v>
      </c>
      <c r="P103" s="77" t="s">
        <v>7021</v>
      </c>
      <c r="Q103" s="2" t="s">
        <v>2364</v>
      </c>
      <c r="R103" s="2" t="s">
        <v>33</v>
      </c>
      <c r="S103" s="2">
        <v>13529380754</v>
      </c>
      <c r="T103" s="2" t="s">
        <v>2590</v>
      </c>
      <c r="V103" s="2" t="str">
        <f>_xlfn.LET(_xlpm.x, _xlfn.XLOOKUP(X103,家庭成员!J:J,家庭成员!D:D,""), IF(_xlpm.x=0,"",_xlpm.x))</f>
        <v/>
      </c>
      <c r="W103" s="2" t="str">
        <f>_xlfn.LET(_xlpm.x, _xlfn.XLOOKUP(X103,家庭成员!J:J,家庭成员!C:C,""), IF(_xlpm.x=0,"",_xlpm.x))</f>
        <v/>
      </c>
      <c r="X103" s="2" t="s">
        <v>244</v>
      </c>
      <c r="Y103" s="2" t="s">
        <v>34</v>
      </c>
    </row>
    <row r="104" spans="1:25" ht="15.6" x14ac:dyDescent="0.25">
      <c r="A104" s="8" t="s">
        <v>2340</v>
      </c>
      <c r="B104" s="8" t="s">
        <v>2344</v>
      </c>
      <c r="C104" s="2" t="str">
        <f>_xlfn.XLOOKUP(B104,[1]Sheet2!BF:BF, [1]Sheet2!C:C, "")</f>
        <v>男</v>
      </c>
      <c r="D104" s="10" t="s">
        <v>3704</v>
      </c>
      <c r="E104" s="2" t="s">
        <v>27</v>
      </c>
      <c r="F104" s="2" t="s">
        <v>119</v>
      </c>
      <c r="G104" s="2" t="s">
        <v>293</v>
      </c>
      <c r="H104" s="2" t="s">
        <v>29</v>
      </c>
      <c r="I104" s="2" t="s">
        <v>102</v>
      </c>
      <c r="O104" s="2" t="str">
        <f>_xlfn.LET(_xlpm.x, _xlfn.XLOOKUP(B104,Sheet3!N:N,Sheet3!O:O,""), IF(_xlpm.x=0,"",_xlpm.x))</f>
        <v>富民县公安局</v>
      </c>
      <c r="P104" s="77" t="s">
        <v>7179</v>
      </c>
      <c r="Q104" s="2" t="s">
        <v>2345</v>
      </c>
      <c r="R104" s="2" t="s">
        <v>33</v>
      </c>
      <c r="S104" s="2">
        <v>13888611705</v>
      </c>
      <c r="T104" s="2" t="s">
        <v>244</v>
      </c>
      <c r="V104" s="2" t="str">
        <f>_xlfn.LET(_xlpm.x, _xlfn.XLOOKUP(X104,家庭成员!J:J,家庭成员!D:D,""), IF(_xlpm.x=0,"",_xlpm.x))</f>
        <v/>
      </c>
      <c r="W104" s="2" t="str">
        <f>_xlfn.LET(_xlpm.x, _xlfn.XLOOKUP(X104,家庭成员!J:J,家庭成员!C:C,""), IF(_xlpm.x=0,"",_xlpm.x))</f>
        <v/>
      </c>
      <c r="X104" s="2" t="s">
        <v>244</v>
      </c>
      <c r="Y104" s="2" t="s">
        <v>34</v>
      </c>
    </row>
    <row r="105" spans="1:25" ht="15.6" x14ac:dyDescent="0.25">
      <c r="A105" s="8" t="s">
        <v>1390</v>
      </c>
      <c r="B105" s="8" t="s">
        <v>1396</v>
      </c>
      <c r="C105" s="2" t="str">
        <f>_xlfn.XLOOKUP(B105,[1]Sheet2!BF:BF, [1]Sheet2!C:C, "")</f>
        <v>男</v>
      </c>
      <c r="D105" s="10" t="s">
        <v>3705</v>
      </c>
      <c r="E105" s="2" t="s">
        <v>27</v>
      </c>
      <c r="F105" s="2" t="s">
        <v>28</v>
      </c>
      <c r="G105" s="2" t="s">
        <v>252</v>
      </c>
      <c r="H105" s="2" t="s">
        <v>29</v>
      </c>
      <c r="I105" s="2" t="s">
        <v>102</v>
      </c>
      <c r="O105" s="2" t="str">
        <f>_xlfn.LET(_xlpm.x, _xlfn.XLOOKUP(B105,Sheet3!N:N,Sheet3!O:O,""), IF(_xlpm.x=0,"",_xlpm.x))</f>
        <v>富民县公安局</v>
      </c>
      <c r="P105" s="77" t="s">
        <v>1909</v>
      </c>
      <c r="Q105" s="2" t="s">
        <v>1397</v>
      </c>
      <c r="R105" s="2" t="s">
        <v>33</v>
      </c>
      <c r="S105" s="2">
        <v>13888484716</v>
      </c>
      <c r="T105" s="2" t="s">
        <v>1391</v>
      </c>
      <c r="V105" s="2" t="str">
        <f>_xlfn.LET(_xlpm.x, _xlfn.XLOOKUP(X105,家庭成员!J:J,家庭成员!D:D,""), IF(_xlpm.x=0,"",_xlpm.x))</f>
        <v>马娟</v>
      </c>
      <c r="W105" s="2" t="str">
        <f>_xlfn.LET(_xlpm.x, _xlfn.XLOOKUP(X105,家庭成员!J:J,家庭成员!C:C,""), IF(_xlpm.x=0,"",_xlpm.x))</f>
        <v>妻子</v>
      </c>
      <c r="X105" s="2" t="s">
        <v>1402</v>
      </c>
      <c r="Y105" s="2" t="s">
        <v>34</v>
      </c>
    </row>
    <row r="106" spans="1:25" ht="15.6" x14ac:dyDescent="0.25">
      <c r="A106" s="8" t="s">
        <v>2610</v>
      </c>
      <c r="B106" s="8" t="s">
        <v>2615</v>
      </c>
      <c r="C106" s="2" t="str">
        <f>_xlfn.XLOOKUP(B106,[1]Sheet2!BF:BF, [1]Sheet2!C:C, "")</f>
        <v>女</v>
      </c>
      <c r="D106" s="10" t="s">
        <v>3706</v>
      </c>
      <c r="E106" s="2" t="s">
        <v>27</v>
      </c>
      <c r="F106" s="2" t="s">
        <v>119</v>
      </c>
      <c r="G106" s="2" t="s">
        <v>293</v>
      </c>
      <c r="H106" s="2" t="s">
        <v>29</v>
      </c>
      <c r="I106" s="2" t="s">
        <v>102</v>
      </c>
      <c r="O106" s="2" t="str">
        <f>_xlfn.LET(_xlpm.x, _xlfn.XLOOKUP(B106,Sheet3!N:N,Sheet3!O:O,""), IF(_xlpm.x=0,"",_xlpm.x))</f>
        <v>富民县公安局</v>
      </c>
      <c r="P106" s="77" t="s">
        <v>7170</v>
      </c>
      <c r="Q106" s="2" t="s">
        <v>2616</v>
      </c>
      <c r="R106" s="2" t="s">
        <v>33</v>
      </c>
      <c r="S106" s="2">
        <v>15911587943</v>
      </c>
      <c r="T106" s="2" t="s">
        <v>244</v>
      </c>
      <c r="V106" s="2" t="str">
        <f>_xlfn.LET(_xlpm.x, _xlfn.XLOOKUP(X106,家庭成员!J:J,家庭成员!D:D,""), IF(_xlpm.x=0,"",_xlpm.x))</f>
        <v>刘金明</v>
      </c>
      <c r="W106" s="2" t="str">
        <f>_xlfn.LET(_xlpm.x, _xlfn.XLOOKUP(X106,家庭成员!J:J,家庭成员!C:C,""), IF(_xlpm.x=0,"",_xlpm.x))</f>
        <v>父亲</v>
      </c>
      <c r="X106" s="2" t="s">
        <v>2619</v>
      </c>
      <c r="Y106" s="2" t="s">
        <v>34</v>
      </c>
    </row>
    <row r="107" spans="1:25" ht="15.6" x14ac:dyDescent="0.25">
      <c r="A107" s="8" t="s">
        <v>2040</v>
      </c>
      <c r="B107" s="8" t="s">
        <v>2044</v>
      </c>
      <c r="C107" s="2" t="str">
        <f>_xlfn.XLOOKUP(B107,[1]Sheet2!BF:BF, [1]Sheet2!C:C, "")</f>
        <v>女</v>
      </c>
      <c r="D107" s="10" t="s">
        <v>3707</v>
      </c>
      <c r="E107" s="2" t="s">
        <v>27</v>
      </c>
      <c r="F107" s="2" t="s">
        <v>272</v>
      </c>
      <c r="G107" s="2" t="s">
        <v>252</v>
      </c>
      <c r="H107" s="2" t="s">
        <v>29</v>
      </c>
      <c r="I107" s="2" t="s">
        <v>102</v>
      </c>
      <c r="O107" s="2" t="str">
        <f>_xlfn.LET(_xlpm.x, _xlfn.XLOOKUP(B107,Sheet3!N:N,Sheet3!O:O,""), IF(_xlpm.x=0,"",_xlpm.x))</f>
        <v>富民县公安局</v>
      </c>
      <c r="P107" s="77" t="s">
        <v>7180</v>
      </c>
      <c r="Q107" s="2" t="s">
        <v>2045</v>
      </c>
      <c r="R107" s="2" t="s">
        <v>33</v>
      </c>
      <c r="S107" s="2">
        <v>13619689816</v>
      </c>
      <c r="T107" s="2" t="s">
        <v>244</v>
      </c>
      <c r="V107" s="2" t="str">
        <f>_xlfn.LET(_xlpm.x, _xlfn.XLOOKUP(X107,家庭成员!J:J,家庭成员!D:D,""), IF(_xlpm.x=0,"",_xlpm.x))</f>
        <v>李子英</v>
      </c>
      <c r="W107" s="2" t="str">
        <f>_xlfn.LET(_xlpm.x, _xlfn.XLOOKUP(X107,家庭成员!J:J,家庭成员!C:C,""), IF(_xlpm.x=0,"",_xlpm.x))</f>
        <v>母亲</v>
      </c>
      <c r="X107" s="2" t="s">
        <v>2049</v>
      </c>
      <c r="Y107" s="2" t="s">
        <v>34</v>
      </c>
    </row>
    <row r="108" spans="1:25" ht="15.6" x14ac:dyDescent="0.25">
      <c r="A108" s="8" t="s">
        <v>2031</v>
      </c>
      <c r="B108" s="8" t="s">
        <v>2035</v>
      </c>
      <c r="C108" s="2" t="str">
        <f>_xlfn.XLOOKUP(B108,[1]Sheet2!BF:BF, [1]Sheet2!C:C, "")</f>
        <v>男</v>
      </c>
      <c r="D108" s="10" t="s">
        <v>3708</v>
      </c>
      <c r="E108" s="2" t="s">
        <v>251</v>
      </c>
      <c r="F108" s="2" t="s">
        <v>272</v>
      </c>
      <c r="G108" s="2" t="s">
        <v>252</v>
      </c>
      <c r="H108" s="2" t="s">
        <v>253</v>
      </c>
      <c r="I108" s="2" t="s">
        <v>102</v>
      </c>
      <c r="O108" s="2" t="str">
        <f>_xlfn.LET(_xlpm.x, _xlfn.XLOOKUP(B108,Sheet3!N:N,Sheet3!O:O,""), IF(_xlpm.x=0,"",_xlpm.x))</f>
        <v>富民县公安局</v>
      </c>
      <c r="P108" s="77" t="s">
        <v>7181</v>
      </c>
      <c r="Q108" s="2" t="s">
        <v>2036</v>
      </c>
      <c r="R108" s="2" t="s">
        <v>33</v>
      </c>
      <c r="S108" s="2">
        <v>18788163727</v>
      </c>
      <c r="T108" s="2" t="s">
        <v>244</v>
      </c>
      <c r="V108" s="2" t="str">
        <f>_xlfn.LET(_xlpm.x, _xlfn.XLOOKUP(X108,家庭成员!J:J,家庭成员!D:D,""), IF(_xlpm.x=0,"",_xlpm.x))</f>
        <v>马爱华</v>
      </c>
      <c r="W108" s="2" t="str">
        <f>_xlfn.LET(_xlpm.x, _xlfn.XLOOKUP(X108,家庭成员!J:J,家庭成员!C:C,""), IF(_xlpm.x=0,"",_xlpm.x))</f>
        <v>母亲</v>
      </c>
      <c r="X108" s="2" t="s">
        <v>2039</v>
      </c>
      <c r="Y108" s="2" t="s">
        <v>34</v>
      </c>
    </row>
    <row r="109" spans="1:25" ht="15.6" x14ac:dyDescent="0.25">
      <c r="A109" s="8" t="s">
        <v>2504</v>
      </c>
      <c r="B109" s="8" t="s">
        <v>2511</v>
      </c>
      <c r="C109" s="2" t="str">
        <f>_xlfn.XLOOKUP(B109,[1]Sheet2!BF:BF, [1]Sheet2!C:C, "")</f>
        <v>男</v>
      </c>
      <c r="D109" s="10" t="s">
        <v>3709</v>
      </c>
      <c r="E109" s="2" t="s">
        <v>27</v>
      </c>
      <c r="F109" s="2" t="s">
        <v>119</v>
      </c>
      <c r="G109" s="2" t="s">
        <v>252</v>
      </c>
      <c r="H109" s="2" t="s">
        <v>29</v>
      </c>
      <c r="I109" s="2" t="s">
        <v>102</v>
      </c>
      <c r="O109" s="2" t="str">
        <f>_xlfn.LET(_xlpm.x, _xlfn.XLOOKUP(B109,Sheet3!N:N,Sheet3!O:O,""), IF(_xlpm.x=0,"",_xlpm.x))</f>
        <v>富民县公安局</v>
      </c>
      <c r="P109" s="77" t="s">
        <v>7182</v>
      </c>
      <c r="Q109" s="2" t="s">
        <v>2512</v>
      </c>
      <c r="R109" s="2" t="s">
        <v>33</v>
      </c>
      <c r="S109" s="2">
        <v>13529284154</v>
      </c>
      <c r="T109" s="2" t="s">
        <v>244</v>
      </c>
      <c r="V109" s="2" t="str">
        <f>_xlfn.LET(_xlpm.x, _xlfn.XLOOKUP(X109,家庭成员!J:J,家庭成员!D:D,""), IF(_xlpm.x=0,"",_xlpm.x))</f>
        <v>杜迎春</v>
      </c>
      <c r="W109" s="2" t="str">
        <f>_xlfn.LET(_xlpm.x, _xlfn.XLOOKUP(X109,家庭成员!J:J,家庭成员!C:C,""), IF(_xlpm.x=0,"",_xlpm.x))</f>
        <v>父亲</v>
      </c>
      <c r="X109" s="2" t="s">
        <v>2516</v>
      </c>
      <c r="Y109" s="2" t="s">
        <v>34</v>
      </c>
    </row>
    <row r="110" spans="1:25" ht="15.6" x14ac:dyDescent="0.25">
      <c r="A110" s="8" t="s">
        <v>2899</v>
      </c>
      <c r="B110" s="8" t="s">
        <v>2903</v>
      </c>
      <c r="C110" s="2" t="str">
        <f>_xlfn.XLOOKUP(B110,[1]Sheet2!BF:BF, [1]Sheet2!C:C, "")</f>
        <v>男</v>
      </c>
      <c r="D110" s="10" t="s">
        <v>3709</v>
      </c>
      <c r="E110" s="2" t="s">
        <v>27</v>
      </c>
      <c r="F110" s="2" t="s">
        <v>272</v>
      </c>
      <c r="G110" s="2" t="s">
        <v>293</v>
      </c>
      <c r="H110" s="2" t="s">
        <v>29</v>
      </c>
      <c r="I110" s="2" t="s">
        <v>102</v>
      </c>
      <c r="O110" s="2" t="str">
        <f>_xlfn.LET(_xlpm.x, _xlfn.XLOOKUP(B110,Sheet3!N:N,Sheet3!O:O,""), IF(_xlpm.x=0,"",_xlpm.x))</f>
        <v>富民县公安局</v>
      </c>
      <c r="P110" s="77" t="s">
        <v>7183</v>
      </c>
      <c r="Q110" s="2" t="s">
        <v>2904</v>
      </c>
      <c r="R110" s="2" t="s">
        <v>33</v>
      </c>
      <c r="S110" s="2">
        <v>13678738154</v>
      </c>
      <c r="T110" s="2" t="s">
        <v>244</v>
      </c>
      <c r="V110" s="2" t="str">
        <f>_xlfn.LET(_xlpm.x, _xlfn.XLOOKUP(X110,家庭成员!J:J,家庭成员!D:D,""), IF(_xlpm.x=0,"",_xlpm.x))</f>
        <v>肖雄</v>
      </c>
      <c r="W110" s="2" t="str">
        <f>_xlfn.LET(_xlpm.x, _xlfn.XLOOKUP(X110,家庭成员!J:J,家庭成员!C:C,""), IF(_xlpm.x=0,"",_xlpm.x))</f>
        <v>父亲</v>
      </c>
      <c r="X110" s="2" t="s">
        <v>2906</v>
      </c>
      <c r="Y110" s="2" t="s">
        <v>34</v>
      </c>
    </row>
    <row r="111" spans="1:25" ht="15.6" x14ac:dyDescent="0.25">
      <c r="A111" s="8" t="s">
        <v>2718</v>
      </c>
      <c r="B111" s="8" t="s">
        <v>2722</v>
      </c>
      <c r="C111" s="2" t="str">
        <f>_xlfn.XLOOKUP(B111,[1]Sheet2!BF:BF, [1]Sheet2!C:C, "")</f>
        <v>女</v>
      </c>
      <c r="D111" s="10" t="s">
        <v>3710</v>
      </c>
      <c r="E111" s="2" t="s">
        <v>27</v>
      </c>
      <c r="F111" s="2" t="s">
        <v>272</v>
      </c>
      <c r="G111" s="2" t="s">
        <v>293</v>
      </c>
      <c r="H111" s="2" t="s">
        <v>29</v>
      </c>
      <c r="I111" s="2" t="s">
        <v>102</v>
      </c>
      <c r="O111" s="2" t="str">
        <f>_xlfn.LET(_xlpm.x, _xlfn.XLOOKUP(B111,Sheet3!N:N,Sheet3!O:O,""), IF(_xlpm.x=0,"",_xlpm.x))</f>
        <v>富民县公安局</v>
      </c>
      <c r="P111" s="77" t="s">
        <v>7184</v>
      </c>
      <c r="Q111" s="2" t="s">
        <v>2723</v>
      </c>
      <c r="R111" s="2" t="s">
        <v>33</v>
      </c>
      <c r="S111" s="2">
        <v>18725075554</v>
      </c>
      <c r="T111" s="2" t="s">
        <v>244</v>
      </c>
      <c r="V111" s="2" t="str">
        <f>_xlfn.LET(_xlpm.x, _xlfn.XLOOKUP(X111,家庭成员!J:J,家庭成员!D:D,""), IF(_xlpm.x=0,"",_xlpm.x))</f>
        <v>吕春亭</v>
      </c>
      <c r="W111" s="2" t="str">
        <f>_xlfn.LET(_xlpm.x, _xlfn.XLOOKUP(X111,家庭成员!J:J,家庭成员!C:C,""), IF(_xlpm.x=0,"",_xlpm.x))</f>
        <v>父亲</v>
      </c>
      <c r="X111" s="2" t="s">
        <v>2726</v>
      </c>
      <c r="Y111" s="2" t="s">
        <v>34</v>
      </c>
    </row>
    <row r="112" spans="1:25" ht="15.6" x14ac:dyDescent="0.25">
      <c r="A112" s="8" t="s">
        <v>2656</v>
      </c>
      <c r="B112" s="8" t="s">
        <v>2659</v>
      </c>
      <c r="C112" s="2" t="str">
        <f>_xlfn.XLOOKUP(B112,[1]Sheet2!BF:BF, [1]Sheet2!C:C, "")</f>
        <v>男</v>
      </c>
      <c r="D112" s="10" t="s">
        <v>3667</v>
      </c>
      <c r="E112" s="2" t="s">
        <v>27</v>
      </c>
      <c r="F112" s="2" t="s">
        <v>272</v>
      </c>
      <c r="G112" s="2" t="s">
        <v>293</v>
      </c>
      <c r="H112" s="2" t="s">
        <v>253</v>
      </c>
      <c r="I112" s="2" t="s">
        <v>102</v>
      </c>
      <c r="O112" s="2" t="str">
        <f>_xlfn.LET(_xlpm.x, _xlfn.XLOOKUP(B112,Sheet3!N:N,Sheet3!O:O,""), IF(_xlpm.x=0,"",_xlpm.x))</f>
        <v>富民县公安局</v>
      </c>
      <c r="P112" s="77" t="s">
        <v>7185</v>
      </c>
      <c r="Q112" s="2" t="s">
        <v>2660</v>
      </c>
      <c r="R112" s="2" t="s">
        <v>33</v>
      </c>
      <c r="S112" s="2">
        <v>18725083364</v>
      </c>
      <c r="T112" s="2" t="s">
        <v>244</v>
      </c>
      <c r="V112" s="2" t="str">
        <f>_xlfn.LET(_xlpm.x, _xlfn.XLOOKUP(X112,家庭成员!J:J,家庭成员!D:D,""), IF(_xlpm.x=0,"",_xlpm.x))</f>
        <v>雷耿洪</v>
      </c>
      <c r="W112" s="2" t="str">
        <f>_xlfn.LET(_xlpm.x, _xlfn.XLOOKUP(X112,家庭成员!J:J,家庭成员!C:C,""), IF(_xlpm.x=0,"",_xlpm.x))</f>
        <v>父亲</v>
      </c>
      <c r="X112" s="2" t="s">
        <v>2662</v>
      </c>
      <c r="Y112" s="2" t="s">
        <v>34</v>
      </c>
    </row>
    <row r="113" spans="1:25" ht="15.6" x14ac:dyDescent="0.25">
      <c r="A113" s="8" t="s">
        <v>2706</v>
      </c>
      <c r="B113" s="8" t="s">
        <v>2709</v>
      </c>
      <c r="C113" s="2" t="str">
        <f>_xlfn.XLOOKUP(B113,[1]Sheet2!BF:BF, [1]Sheet2!C:C, "")</f>
        <v>男</v>
      </c>
      <c r="D113" s="10" t="s">
        <v>3711</v>
      </c>
      <c r="E113" s="2" t="s">
        <v>27</v>
      </c>
      <c r="F113" s="2" t="s">
        <v>272</v>
      </c>
      <c r="G113" s="2" t="s">
        <v>293</v>
      </c>
      <c r="H113" s="2" t="s">
        <v>29</v>
      </c>
      <c r="I113" s="2" t="s">
        <v>102</v>
      </c>
      <c r="O113" s="2" t="str">
        <f>_xlfn.LET(_xlpm.x, _xlfn.XLOOKUP(B113,Sheet3!N:N,Sheet3!O:O,""), IF(_xlpm.x=0,"",_xlpm.x))</f>
        <v>富民县公安局</v>
      </c>
      <c r="P113" s="77" t="s">
        <v>7186</v>
      </c>
      <c r="Q113" s="2" t="s">
        <v>1638</v>
      </c>
      <c r="R113" s="2" t="s">
        <v>33</v>
      </c>
      <c r="S113" s="2">
        <v>18787138274</v>
      </c>
      <c r="T113" s="2" t="s">
        <v>244</v>
      </c>
      <c r="V113" s="2" t="str">
        <f>_xlfn.LET(_xlpm.x, _xlfn.XLOOKUP(X113,家庭成员!J:J,家庭成员!D:D,""), IF(_xlpm.x=0,"",_xlpm.x))</f>
        <v/>
      </c>
      <c r="W113" s="2" t="str">
        <f>_xlfn.LET(_xlpm.x, _xlfn.XLOOKUP(X113,家庭成员!J:J,家庭成员!C:C,""), IF(_xlpm.x=0,"",_xlpm.x))</f>
        <v/>
      </c>
      <c r="X113" s="2" t="s">
        <v>244</v>
      </c>
      <c r="Y113" s="2" t="s">
        <v>34</v>
      </c>
    </row>
    <row r="114" spans="1:25" ht="15.6" x14ac:dyDescent="0.25">
      <c r="A114" s="8" t="s">
        <v>1820</v>
      </c>
      <c r="B114" s="8" t="s">
        <v>1824</v>
      </c>
      <c r="C114" s="2" t="str">
        <f>_xlfn.XLOOKUP(B114,[1]Sheet2!BF:BF, [1]Sheet2!C:C, "")</f>
        <v>女</v>
      </c>
      <c r="D114" s="10" t="s">
        <v>3712</v>
      </c>
      <c r="E114" s="2" t="s">
        <v>27</v>
      </c>
      <c r="F114" s="2" t="s">
        <v>119</v>
      </c>
      <c r="G114" s="2" t="s">
        <v>293</v>
      </c>
      <c r="H114" s="2" t="s">
        <v>29</v>
      </c>
      <c r="I114" s="2" t="s">
        <v>102</v>
      </c>
      <c r="O114" s="2" t="str">
        <f>_xlfn.LET(_xlpm.x, _xlfn.XLOOKUP(B114,Sheet3!N:N,Sheet3!O:O,""), IF(_xlpm.x=0,"",_xlpm.x))</f>
        <v>富民县公安局</v>
      </c>
      <c r="P114" s="77" t="s">
        <v>7187</v>
      </c>
      <c r="Q114" s="2" t="s">
        <v>1825</v>
      </c>
      <c r="R114" s="2" t="s">
        <v>33</v>
      </c>
      <c r="S114" s="2">
        <v>13678706283</v>
      </c>
      <c r="T114" s="2" t="s">
        <v>244</v>
      </c>
      <c r="V114" s="2" t="str">
        <f>_xlfn.LET(_xlpm.x, _xlfn.XLOOKUP(X114,家庭成员!J:J,家庭成员!D:D,""), IF(_xlpm.x=0,"",_xlpm.x))</f>
        <v>李国林</v>
      </c>
      <c r="W114" s="2" t="str">
        <f>_xlfn.LET(_xlpm.x, _xlfn.XLOOKUP(X114,家庭成员!J:J,家庭成员!C:C,""), IF(_xlpm.x=0,"",_xlpm.x))</f>
        <v>丈夫</v>
      </c>
      <c r="X114" s="2" t="s">
        <v>1828</v>
      </c>
      <c r="Y114" s="2" t="s">
        <v>34</v>
      </c>
    </row>
    <row r="115" spans="1:25" ht="15.6" x14ac:dyDescent="0.25">
      <c r="A115" s="8" t="s">
        <v>1863</v>
      </c>
      <c r="B115" s="8" t="s">
        <v>1867</v>
      </c>
      <c r="C115" s="2" t="str">
        <f>_xlfn.XLOOKUP(B115,[1]Sheet2!BF:BF, [1]Sheet2!C:C, "")</f>
        <v>男</v>
      </c>
      <c r="D115" s="10" t="s">
        <v>3713</v>
      </c>
      <c r="E115" s="2" t="s">
        <v>27</v>
      </c>
      <c r="F115" s="2" t="s">
        <v>272</v>
      </c>
      <c r="G115" s="2" t="s">
        <v>293</v>
      </c>
      <c r="H115" s="2" t="s">
        <v>29</v>
      </c>
      <c r="I115" s="2" t="s">
        <v>102</v>
      </c>
      <c r="O115" s="2" t="str">
        <f>_xlfn.LET(_xlpm.x, _xlfn.XLOOKUP(B115,Sheet3!N:N,Sheet3!O:O,""), IF(_xlpm.x=0,"",_xlpm.x))</f>
        <v>富民县公安局</v>
      </c>
      <c r="P115" s="77" t="s">
        <v>7188</v>
      </c>
      <c r="Q115" s="2" t="s">
        <v>1868</v>
      </c>
      <c r="R115" s="2" t="s">
        <v>33</v>
      </c>
      <c r="S115" s="2">
        <v>13619662979</v>
      </c>
      <c r="T115" s="2" t="s">
        <v>244</v>
      </c>
      <c r="V115" s="2" t="str">
        <f>_xlfn.LET(_xlpm.x, _xlfn.XLOOKUP(X115,家庭成员!J:J,家庭成员!D:D,""), IF(_xlpm.x=0,"",_xlpm.x))</f>
        <v/>
      </c>
      <c r="W115" s="2" t="str">
        <f>_xlfn.LET(_xlpm.x, _xlfn.XLOOKUP(X115,家庭成员!J:J,家庭成员!C:C,""), IF(_xlpm.x=0,"",_xlpm.x))</f>
        <v/>
      </c>
      <c r="X115" s="2" t="s">
        <v>244</v>
      </c>
      <c r="Y115" s="2" t="s">
        <v>34</v>
      </c>
    </row>
    <row r="116" spans="1:25" ht="15.6" x14ac:dyDescent="0.25">
      <c r="A116" s="8" t="s">
        <v>1403</v>
      </c>
      <c r="B116" s="8" t="s">
        <v>1408</v>
      </c>
      <c r="C116" s="2" t="str">
        <f>_xlfn.XLOOKUP(B116,[1]Sheet2!BF:BF, [1]Sheet2!C:C, "")</f>
        <v>男</v>
      </c>
      <c r="D116" s="10" t="s">
        <v>3714</v>
      </c>
      <c r="E116" s="2" t="s">
        <v>27</v>
      </c>
      <c r="F116" s="2" t="s">
        <v>272</v>
      </c>
      <c r="G116" s="2" t="s">
        <v>252</v>
      </c>
      <c r="H116" s="2" t="s">
        <v>29</v>
      </c>
      <c r="I116" s="2" t="s">
        <v>102</v>
      </c>
      <c r="O116" s="2" t="str">
        <f>_xlfn.LET(_xlpm.x, _xlfn.XLOOKUP(B116,Sheet3!N:N,Sheet3!O:O,""), IF(_xlpm.x=0,"",_xlpm.x))</f>
        <v>富民县公安局</v>
      </c>
      <c r="P116" s="77" t="s">
        <v>7189</v>
      </c>
      <c r="Q116" s="2" t="s">
        <v>1409</v>
      </c>
      <c r="R116" s="2" t="s">
        <v>33</v>
      </c>
      <c r="S116" s="2">
        <v>18487102810</v>
      </c>
      <c r="T116" s="2" t="s">
        <v>1404</v>
      </c>
      <c r="V116" s="2" t="str">
        <f>_xlfn.LET(_xlpm.x, _xlfn.XLOOKUP(X116,家庭成员!J:J,家庭成员!D:D,""), IF(_xlpm.x=0,"",_xlpm.x))</f>
        <v>黄加维</v>
      </c>
      <c r="W116" s="2" t="str">
        <f>_xlfn.LET(_xlpm.x, _xlfn.XLOOKUP(X116,家庭成员!J:J,家庭成员!C:C,""), IF(_xlpm.x=0,"",_xlpm.x))</f>
        <v>妻子</v>
      </c>
      <c r="X116" s="2" t="s">
        <v>1414</v>
      </c>
      <c r="Y116" s="2" t="s">
        <v>34</v>
      </c>
    </row>
    <row r="117" spans="1:25" ht="15.6" x14ac:dyDescent="0.25">
      <c r="A117" s="8" t="s">
        <v>1376</v>
      </c>
      <c r="B117" s="8" t="s">
        <v>1383</v>
      </c>
      <c r="C117" s="2" t="str">
        <f>_xlfn.XLOOKUP(B117,[1]Sheet2!BF:BF, [1]Sheet2!C:C, "")</f>
        <v>男</v>
      </c>
      <c r="D117" s="10" t="s">
        <v>3715</v>
      </c>
      <c r="E117" s="2" t="s">
        <v>27</v>
      </c>
      <c r="F117" s="2" t="s">
        <v>28</v>
      </c>
      <c r="G117" s="2" t="s">
        <v>293</v>
      </c>
      <c r="H117" s="2" t="s">
        <v>29</v>
      </c>
      <c r="I117" s="2" t="s">
        <v>102</v>
      </c>
      <c r="O117" s="2" t="str">
        <f>_xlfn.LET(_xlpm.x, _xlfn.XLOOKUP(B117,Sheet3!N:N,Sheet3!O:O,""), IF(_xlpm.x=0,"",_xlpm.x))</f>
        <v>富民县公安局</v>
      </c>
      <c r="P117" s="77" t="s">
        <v>1224</v>
      </c>
      <c r="Q117" s="2" t="s">
        <v>1384</v>
      </c>
      <c r="R117" s="2" t="s">
        <v>33</v>
      </c>
      <c r="S117" s="2">
        <v>13312509083</v>
      </c>
      <c r="T117" s="2" t="s">
        <v>1377</v>
      </c>
      <c r="V117" s="2" t="str">
        <f>_xlfn.LET(_xlpm.x, _xlfn.XLOOKUP(X117,家庭成员!J:J,家庭成员!D:D,""), IF(_xlpm.x=0,"",_xlpm.x))</f>
        <v>赵玉巧</v>
      </c>
      <c r="W117" s="2" t="str">
        <f>_xlfn.LET(_xlpm.x, _xlfn.XLOOKUP(X117,家庭成员!J:J,家庭成员!C:C,""), IF(_xlpm.x=0,"",_xlpm.x))</f>
        <v>妻子</v>
      </c>
      <c r="X117" s="2" t="s">
        <v>1389</v>
      </c>
      <c r="Y117" s="2" t="s">
        <v>34</v>
      </c>
    </row>
    <row r="118" spans="1:25" ht="15.6" x14ac:dyDescent="0.25">
      <c r="A118" s="8" t="s">
        <v>1880</v>
      </c>
      <c r="B118" s="8" t="s">
        <v>1883</v>
      </c>
      <c r="C118" s="2" t="str">
        <f>_xlfn.XLOOKUP(B118,[1]Sheet2!BF:BF, [1]Sheet2!C:C, "")</f>
        <v>男</v>
      </c>
      <c r="D118" s="10" t="s">
        <v>3716</v>
      </c>
      <c r="E118" s="2" t="s">
        <v>27</v>
      </c>
      <c r="F118" s="2" t="s">
        <v>272</v>
      </c>
      <c r="G118" s="2" t="s">
        <v>252</v>
      </c>
      <c r="H118" s="2" t="s">
        <v>253</v>
      </c>
      <c r="I118" s="2" t="s">
        <v>102</v>
      </c>
      <c r="O118" s="2" t="str">
        <f>_xlfn.LET(_xlpm.x, _xlfn.XLOOKUP(B118,Sheet3!N:N,Sheet3!O:O,""), IF(_xlpm.x=0,"",_xlpm.x))</f>
        <v>富民县公安局</v>
      </c>
      <c r="P118" s="77" t="s">
        <v>7190</v>
      </c>
      <c r="Q118" s="2" t="s">
        <v>1884</v>
      </c>
      <c r="R118" s="2" t="s">
        <v>33</v>
      </c>
      <c r="S118" s="2">
        <v>15288498483</v>
      </c>
      <c r="T118" s="2" t="s">
        <v>244</v>
      </c>
      <c r="V118" s="2" t="str">
        <f>_xlfn.LET(_xlpm.x, _xlfn.XLOOKUP(X118,家庭成员!J:J,家庭成员!D:D,""), IF(_xlpm.x=0,"",_xlpm.x))</f>
        <v/>
      </c>
      <c r="W118" s="2" t="str">
        <f>_xlfn.LET(_xlpm.x, _xlfn.XLOOKUP(X118,家庭成员!J:J,家庭成员!C:C,""), IF(_xlpm.x=0,"",_xlpm.x))</f>
        <v/>
      </c>
      <c r="X118" s="2" t="s">
        <v>244</v>
      </c>
      <c r="Y118" s="2" t="s">
        <v>34</v>
      </c>
    </row>
    <row r="119" spans="1:25" ht="15.6" x14ac:dyDescent="0.25">
      <c r="A119" s="8" t="s">
        <v>2223</v>
      </c>
      <c r="B119" s="8" t="s">
        <v>2227</v>
      </c>
      <c r="C119" s="2" t="str">
        <f>_xlfn.XLOOKUP(B119,[1]Sheet2!BF:BF, [1]Sheet2!C:C, "")</f>
        <v>男</v>
      </c>
      <c r="D119" s="10" t="s">
        <v>3717</v>
      </c>
      <c r="E119" s="2" t="s">
        <v>27</v>
      </c>
      <c r="F119" s="2" t="s">
        <v>272</v>
      </c>
      <c r="G119" s="2" t="s">
        <v>252</v>
      </c>
      <c r="H119" s="2" t="s">
        <v>29</v>
      </c>
      <c r="I119" s="2" t="s">
        <v>102</v>
      </c>
      <c r="O119" s="2" t="str">
        <f>_xlfn.LET(_xlpm.x, _xlfn.XLOOKUP(B119,Sheet3!N:N,Sheet3!O:O,""), IF(_xlpm.x=0,"",_xlpm.x))</f>
        <v>富民县公安局</v>
      </c>
      <c r="P119" s="77" t="s">
        <v>7191</v>
      </c>
      <c r="Q119" s="2" t="s">
        <v>2228</v>
      </c>
      <c r="R119" s="2" t="s">
        <v>33</v>
      </c>
      <c r="S119" s="2">
        <v>15288190431</v>
      </c>
      <c r="T119" s="2" t="s">
        <v>244</v>
      </c>
      <c r="V119" s="2" t="str">
        <f>_xlfn.LET(_xlpm.x, _xlfn.XLOOKUP(X119,家庭成员!J:J,家庭成员!D:D,""), IF(_xlpm.x=0,"",_xlpm.x))</f>
        <v/>
      </c>
      <c r="W119" s="2" t="str">
        <f>_xlfn.LET(_xlpm.x, _xlfn.XLOOKUP(X119,家庭成员!J:J,家庭成员!C:C,""), IF(_xlpm.x=0,"",_xlpm.x))</f>
        <v/>
      </c>
      <c r="X119" s="2" t="s">
        <v>244</v>
      </c>
      <c r="Y119" s="2" t="s">
        <v>34</v>
      </c>
    </row>
    <row r="120" spans="1:25" ht="15.6" x14ac:dyDescent="0.25">
      <c r="A120" s="8" t="s">
        <v>705</v>
      </c>
      <c r="B120" s="8" t="s">
        <v>712</v>
      </c>
      <c r="C120" s="2" t="str">
        <f>_xlfn.XLOOKUP(B120,[1]Sheet2!BF:BF, [1]Sheet2!C:C, "")</f>
        <v>男</v>
      </c>
      <c r="D120" s="10" t="s">
        <v>3718</v>
      </c>
      <c r="E120" s="2" t="s">
        <v>27</v>
      </c>
      <c r="F120" s="2" t="s">
        <v>119</v>
      </c>
      <c r="G120" s="2" t="s">
        <v>293</v>
      </c>
      <c r="H120" s="2" t="s">
        <v>29</v>
      </c>
      <c r="I120" s="2" t="s">
        <v>102</v>
      </c>
      <c r="O120" s="2" t="str">
        <f>_xlfn.LET(_xlpm.x, _xlfn.XLOOKUP(B120,Sheet3!N:N,Sheet3!O:O,""), IF(_xlpm.x=0,"",_xlpm.x))</f>
        <v>富民县公安局</v>
      </c>
      <c r="P120" s="77" t="s">
        <v>7192</v>
      </c>
      <c r="Q120" s="2" t="s">
        <v>7365</v>
      </c>
      <c r="R120" s="2" t="s">
        <v>33</v>
      </c>
      <c r="S120" s="2">
        <v>13759495595</v>
      </c>
      <c r="T120" s="2" t="s">
        <v>244</v>
      </c>
      <c r="V120" s="2" t="str">
        <f>_xlfn.LET(_xlpm.x, _xlfn.XLOOKUP(X120,家庭成员!J:J,家庭成员!D:D,""), IF(_xlpm.x=0,"",_xlpm.x))</f>
        <v/>
      </c>
      <c r="W120" s="2" t="str">
        <f>_xlfn.LET(_xlpm.x, _xlfn.XLOOKUP(X120,家庭成员!J:J,家庭成员!C:C,""), IF(_xlpm.x=0,"",_xlpm.x))</f>
        <v/>
      </c>
      <c r="X120" s="2" t="s">
        <v>244</v>
      </c>
      <c r="Y120" s="2" t="s">
        <v>34</v>
      </c>
    </row>
    <row r="121" spans="1:25" ht="15.6" x14ac:dyDescent="0.25">
      <c r="A121" s="8" t="s">
        <v>1071</v>
      </c>
      <c r="B121" s="8" t="s">
        <v>1079</v>
      </c>
      <c r="C121" s="2" t="str">
        <f>_xlfn.XLOOKUP(B121,[1]Sheet2!BF:BF, [1]Sheet2!C:C, "")</f>
        <v>男</v>
      </c>
      <c r="D121" s="10" t="s">
        <v>3719</v>
      </c>
      <c r="E121" s="2" t="s">
        <v>27</v>
      </c>
      <c r="F121" s="2" t="s">
        <v>272</v>
      </c>
      <c r="G121" s="2" t="s">
        <v>293</v>
      </c>
      <c r="H121" s="2" t="s">
        <v>253</v>
      </c>
      <c r="I121" s="2" t="s">
        <v>102</v>
      </c>
      <c r="O121" s="2" t="str">
        <f>_xlfn.LET(_xlpm.x, _xlfn.XLOOKUP(B121,Sheet3!N:N,Sheet3!O:O,""), IF(_xlpm.x=0,"",_xlpm.x))</f>
        <v>富民县公安局</v>
      </c>
      <c r="P121" s="77" t="s">
        <v>7193</v>
      </c>
      <c r="Q121" s="2" t="s">
        <v>1080</v>
      </c>
      <c r="R121" s="2" t="s">
        <v>33</v>
      </c>
      <c r="S121" s="2">
        <v>18860956606</v>
      </c>
      <c r="T121" s="2" t="s">
        <v>1072</v>
      </c>
      <c r="V121" s="2" t="str">
        <f>_xlfn.LET(_xlpm.x, _xlfn.XLOOKUP(X121,家庭成员!J:J,家庭成员!D:D,""), IF(_xlpm.x=0,"",_xlpm.x))</f>
        <v>陆凤琼</v>
      </c>
      <c r="W121" s="2" t="str">
        <f>_xlfn.LET(_xlpm.x, _xlfn.XLOOKUP(X121,家庭成员!J:J,家庭成员!C:C,""), IF(_xlpm.x=0,"",_xlpm.x))</f>
        <v>母亲</v>
      </c>
      <c r="X121" s="2" t="s">
        <v>1088</v>
      </c>
      <c r="Y121" s="2" t="s">
        <v>34</v>
      </c>
    </row>
    <row r="122" spans="1:25" ht="15.6" x14ac:dyDescent="0.25">
      <c r="A122" s="8" t="s">
        <v>1772</v>
      </c>
      <c r="B122" s="8" t="s">
        <v>1775</v>
      </c>
      <c r="C122" s="2" t="str">
        <f>_xlfn.XLOOKUP(B122,[1]Sheet2!BF:BF, [1]Sheet2!C:C, "")</f>
        <v>男</v>
      </c>
      <c r="D122" s="10" t="s">
        <v>3720</v>
      </c>
      <c r="E122" s="2" t="s">
        <v>27</v>
      </c>
      <c r="F122" s="2" t="s">
        <v>119</v>
      </c>
      <c r="G122" s="2" t="s">
        <v>293</v>
      </c>
      <c r="H122" s="2" t="s">
        <v>253</v>
      </c>
      <c r="I122" s="2" t="s">
        <v>102</v>
      </c>
      <c r="O122" s="2" t="str">
        <f>_xlfn.LET(_xlpm.x, _xlfn.XLOOKUP(B122,Sheet3!N:N,Sheet3!O:O,""), IF(_xlpm.x=0,"",_xlpm.x))</f>
        <v>富民县公安局</v>
      </c>
      <c r="P122" s="77" t="s">
        <v>7194</v>
      </c>
      <c r="Q122" s="2" t="s">
        <v>1776</v>
      </c>
      <c r="R122" s="2" t="s">
        <v>33</v>
      </c>
      <c r="S122" s="2">
        <v>18388407640</v>
      </c>
      <c r="T122" s="2" t="s">
        <v>244</v>
      </c>
      <c r="V122" s="2" t="str">
        <f>_xlfn.LET(_xlpm.x, _xlfn.XLOOKUP(X122,家庭成员!J:J,家庭成员!D:D,""), IF(_xlpm.x=0,"",_xlpm.x))</f>
        <v/>
      </c>
      <c r="W122" s="2" t="str">
        <f>_xlfn.LET(_xlpm.x, _xlfn.XLOOKUP(X122,家庭成员!J:J,家庭成员!C:C,""), IF(_xlpm.x=0,"",_xlpm.x))</f>
        <v/>
      </c>
      <c r="X122" s="2" t="s">
        <v>244</v>
      </c>
      <c r="Y122" s="2" t="s">
        <v>34</v>
      </c>
    </row>
    <row r="123" spans="1:25" ht="15.6" x14ac:dyDescent="0.25">
      <c r="A123" s="8" t="s">
        <v>2098</v>
      </c>
      <c r="B123" s="8" t="s">
        <v>2103</v>
      </c>
      <c r="C123" s="2" t="str">
        <f>_xlfn.XLOOKUP(B123,[1]Sheet2!BF:BF, [1]Sheet2!C:C, "")</f>
        <v>男</v>
      </c>
      <c r="D123" s="10" t="s">
        <v>3721</v>
      </c>
      <c r="E123" s="2" t="s">
        <v>2099</v>
      </c>
      <c r="F123" s="2" t="s">
        <v>272</v>
      </c>
      <c r="G123" s="2" t="s">
        <v>293</v>
      </c>
      <c r="H123" s="2" t="s">
        <v>253</v>
      </c>
      <c r="I123" s="2" t="s">
        <v>102</v>
      </c>
      <c r="O123" s="2" t="str">
        <f>_xlfn.LET(_xlpm.x, _xlfn.XLOOKUP(B123,Sheet3!N:N,Sheet3!O:O,""), IF(_xlpm.x=0,"",_xlpm.x))</f>
        <v>富民县公安局</v>
      </c>
      <c r="P123" s="77" t="s">
        <v>7195</v>
      </c>
      <c r="Q123" s="2" t="s">
        <v>2104</v>
      </c>
      <c r="R123" s="2" t="s">
        <v>33</v>
      </c>
      <c r="S123" s="2">
        <v>18787056473</v>
      </c>
      <c r="T123" s="2" t="s">
        <v>244</v>
      </c>
      <c r="V123" s="2" t="str">
        <f>_xlfn.LET(_xlpm.x, _xlfn.XLOOKUP(X123,家庭成员!J:J,家庭成员!D:D,""), IF(_xlpm.x=0,"",_xlpm.x))</f>
        <v/>
      </c>
      <c r="W123" s="2" t="str">
        <f>_xlfn.LET(_xlpm.x, _xlfn.XLOOKUP(X123,家庭成员!J:J,家庭成员!C:C,""), IF(_xlpm.x=0,"",_xlpm.x))</f>
        <v/>
      </c>
      <c r="X123" s="2" t="s">
        <v>244</v>
      </c>
      <c r="Y123" s="2" t="s">
        <v>34</v>
      </c>
    </row>
    <row r="124" spans="1:25" ht="15.6" x14ac:dyDescent="0.25">
      <c r="A124" s="8" t="s">
        <v>1534</v>
      </c>
      <c r="B124" s="8" t="s">
        <v>1539</v>
      </c>
      <c r="C124" s="2" t="str">
        <f>_xlfn.XLOOKUP(B124,[1]Sheet2!BF:BF, [1]Sheet2!C:C, "")</f>
        <v>女</v>
      </c>
      <c r="D124" s="10" t="s">
        <v>3722</v>
      </c>
      <c r="E124" s="2" t="s">
        <v>27</v>
      </c>
      <c r="F124" s="2" t="s">
        <v>272</v>
      </c>
      <c r="G124" s="2" t="s">
        <v>293</v>
      </c>
      <c r="H124" s="2" t="s">
        <v>29</v>
      </c>
      <c r="I124" s="2" t="s">
        <v>102</v>
      </c>
      <c r="O124" s="2" t="str">
        <f>_xlfn.LET(_xlpm.x, _xlfn.XLOOKUP(B124,Sheet3!N:N,Sheet3!O:O,""), IF(_xlpm.x=0,"",_xlpm.x))</f>
        <v>富民县公安局</v>
      </c>
      <c r="P124" s="77" t="s">
        <v>7196</v>
      </c>
      <c r="Q124" s="2" t="s">
        <v>1540</v>
      </c>
      <c r="R124" s="2" t="s">
        <v>33</v>
      </c>
      <c r="S124" s="2">
        <v>18725060129</v>
      </c>
      <c r="T124" s="2" t="s">
        <v>244</v>
      </c>
      <c r="V124" s="2" t="str">
        <f>_xlfn.LET(_xlpm.x, _xlfn.XLOOKUP(X124,家庭成员!J:J,家庭成员!D:D,""), IF(_xlpm.x=0,"",_xlpm.x))</f>
        <v>李生学</v>
      </c>
      <c r="W124" s="2" t="str">
        <f>_xlfn.LET(_xlpm.x, _xlfn.XLOOKUP(X124,家庭成员!J:J,家庭成员!C:C,""), IF(_xlpm.x=0,"",_xlpm.x))</f>
        <v>父亲</v>
      </c>
      <c r="X124" s="2" t="s">
        <v>1544</v>
      </c>
      <c r="Y124" s="2" t="s">
        <v>34</v>
      </c>
    </row>
    <row r="125" spans="1:25" ht="15.6" x14ac:dyDescent="0.25">
      <c r="A125" s="8" t="s">
        <v>1972</v>
      </c>
      <c r="B125" s="8" t="s">
        <v>1976</v>
      </c>
      <c r="C125" s="2" t="str">
        <f>_xlfn.XLOOKUP(B125,[1]Sheet2!BF:BF, [1]Sheet2!C:C, "")</f>
        <v>男</v>
      </c>
      <c r="D125" s="10" t="s">
        <v>3723</v>
      </c>
      <c r="E125" s="2" t="s">
        <v>27</v>
      </c>
      <c r="F125" s="2" t="s">
        <v>272</v>
      </c>
      <c r="G125" s="2" t="s">
        <v>293</v>
      </c>
      <c r="H125" s="2" t="s">
        <v>29</v>
      </c>
      <c r="I125" s="2" t="s">
        <v>102</v>
      </c>
      <c r="O125" s="2" t="str">
        <f>_xlfn.LET(_xlpm.x, _xlfn.XLOOKUP(B125,Sheet3!N:N,Sheet3!O:O,""), IF(_xlpm.x=0,"",_xlpm.x))</f>
        <v>富民县公安局</v>
      </c>
      <c r="P125" s="77" t="s">
        <v>1020</v>
      </c>
      <c r="Q125" s="2" t="s">
        <v>1977</v>
      </c>
      <c r="R125" s="2" t="s">
        <v>33</v>
      </c>
      <c r="S125" s="2">
        <v>18388392007</v>
      </c>
      <c r="T125" s="2" t="s">
        <v>1973</v>
      </c>
      <c r="V125" s="2" t="str">
        <f>_xlfn.LET(_xlpm.x, _xlfn.XLOOKUP(X125,家庭成员!J:J,家庭成员!D:D,""), IF(_xlpm.x=0,"",_xlpm.x))</f>
        <v/>
      </c>
      <c r="W125" s="2" t="str">
        <f>_xlfn.LET(_xlpm.x, _xlfn.XLOOKUP(X125,家庭成员!J:J,家庭成员!C:C,""), IF(_xlpm.x=0,"",_xlpm.x))</f>
        <v/>
      </c>
      <c r="X125" s="2" t="s">
        <v>244</v>
      </c>
      <c r="Y125" s="2" t="s">
        <v>34</v>
      </c>
    </row>
    <row r="126" spans="1:25" ht="15.6" x14ac:dyDescent="0.25">
      <c r="A126" s="8" t="s">
        <v>2070</v>
      </c>
      <c r="B126" s="8" t="s">
        <v>2074</v>
      </c>
      <c r="C126" s="2" t="str">
        <f>_xlfn.XLOOKUP(B126,[1]Sheet2!BF:BF, [1]Sheet2!C:C, "")</f>
        <v>男</v>
      </c>
      <c r="D126" s="10" t="s">
        <v>3724</v>
      </c>
      <c r="E126" s="2" t="s">
        <v>27</v>
      </c>
      <c r="F126" s="2" t="s">
        <v>272</v>
      </c>
      <c r="G126" s="2" t="s">
        <v>293</v>
      </c>
      <c r="H126" s="2" t="s">
        <v>253</v>
      </c>
      <c r="I126" s="2" t="s">
        <v>102</v>
      </c>
      <c r="O126" s="2" t="str">
        <f>_xlfn.LET(_xlpm.x, _xlfn.XLOOKUP(B126,Sheet3!N:N,Sheet3!O:O,""), IF(_xlpm.x=0,"",_xlpm.x))</f>
        <v>富民县公安局</v>
      </c>
      <c r="P126" s="77" t="s">
        <v>7197</v>
      </c>
      <c r="Q126" s="2" t="s">
        <v>2075</v>
      </c>
      <c r="R126" s="2" t="s">
        <v>33</v>
      </c>
      <c r="S126" s="2">
        <v>18725121213</v>
      </c>
      <c r="T126" s="2" t="s">
        <v>244</v>
      </c>
      <c r="V126" s="2" t="str">
        <f>_xlfn.LET(_xlpm.x, _xlfn.XLOOKUP(X126,家庭成员!J:J,家庭成员!D:D,""), IF(_xlpm.x=0,"",_xlpm.x))</f>
        <v>李自成</v>
      </c>
      <c r="W126" s="2" t="str">
        <f>_xlfn.LET(_xlpm.x, _xlfn.XLOOKUP(X126,家庭成员!J:J,家庭成员!C:C,""), IF(_xlpm.x=0,"",_xlpm.x))</f>
        <v>父亲</v>
      </c>
      <c r="X126" s="2" t="s">
        <v>2079</v>
      </c>
      <c r="Y126" s="2" t="s">
        <v>34</v>
      </c>
    </row>
    <row r="127" spans="1:25" ht="15.6" x14ac:dyDescent="0.25">
      <c r="A127" s="8" t="s">
        <v>1511</v>
      </c>
      <c r="B127" s="8" t="s">
        <v>1518</v>
      </c>
      <c r="C127" s="2" t="str">
        <f>_xlfn.XLOOKUP(B127,[1]Sheet2!BF:BF, [1]Sheet2!C:C, "")</f>
        <v>男</v>
      </c>
      <c r="D127" s="10" t="s">
        <v>3725</v>
      </c>
      <c r="E127" s="2" t="s">
        <v>27</v>
      </c>
      <c r="F127" s="2" t="s">
        <v>272</v>
      </c>
      <c r="G127" s="2" t="s">
        <v>293</v>
      </c>
      <c r="H127" s="2" t="s">
        <v>253</v>
      </c>
      <c r="I127" s="2" t="s">
        <v>102</v>
      </c>
      <c r="O127" s="2" t="str">
        <f>_xlfn.LET(_xlpm.x, _xlfn.XLOOKUP(B127,Sheet3!N:N,Sheet3!O:O,""), IF(_xlpm.x=0,"",_xlpm.x))</f>
        <v>富民县公安局</v>
      </c>
      <c r="P127" s="77" t="s">
        <v>842</v>
      </c>
      <c r="Q127" s="2" t="s">
        <v>1519</v>
      </c>
      <c r="R127" s="2" t="s">
        <v>33</v>
      </c>
      <c r="S127" s="2">
        <v>15812027534</v>
      </c>
      <c r="T127" s="2" t="s">
        <v>1512</v>
      </c>
      <c r="V127" s="2" t="str">
        <f>_xlfn.LET(_xlpm.x, _xlfn.XLOOKUP(X127,家庭成员!J:J,家庭成员!D:D,""), IF(_xlpm.x=0,"",_xlpm.x))</f>
        <v>张建华</v>
      </c>
      <c r="W127" s="2" t="str">
        <f>_xlfn.LET(_xlpm.x, _xlfn.XLOOKUP(X127,家庭成员!J:J,家庭成员!C:C,""), IF(_xlpm.x=0,"",_xlpm.x))</f>
        <v>父亲</v>
      </c>
      <c r="X127" s="2" t="s">
        <v>1522</v>
      </c>
      <c r="Y127" s="2" t="s">
        <v>34</v>
      </c>
    </row>
    <row r="128" spans="1:25" ht="15.6" x14ac:dyDescent="0.25">
      <c r="A128" s="8" t="s">
        <v>1363</v>
      </c>
      <c r="B128" s="8" t="s">
        <v>1369</v>
      </c>
      <c r="C128" s="2" t="str">
        <f>_xlfn.XLOOKUP(B128,[1]Sheet2!BF:BF, [1]Sheet2!C:C, "")</f>
        <v>男</v>
      </c>
      <c r="D128" s="10" t="s">
        <v>3725</v>
      </c>
      <c r="E128" s="2" t="s">
        <v>27</v>
      </c>
      <c r="F128" s="2" t="s">
        <v>272</v>
      </c>
      <c r="G128" s="2" t="s">
        <v>293</v>
      </c>
      <c r="H128" s="2" t="s">
        <v>29</v>
      </c>
      <c r="I128" s="2" t="s">
        <v>102</v>
      </c>
      <c r="O128" s="2" t="str">
        <f>_xlfn.LET(_xlpm.x, _xlfn.XLOOKUP(B128,Sheet3!N:N,Sheet3!O:O,""), IF(_xlpm.x=0,"",_xlpm.x))</f>
        <v>富民县公安局</v>
      </c>
      <c r="P128" s="77" t="s">
        <v>7198</v>
      </c>
      <c r="Q128" s="2" t="s">
        <v>1370</v>
      </c>
      <c r="R128" s="2" t="s">
        <v>33</v>
      </c>
      <c r="S128" s="2">
        <v>17787121603</v>
      </c>
      <c r="T128" s="2" t="s">
        <v>1364</v>
      </c>
      <c r="V128" s="2" t="str">
        <f>_xlfn.LET(_xlpm.x, _xlfn.XLOOKUP(X128,家庭成员!J:J,家庭成员!D:D,""), IF(_xlpm.x=0,"",_xlpm.x))</f>
        <v/>
      </c>
      <c r="W128" s="2" t="str">
        <f>_xlfn.LET(_xlpm.x, _xlfn.XLOOKUP(X128,家庭成员!J:J,家庭成员!C:C,""), IF(_xlpm.x=0,"",_xlpm.x))</f>
        <v/>
      </c>
      <c r="X128" s="2"/>
      <c r="Y128" s="2" t="s">
        <v>34</v>
      </c>
    </row>
    <row r="129" spans="1:25" ht="15.6" x14ac:dyDescent="0.25">
      <c r="A129" s="8" t="s">
        <v>1633</v>
      </c>
      <c r="B129" s="8" t="s">
        <v>1637</v>
      </c>
      <c r="C129" s="2" t="str">
        <f>_xlfn.XLOOKUP(B129,[1]Sheet2!BF:BF, [1]Sheet2!C:C, "")</f>
        <v>男</v>
      </c>
      <c r="D129" s="10" t="s">
        <v>3725</v>
      </c>
      <c r="E129" s="2" t="s">
        <v>27</v>
      </c>
      <c r="F129" s="2" t="s">
        <v>119</v>
      </c>
      <c r="G129" s="2" t="s">
        <v>293</v>
      </c>
      <c r="H129" s="2" t="s">
        <v>253</v>
      </c>
      <c r="I129" s="2" t="s">
        <v>102</v>
      </c>
      <c r="O129" s="2" t="str">
        <f>_xlfn.LET(_xlpm.x, _xlfn.XLOOKUP(B129,Sheet3!N:N,Sheet3!O:O,""), IF(_xlpm.x=0,"",_xlpm.x))</f>
        <v>富民县公安局</v>
      </c>
      <c r="P129" s="77" t="s">
        <v>7186</v>
      </c>
      <c r="Q129" s="2" t="s">
        <v>1638</v>
      </c>
      <c r="R129" s="2" t="s">
        <v>33</v>
      </c>
      <c r="S129" s="2">
        <v>18213427417</v>
      </c>
      <c r="T129" s="2" t="s">
        <v>244</v>
      </c>
      <c r="V129" s="2" t="str">
        <f>_xlfn.LET(_xlpm.x, _xlfn.XLOOKUP(X129,家庭成员!J:J,家庭成员!D:D,""), IF(_xlpm.x=0,"",_xlpm.x))</f>
        <v/>
      </c>
      <c r="W129" s="2" t="str">
        <f>_xlfn.LET(_xlpm.x, _xlfn.XLOOKUP(X129,家庭成员!J:J,家庭成员!C:C,""), IF(_xlpm.x=0,"",_xlpm.x))</f>
        <v/>
      </c>
      <c r="X129" s="2" t="s">
        <v>244</v>
      </c>
      <c r="Y129" s="2" t="s">
        <v>34</v>
      </c>
    </row>
    <row r="130" spans="1:25" ht="15.6" x14ac:dyDescent="0.25">
      <c r="A130" s="8" t="s">
        <v>1301</v>
      </c>
      <c r="B130" s="8" t="s">
        <v>1307</v>
      </c>
      <c r="C130" s="2" t="str">
        <f>_xlfn.XLOOKUP(B130,[1]Sheet2!BF:BF, [1]Sheet2!C:C, "")</f>
        <v>女</v>
      </c>
      <c r="D130" s="10" t="s">
        <v>3726</v>
      </c>
      <c r="E130" s="2" t="s">
        <v>27</v>
      </c>
      <c r="F130" s="2" t="s">
        <v>272</v>
      </c>
      <c r="G130" s="2" t="s">
        <v>293</v>
      </c>
      <c r="H130" s="2" t="s">
        <v>253</v>
      </c>
      <c r="I130" s="2" t="s">
        <v>102</v>
      </c>
      <c r="O130" s="2" t="str">
        <f>_xlfn.LET(_xlpm.x, _xlfn.XLOOKUP(B130,Sheet3!N:N,Sheet3!O:O,""), IF(_xlpm.x=0,"",_xlpm.x))</f>
        <v>富民县公安局</v>
      </c>
      <c r="P130" s="77" t="s">
        <v>7199</v>
      </c>
      <c r="Q130" s="2" t="s">
        <v>1308</v>
      </c>
      <c r="R130" s="2" t="s">
        <v>33</v>
      </c>
      <c r="S130" s="2">
        <v>13629669484</v>
      </c>
      <c r="T130" s="2" t="s">
        <v>1302</v>
      </c>
      <c r="V130" s="2" t="str">
        <f>_xlfn.LET(_xlpm.x, _xlfn.XLOOKUP(X130,家庭成员!J:J,家庭成员!D:D,""), IF(_xlpm.x=0,"",_xlpm.x))</f>
        <v/>
      </c>
      <c r="W130" s="2" t="str">
        <f>_xlfn.LET(_xlpm.x, _xlfn.XLOOKUP(X130,家庭成员!J:J,家庭成员!C:C,""), IF(_xlpm.x=0,"",_xlpm.x))</f>
        <v/>
      </c>
      <c r="X130" s="2" t="s">
        <v>244</v>
      </c>
      <c r="Y130" s="2" t="s">
        <v>34</v>
      </c>
    </row>
    <row r="131" spans="1:25" ht="15.6" x14ac:dyDescent="0.25">
      <c r="A131" s="8" t="s">
        <v>1801</v>
      </c>
      <c r="B131" s="8" t="s">
        <v>1805</v>
      </c>
      <c r="C131" s="2" t="str">
        <f>_xlfn.XLOOKUP(B131,[1]Sheet2!BF:BF, [1]Sheet2!C:C, "")</f>
        <v>男</v>
      </c>
      <c r="D131" s="10" t="s">
        <v>3727</v>
      </c>
      <c r="E131" s="2" t="s">
        <v>27</v>
      </c>
      <c r="F131" s="2" t="s">
        <v>272</v>
      </c>
      <c r="G131" s="2" t="s">
        <v>293</v>
      </c>
      <c r="H131" s="2" t="s">
        <v>29</v>
      </c>
      <c r="I131" s="2" t="s">
        <v>102</v>
      </c>
      <c r="O131" s="2" t="str">
        <f>_xlfn.LET(_xlpm.x, _xlfn.XLOOKUP(B131,Sheet3!N:N,Sheet3!O:O,""), IF(_xlpm.x=0,"",_xlpm.x))</f>
        <v>富民县公安局</v>
      </c>
      <c r="P131" s="77" t="s">
        <v>7200</v>
      </c>
      <c r="Q131" s="2" t="s">
        <v>1806</v>
      </c>
      <c r="R131" s="2" t="s">
        <v>33</v>
      </c>
      <c r="S131" s="2">
        <v>15925156455</v>
      </c>
      <c r="T131" s="2" t="s">
        <v>244</v>
      </c>
      <c r="V131" s="2" t="str">
        <f>_xlfn.LET(_xlpm.x, _xlfn.XLOOKUP(X131,家庭成员!J:J,家庭成员!D:D,""), IF(_xlpm.x=0,"",_xlpm.x))</f>
        <v/>
      </c>
      <c r="W131" s="2" t="str">
        <f>_xlfn.LET(_xlpm.x, _xlfn.XLOOKUP(X131,家庭成员!J:J,家庭成员!C:C,""), IF(_xlpm.x=0,"",_xlpm.x))</f>
        <v/>
      </c>
      <c r="X131" s="2" t="s">
        <v>244</v>
      </c>
      <c r="Y131" s="2" t="s">
        <v>34</v>
      </c>
    </row>
    <row r="132" spans="1:25" ht="15.6" x14ac:dyDescent="0.25">
      <c r="A132" s="8" t="s">
        <v>1627</v>
      </c>
      <c r="B132" s="8" t="s">
        <v>1630</v>
      </c>
      <c r="C132" s="2" t="str">
        <f>_xlfn.XLOOKUP(B132,[1]Sheet2!BF:BF, [1]Sheet2!C:C, "")</f>
        <v>男</v>
      </c>
      <c r="D132" s="10" t="s">
        <v>3728</v>
      </c>
      <c r="E132" s="2" t="s">
        <v>27</v>
      </c>
      <c r="F132" s="2" t="s">
        <v>119</v>
      </c>
      <c r="G132" s="2" t="s">
        <v>293</v>
      </c>
      <c r="H132" s="2" t="s">
        <v>253</v>
      </c>
      <c r="I132" s="2" t="s">
        <v>102</v>
      </c>
      <c r="O132" s="2" t="str">
        <f>_xlfn.LET(_xlpm.x, _xlfn.XLOOKUP(B132,Sheet3!N:N,Sheet3!O:O,""), IF(_xlpm.x=0,"",_xlpm.x))</f>
        <v>富民县公安局</v>
      </c>
      <c r="P132" s="77" t="s">
        <v>7201</v>
      </c>
      <c r="Q132" s="2" t="s">
        <v>1631</v>
      </c>
      <c r="R132" s="2" t="s">
        <v>33</v>
      </c>
      <c r="S132" s="2">
        <v>18589358091</v>
      </c>
      <c r="T132" s="2" t="s">
        <v>244</v>
      </c>
      <c r="V132" s="2" t="str">
        <f>_xlfn.LET(_xlpm.x, _xlfn.XLOOKUP(X132,家庭成员!J:J,家庭成员!D:D,""), IF(_xlpm.x=0,"",_xlpm.x))</f>
        <v/>
      </c>
      <c r="W132" s="2" t="str">
        <f>_xlfn.LET(_xlpm.x, _xlfn.XLOOKUP(X132,家庭成员!J:J,家庭成员!C:C,""), IF(_xlpm.x=0,"",_xlpm.x))</f>
        <v/>
      </c>
      <c r="X132" s="2" t="s">
        <v>244</v>
      </c>
      <c r="Y132" s="2" t="s">
        <v>34</v>
      </c>
    </row>
    <row r="133" spans="1:25" ht="15.6" x14ac:dyDescent="0.25">
      <c r="A133" s="8" t="s">
        <v>1259</v>
      </c>
      <c r="B133" s="8" t="s">
        <v>1263</v>
      </c>
      <c r="C133" s="2" t="str">
        <f>_xlfn.XLOOKUP(B133,[1]Sheet2!BF:BF, [1]Sheet2!C:C, "")</f>
        <v>男</v>
      </c>
      <c r="D133" s="10" t="s">
        <v>3728</v>
      </c>
      <c r="E133" s="2" t="s">
        <v>27</v>
      </c>
      <c r="F133" s="2" t="s">
        <v>272</v>
      </c>
      <c r="G133" s="2" t="s">
        <v>252</v>
      </c>
      <c r="H133" s="2" t="s">
        <v>253</v>
      </c>
      <c r="I133" s="2" t="s">
        <v>102</v>
      </c>
      <c r="O133" s="2" t="str">
        <f>_xlfn.LET(_xlpm.x, _xlfn.XLOOKUP(B133,Sheet3!N:N,Sheet3!O:O,""), IF(_xlpm.x=0,"",_xlpm.x))</f>
        <v>昆明市公安局盘龙分局</v>
      </c>
      <c r="P133" s="77" t="s">
        <v>7202</v>
      </c>
      <c r="Q133" s="2" t="s">
        <v>1264</v>
      </c>
      <c r="R133" s="2" t="s">
        <v>33</v>
      </c>
      <c r="S133" s="2">
        <v>18314531325</v>
      </c>
      <c r="T133" s="2" t="s">
        <v>244</v>
      </c>
      <c r="V133" s="2" t="str">
        <f>_xlfn.LET(_xlpm.x, _xlfn.XLOOKUP(X133,家庭成员!J:J,家庭成员!D:D,""), IF(_xlpm.x=0,"",_xlpm.x))</f>
        <v>张元晓</v>
      </c>
      <c r="W133" s="2" t="str">
        <f>_xlfn.LET(_xlpm.x, _xlfn.XLOOKUP(X133,家庭成员!J:J,家庭成员!C:C,""), IF(_xlpm.x=0,"",_xlpm.x))</f>
        <v>父亲</v>
      </c>
      <c r="X133" s="2" t="s">
        <v>1269</v>
      </c>
      <c r="Y133" s="2" t="s">
        <v>34</v>
      </c>
    </row>
    <row r="134" spans="1:25" ht="15.6" x14ac:dyDescent="0.25">
      <c r="A134" s="8" t="s">
        <v>1025</v>
      </c>
      <c r="B134" s="8" t="s">
        <v>1030</v>
      </c>
      <c r="C134" s="2" t="str">
        <f>_xlfn.XLOOKUP(B134,[1]Sheet2!BF:BF, [1]Sheet2!C:C, "")</f>
        <v>女</v>
      </c>
      <c r="D134" s="10" t="s">
        <v>3729</v>
      </c>
      <c r="E134" s="2" t="s">
        <v>27</v>
      </c>
      <c r="F134" s="2" t="s">
        <v>272</v>
      </c>
      <c r="G134" s="2" t="s">
        <v>293</v>
      </c>
      <c r="H134" s="2" t="s">
        <v>253</v>
      </c>
      <c r="I134" s="2" t="s">
        <v>102</v>
      </c>
      <c r="O134" s="2" t="str">
        <f>_xlfn.LET(_xlpm.x, _xlfn.XLOOKUP(B134,Sheet3!N:N,Sheet3!O:O,""), IF(_xlpm.x=0,"",_xlpm.x))</f>
        <v>富民县公安局</v>
      </c>
      <c r="P134" s="77" t="s">
        <v>7203</v>
      </c>
      <c r="Q134" s="2" t="s">
        <v>1031</v>
      </c>
      <c r="R134" s="2" t="s">
        <v>33</v>
      </c>
      <c r="S134" s="2">
        <v>19188524454</v>
      </c>
      <c r="T134" s="2" t="s">
        <v>244</v>
      </c>
      <c r="V134" s="2" t="str">
        <f>_xlfn.LET(_xlpm.x, _xlfn.XLOOKUP(X134,家庭成员!J:J,家庭成员!D:D,""), IF(_xlpm.x=0,"",_xlpm.x))</f>
        <v/>
      </c>
      <c r="W134" s="2" t="str">
        <f>_xlfn.LET(_xlpm.x, _xlfn.XLOOKUP(X134,家庭成员!J:J,家庭成员!C:C,""), IF(_xlpm.x=0,"",_xlpm.x))</f>
        <v/>
      </c>
      <c r="X134" s="2" t="s">
        <v>244</v>
      </c>
      <c r="Y134" s="2" t="s">
        <v>34</v>
      </c>
    </row>
    <row r="135" spans="1:25" ht="15.6" x14ac:dyDescent="0.25">
      <c r="A135" s="8" t="s">
        <v>1218</v>
      </c>
      <c r="B135" s="8" t="s">
        <v>1222</v>
      </c>
      <c r="C135" s="2" t="str">
        <f>_xlfn.XLOOKUP(B135,[1]Sheet2!BF:BF, [1]Sheet2!C:C, "")</f>
        <v>男</v>
      </c>
      <c r="D135" s="10" t="s">
        <v>3730</v>
      </c>
      <c r="E135" s="2" t="s">
        <v>27</v>
      </c>
      <c r="F135" s="2" t="s">
        <v>272</v>
      </c>
      <c r="G135" s="2" t="s">
        <v>293</v>
      </c>
      <c r="H135" s="2" t="s">
        <v>253</v>
      </c>
      <c r="I135" s="2" t="s">
        <v>102</v>
      </c>
      <c r="O135" s="2" t="str">
        <f>_xlfn.LET(_xlpm.x, _xlfn.XLOOKUP(B135,Sheet3!N:N,Sheet3!O:O,""), IF(_xlpm.x=0,"",_xlpm.x))</f>
        <v>富民县公安局</v>
      </c>
      <c r="P135" s="77" t="s">
        <v>7204</v>
      </c>
      <c r="Q135" s="2" t="s">
        <v>1223</v>
      </c>
      <c r="R135" s="2" t="s">
        <v>33</v>
      </c>
      <c r="S135" s="2">
        <v>17608926397</v>
      </c>
      <c r="T135" s="2" t="s">
        <v>244</v>
      </c>
      <c r="V135" s="2" t="str">
        <f>_xlfn.LET(_xlpm.x, _xlfn.XLOOKUP(X135,家庭成员!J:J,家庭成员!D:D,""), IF(_xlpm.x=0,"",_xlpm.x))</f>
        <v>周建英</v>
      </c>
      <c r="W135" s="2" t="str">
        <f>_xlfn.LET(_xlpm.x, _xlfn.XLOOKUP(X135,家庭成员!J:J,家庭成员!C:C,""), IF(_xlpm.x=0,"",_xlpm.x))</f>
        <v>母亲</v>
      </c>
      <c r="X135" s="2" t="s">
        <v>1227</v>
      </c>
      <c r="Y135" s="2" t="s">
        <v>34</v>
      </c>
    </row>
    <row r="136" spans="1:25" ht="15.6" x14ac:dyDescent="0.25">
      <c r="A136" s="8" t="s">
        <v>1755</v>
      </c>
      <c r="B136" s="8" t="s">
        <v>1759</v>
      </c>
      <c r="C136" s="2" t="str">
        <f>_xlfn.XLOOKUP(B136,[1]Sheet2!BF:BF, [1]Sheet2!C:C, "")</f>
        <v>男</v>
      </c>
      <c r="D136" s="10" t="s">
        <v>3731</v>
      </c>
      <c r="E136" s="2" t="s">
        <v>27</v>
      </c>
      <c r="F136" s="2" t="s">
        <v>119</v>
      </c>
      <c r="G136" s="2" t="s">
        <v>293</v>
      </c>
      <c r="H136" s="2" t="s">
        <v>253</v>
      </c>
      <c r="I136" s="2" t="s">
        <v>102</v>
      </c>
      <c r="O136" s="2" t="str">
        <f>_xlfn.LET(_xlpm.x, _xlfn.XLOOKUP(B136,Sheet3!N:N,Sheet3!O:O,""), IF(_xlpm.x=0,"",_xlpm.x))</f>
        <v>富民县公安局</v>
      </c>
      <c r="P136" s="77" t="s">
        <v>7205</v>
      </c>
      <c r="Q136" s="2" t="s">
        <v>1760</v>
      </c>
      <c r="R136" s="2" t="s">
        <v>33</v>
      </c>
      <c r="S136" s="2">
        <v>18214608082</v>
      </c>
      <c r="T136" s="2" t="s">
        <v>244</v>
      </c>
      <c r="V136" s="2" t="str">
        <f>_xlfn.LET(_xlpm.x, _xlfn.XLOOKUP(X136,家庭成员!J:J,家庭成员!D:D,""), IF(_xlpm.x=0,"",_xlpm.x))</f>
        <v/>
      </c>
      <c r="W136" s="2" t="str">
        <f>_xlfn.LET(_xlpm.x, _xlfn.XLOOKUP(X136,家庭成员!J:J,家庭成员!C:C,""), IF(_xlpm.x=0,"",_xlpm.x))</f>
        <v/>
      </c>
      <c r="X136" s="2" t="s">
        <v>244</v>
      </c>
      <c r="Y136" s="2" t="s">
        <v>34</v>
      </c>
    </row>
    <row r="137" spans="1:25" ht="15.6" x14ac:dyDescent="0.25">
      <c r="A137" s="8" t="s">
        <v>1282</v>
      </c>
      <c r="B137" s="8" t="s">
        <v>1288</v>
      </c>
      <c r="C137" s="2" t="str">
        <f>_xlfn.XLOOKUP(B137,[1]Sheet2!BF:BF, [1]Sheet2!C:C, "")</f>
        <v>男</v>
      </c>
      <c r="D137" s="10" t="s">
        <v>3732</v>
      </c>
      <c r="E137" s="2" t="s">
        <v>27</v>
      </c>
      <c r="F137" s="2" t="s">
        <v>272</v>
      </c>
      <c r="G137" s="2" t="s">
        <v>293</v>
      </c>
      <c r="H137" s="2" t="s">
        <v>29</v>
      </c>
      <c r="I137" s="2" t="s">
        <v>102</v>
      </c>
      <c r="O137" s="2" t="str">
        <f>_xlfn.LET(_xlpm.x, _xlfn.XLOOKUP(B137,Sheet3!N:N,Sheet3!O:O,""), IF(_xlpm.x=0,"",_xlpm.x))</f>
        <v>富民县公安局</v>
      </c>
      <c r="P137" s="77" t="s">
        <v>1398</v>
      </c>
      <c r="Q137" s="2" t="s">
        <v>1289</v>
      </c>
      <c r="R137" s="2" t="s">
        <v>33</v>
      </c>
      <c r="S137" s="2">
        <v>18313714737</v>
      </c>
      <c r="T137" s="2" t="s">
        <v>1283</v>
      </c>
      <c r="V137" s="2" t="str">
        <f>_xlfn.LET(_xlpm.x, _xlfn.XLOOKUP(X137,家庭成员!J:J,家庭成员!D:D,""), IF(_xlpm.x=0,"",_xlpm.x))</f>
        <v/>
      </c>
      <c r="W137" s="2" t="str">
        <f>_xlfn.LET(_xlpm.x, _xlfn.XLOOKUP(X137,家庭成员!J:J,家庭成员!C:C,""), IF(_xlpm.x=0,"",_xlpm.x))</f>
        <v/>
      </c>
      <c r="X137" s="2" t="s">
        <v>244</v>
      </c>
      <c r="Y137" s="2" t="s">
        <v>34</v>
      </c>
    </row>
    <row r="138" spans="1:25" ht="15.6" x14ac:dyDescent="0.25">
      <c r="A138" s="8" t="s">
        <v>1291</v>
      </c>
      <c r="B138" s="8" t="s">
        <v>1295</v>
      </c>
      <c r="C138" s="2" t="str">
        <f>_xlfn.XLOOKUP(B138,[1]Sheet2!BF:BF, [1]Sheet2!C:C, "")</f>
        <v>男</v>
      </c>
      <c r="D138" s="10" t="s">
        <v>3733</v>
      </c>
      <c r="E138" s="2" t="s">
        <v>251</v>
      </c>
      <c r="F138" s="2" t="s">
        <v>119</v>
      </c>
      <c r="G138" s="2" t="s">
        <v>293</v>
      </c>
      <c r="H138" s="2" t="s">
        <v>253</v>
      </c>
      <c r="I138" s="2" t="s">
        <v>102</v>
      </c>
      <c r="O138" s="2" t="str">
        <f>_xlfn.LET(_xlpm.x, _xlfn.XLOOKUP(B138,Sheet3!N:N,Sheet3!O:O,""), IF(_xlpm.x=0,"",_xlpm.x))</f>
        <v>富民县公安局</v>
      </c>
      <c r="P138" s="77" t="s">
        <v>7206</v>
      </c>
      <c r="Q138" s="2" t="s">
        <v>1296</v>
      </c>
      <c r="R138" s="2" t="s">
        <v>33</v>
      </c>
      <c r="S138" s="2">
        <v>19987738074</v>
      </c>
      <c r="T138" s="2" t="s">
        <v>244</v>
      </c>
      <c r="V138" s="2" t="str">
        <f>_xlfn.LET(_xlpm.x, _xlfn.XLOOKUP(X138,家庭成员!J:J,家庭成员!D:D,""), IF(_xlpm.x=0,"",_xlpm.x))</f>
        <v/>
      </c>
      <c r="W138" s="2" t="str">
        <f>_xlfn.LET(_xlpm.x, _xlfn.XLOOKUP(X138,家庭成员!J:J,家庭成员!C:C,""), IF(_xlpm.x=0,"",_xlpm.x))</f>
        <v/>
      </c>
      <c r="X138" s="2" t="s">
        <v>244</v>
      </c>
      <c r="Y138" s="2" t="s">
        <v>34</v>
      </c>
    </row>
    <row r="139" spans="1:25" ht="15.6" x14ac:dyDescent="0.25">
      <c r="A139" s="8" t="s">
        <v>895</v>
      </c>
      <c r="B139" s="8" t="s">
        <v>899</v>
      </c>
      <c r="C139" s="2" t="str">
        <f>_xlfn.XLOOKUP(B139,[1]Sheet2!BF:BF, [1]Sheet2!C:C, "")</f>
        <v>男</v>
      </c>
      <c r="D139" s="10" t="s">
        <v>3734</v>
      </c>
      <c r="E139" s="2" t="s">
        <v>27</v>
      </c>
      <c r="F139" s="2" t="s">
        <v>272</v>
      </c>
      <c r="G139" s="2" t="s">
        <v>252</v>
      </c>
      <c r="H139" s="2" t="s">
        <v>29</v>
      </c>
      <c r="I139" s="2" t="s">
        <v>102</v>
      </c>
      <c r="O139" s="2" t="str">
        <f>_xlfn.LET(_xlpm.x, _xlfn.XLOOKUP(B139,Sheet3!N:N,Sheet3!O:O,""), IF(_xlpm.x=0,"",_xlpm.x))</f>
        <v>富民县公安局</v>
      </c>
      <c r="P139" s="77" t="s">
        <v>7185</v>
      </c>
      <c r="Q139" s="2" t="s">
        <v>900</v>
      </c>
      <c r="R139" s="2" t="s">
        <v>33</v>
      </c>
      <c r="S139" s="2">
        <v>18083875869</v>
      </c>
      <c r="T139" s="2" t="s">
        <v>244</v>
      </c>
      <c r="V139" s="2" t="str">
        <f>_xlfn.LET(_xlpm.x, _xlfn.XLOOKUP(X139,家庭成员!J:J,家庭成员!D:D,""), IF(_xlpm.x=0,"",_xlpm.x))</f>
        <v/>
      </c>
      <c r="W139" s="2" t="str">
        <f>_xlfn.LET(_xlpm.x, _xlfn.XLOOKUP(X139,家庭成员!J:J,家庭成员!C:C,""), IF(_xlpm.x=0,"",_xlpm.x))</f>
        <v/>
      </c>
      <c r="X139" s="2" t="s">
        <v>244</v>
      </c>
      <c r="Y139" s="2" t="s">
        <v>34</v>
      </c>
    </row>
    <row r="140" spans="1:25" ht="15.6" x14ac:dyDescent="0.25">
      <c r="A140" s="8" t="s">
        <v>614</v>
      </c>
      <c r="B140" s="8" t="s">
        <v>618</v>
      </c>
      <c r="C140" s="2" t="str">
        <f>_xlfn.XLOOKUP(B140,[1]Sheet2!BF:BF, [1]Sheet2!C:C, "")</f>
        <v>男</v>
      </c>
      <c r="D140" s="10" t="s">
        <v>3735</v>
      </c>
      <c r="E140" s="2" t="s">
        <v>435</v>
      </c>
      <c r="F140" s="2" t="s">
        <v>119</v>
      </c>
      <c r="G140" s="2" t="s">
        <v>293</v>
      </c>
      <c r="H140" s="2" t="s">
        <v>253</v>
      </c>
      <c r="I140" s="2" t="s">
        <v>102</v>
      </c>
      <c r="O140" s="2" t="str">
        <f>_xlfn.LET(_xlpm.x, _xlfn.XLOOKUP(B140,Sheet3!N:N,Sheet3!O:O,""), IF(_xlpm.x=0,"",_xlpm.x))</f>
        <v>富民县公安局</v>
      </c>
      <c r="P140" s="77" t="s">
        <v>7207</v>
      </c>
      <c r="Q140" s="2" t="s">
        <v>619</v>
      </c>
      <c r="R140" s="2" t="s">
        <v>33</v>
      </c>
      <c r="S140" s="2">
        <v>18213479894</v>
      </c>
      <c r="T140" s="2" t="s">
        <v>244</v>
      </c>
      <c r="V140" s="2" t="str">
        <f>_xlfn.LET(_xlpm.x, _xlfn.XLOOKUP(X140,家庭成员!J:J,家庭成员!D:D,""), IF(_xlpm.x=0,"",_xlpm.x))</f>
        <v/>
      </c>
      <c r="W140" s="2" t="str">
        <f>_xlfn.LET(_xlpm.x, _xlfn.XLOOKUP(X140,家庭成员!J:J,家庭成员!C:C,""), IF(_xlpm.x=0,"",_xlpm.x))</f>
        <v/>
      </c>
      <c r="X140" s="2" t="s">
        <v>244</v>
      </c>
      <c r="Y140" s="2" t="s">
        <v>34</v>
      </c>
    </row>
    <row r="141" spans="1:25" ht="15.6" x14ac:dyDescent="0.25">
      <c r="A141" s="8" t="s">
        <v>591</v>
      </c>
      <c r="B141" s="8" t="s">
        <v>595</v>
      </c>
      <c r="C141" s="2" t="str">
        <f>_xlfn.XLOOKUP(B141,[1]Sheet2!BF:BF, [1]Sheet2!C:C, "")</f>
        <v>男</v>
      </c>
      <c r="D141" s="10" t="s">
        <v>3736</v>
      </c>
      <c r="E141" s="2" t="s">
        <v>27</v>
      </c>
      <c r="F141" s="2" t="s">
        <v>272</v>
      </c>
      <c r="G141" s="2" t="s">
        <v>293</v>
      </c>
      <c r="H141" s="2" t="s">
        <v>253</v>
      </c>
      <c r="I141" s="2" t="s">
        <v>102</v>
      </c>
      <c r="O141" s="2" t="str">
        <f>_xlfn.LET(_xlpm.x, _xlfn.XLOOKUP(B141,Sheet3!N:N,Sheet3!O:O,""), IF(_xlpm.x=0,"",_xlpm.x))</f>
        <v>富民县公安局</v>
      </c>
      <c r="P141" s="77" t="s">
        <v>7208</v>
      </c>
      <c r="Q141" s="2" t="s">
        <v>596</v>
      </c>
      <c r="R141" s="2" t="s">
        <v>33</v>
      </c>
      <c r="S141" s="2">
        <v>18213858731</v>
      </c>
      <c r="T141" s="2" t="s">
        <v>244</v>
      </c>
      <c r="V141" s="2" t="str">
        <f>_xlfn.LET(_xlpm.x, _xlfn.XLOOKUP(X141,家庭成员!J:J,家庭成员!D:D,""), IF(_xlpm.x=0,"",_xlpm.x))</f>
        <v/>
      </c>
      <c r="W141" s="2" t="str">
        <f>_xlfn.LET(_xlpm.x, _xlfn.XLOOKUP(X141,家庭成员!J:J,家庭成员!C:C,""), IF(_xlpm.x=0,"",_xlpm.x))</f>
        <v/>
      </c>
      <c r="X141" s="2" t="s">
        <v>244</v>
      </c>
      <c r="Y141" s="2" t="s">
        <v>34</v>
      </c>
    </row>
    <row r="142" spans="1:25" ht="15.6" x14ac:dyDescent="0.25">
      <c r="A142" s="8" t="s">
        <v>3162</v>
      </c>
      <c r="B142" s="8" t="s">
        <v>3166</v>
      </c>
      <c r="C142" s="2" t="str">
        <f>_xlfn.XLOOKUP(B142,[1]Sheet2!BF:BF, [1]Sheet2!C:C, "")</f>
        <v>男</v>
      </c>
      <c r="D142" s="10" t="s">
        <v>3737</v>
      </c>
      <c r="E142" s="2" t="s">
        <v>27</v>
      </c>
      <c r="F142" s="2" t="s">
        <v>119</v>
      </c>
      <c r="G142" s="2" t="s">
        <v>293</v>
      </c>
      <c r="H142" s="2" t="s">
        <v>29</v>
      </c>
      <c r="I142" s="2" t="s">
        <v>102</v>
      </c>
      <c r="O142" s="2" t="str">
        <f>_xlfn.LET(_xlpm.x, _xlfn.XLOOKUP(B142,Sheet3!N:N,Sheet3!O:O,""), IF(_xlpm.x=0,"",_xlpm.x))</f>
        <v>宜良县公安局</v>
      </c>
      <c r="P142" s="77" t="s">
        <v>7209</v>
      </c>
      <c r="Q142" s="2" t="s">
        <v>3167</v>
      </c>
      <c r="R142" s="2" t="s">
        <v>33</v>
      </c>
      <c r="S142" s="2">
        <v>13678771721</v>
      </c>
      <c r="T142" s="2" t="s">
        <v>244</v>
      </c>
      <c r="V142" s="2" t="str">
        <f>_xlfn.LET(_xlpm.x, _xlfn.XLOOKUP(X142,家庭成员!J:J,家庭成员!D:D,""), IF(_xlpm.x=0,"",_xlpm.x))</f>
        <v/>
      </c>
      <c r="W142" s="2" t="str">
        <f>_xlfn.LET(_xlpm.x, _xlfn.XLOOKUP(X142,家庭成员!J:J,家庭成员!C:C,""), IF(_xlpm.x=0,"",_xlpm.x))</f>
        <v/>
      </c>
      <c r="X142" s="2" t="s">
        <v>244</v>
      </c>
      <c r="Y142" s="2" t="s">
        <v>34</v>
      </c>
    </row>
    <row r="143" spans="1:25" ht="15.6" x14ac:dyDescent="0.25">
      <c r="A143" s="8" t="s">
        <v>3195</v>
      </c>
      <c r="B143" s="8" t="s">
        <v>3198</v>
      </c>
      <c r="C143" s="2" t="str">
        <f>_xlfn.XLOOKUP(B143,[1]Sheet2!BF:BF, [1]Sheet2!C:C, "")</f>
        <v>男</v>
      </c>
      <c r="D143" s="10" t="s">
        <v>3738</v>
      </c>
      <c r="E143" s="2" t="s">
        <v>27</v>
      </c>
      <c r="F143" s="2" t="s">
        <v>119</v>
      </c>
      <c r="G143" s="2" t="s">
        <v>293</v>
      </c>
      <c r="H143" s="2" t="s">
        <v>29</v>
      </c>
      <c r="I143" s="2" t="s">
        <v>102</v>
      </c>
      <c r="O143" s="2" t="str">
        <f>_xlfn.LET(_xlpm.x, _xlfn.XLOOKUP(B143,Sheet3!N:N,Sheet3!O:O,""), IF(_xlpm.x=0,"",_xlpm.x))</f>
        <v>宜良县公安局</v>
      </c>
      <c r="P143" s="77" t="s">
        <v>7209</v>
      </c>
      <c r="Q143" s="2" t="s">
        <v>3167</v>
      </c>
      <c r="R143" s="2" t="s">
        <v>33</v>
      </c>
      <c r="S143" s="2">
        <v>13908859545</v>
      </c>
      <c r="T143" s="2" t="s">
        <v>244</v>
      </c>
      <c r="V143" s="2" t="str">
        <f>_xlfn.LET(_xlpm.x, _xlfn.XLOOKUP(X143,家庭成员!J:J,家庭成员!D:D,""), IF(_xlpm.x=0,"",_xlpm.x))</f>
        <v>王保树</v>
      </c>
      <c r="W143" s="2" t="str">
        <f>_xlfn.LET(_xlpm.x, _xlfn.XLOOKUP(X143,家庭成员!J:J,家庭成员!C:C,""), IF(_xlpm.x=0,"",_xlpm.x))</f>
        <v>父亲</v>
      </c>
      <c r="X143" s="2" t="s">
        <v>3201</v>
      </c>
      <c r="Y143" s="2" t="s">
        <v>34</v>
      </c>
    </row>
    <row r="144" spans="1:25" ht="15.6" x14ac:dyDescent="0.25">
      <c r="A144" s="8" t="s">
        <v>924</v>
      </c>
      <c r="B144" s="8" t="s">
        <v>931</v>
      </c>
      <c r="C144" s="2" t="str">
        <f>_xlfn.XLOOKUP(B144,[1]Sheet2!BF:BF, [1]Sheet2!C:C, "")</f>
        <v>男</v>
      </c>
      <c r="D144" s="10" t="s">
        <v>3739</v>
      </c>
      <c r="E144" s="2" t="s">
        <v>251</v>
      </c>
      <c r="F144" s="2" t="s">
        <v>272</v>
      </c>
      <c r="G144" s="2" t="s">
        <v>293</v>
      </c>
      <c r="H144" s="2" t="s">
        <v>253</v>
      </c>
      <c r="I144" s="2" t="s">
        <v>102</v>
      </c>
      <c r="O144" s="2" t="str">
        <f>_xlfn.LET(_xlpm.x, _xlfn.XLOOKUP(B144,Sheet3!N:N,Sheet3!O:O,""), IF(_xlpm.x=0,"",_xlpm.x))</f>
        <v>宜良县公安局</v>
      </c>
      <c r="P144" s="77" t="s">
        <v>7210</v>
      </c>
      <c r="Q144" s="2" t="s">
        <v>932</v>
      </c>
      <c r="R144" s="2" t="s">
        <v>33</v>
      </c>
      <c r="S144" s="2">
        <v>13529124326</v>
      </c>
      <c r="T144" s="2" t="s">
        <v>925</v>
      </c>
      <c r="V144" s="2" t="str">
        <f>_xlfn.LET(_xlpm.x, _xlfn.XLOOKUP(X144,家庭成员!J:J,家庭成员!D:D,""), IF(_xlpm.x=0,"",_xlpm.x))</f>
        <v>胡志连</v>
      </c>
      <c r="W144" s="2" t="str">
        <f>_xlfn.LET(_xlpm.x, _xlfn.XLOOKUP(X144,家庭成员!J:J,家庭成员!C:C,""), IF(_xlpm.x=0,"",_xlpm.x))</f>
        <v>母亲</v>
      </c>
      <c r="X144" s="2" t="s">
        <v>938</v>
      </c>
      <c r="Y144" s="2" t="s">
        <v>34</v>
      </c>
    </row>
    <row r="145" spans="1:25" ht="15.6" x14ac:dyDescent="0.25">
      <c r="A145" s="8" t="s">
        <v>2608</v>
      </c>
      <c r="B145" s="8" t="s">
        <v>3427</v>
      </c>
      <c r="C145" s="2" t="str">
        <f>_xlfn.XLOOKUP(B145,[1]Sheet2!BF:BF, [1]Sheet2!C:C, "")</f>
        <v>男</v>
      </c>
      <c r="D145" s="10" t="s">
        <v>3740</v>
      </c>
      <c r="E145" s="2" t="s">
        <v>27</v>
      </c>
      <c r="F145" s="2" t="s">
        <v>119</v>
      </c>
      <c r="G145" s="2" t="s">
        <v>293</v>
      </c>
      <c r="H145" s="2" t="s">
        <v>29</v>
      </c>
      <c r="I145" s="2" t="s">
        <v>102</v>
      </c>
      <c r="O145" s="2" t="str">
        <f>_xlfn.LET(_xlpm.x, _xlfn.XLOOKUP(B145,Sheet3!N:N,Sheet3!O:O,""), IF(_xlpm.x=0,"",_xlpm.x))</f>
        <v>石林彝族自治县公安局</v>
      </c>
      <c r="P145" s="77" t="s">
        <v>7211</v>
      </c>
      <c r="Q145" s="2" t="s">
        <v>3428</v>
      </c>
      <c r="R145" s="2" t="s">
        <v>33</v>
      </c>
      <c r="S145" s="2">
        <v>15887110522</v>
      </c>
      <c r="T145" s="2" t="s">
        <v>244</v>
      </c>
      <c r="V145" s="2" t="str">
        <f>_xlfn.LET(_xlpm.x, _xlfn.XLOOKUP(X145,家庭成员!J:J,家庭成员!D:D,""), IF(_xlpm.x=0,"",_xlpm.x))</f>
        <v>冯夸生</v>
      </c>
      <c r="W145" s="2" t="str">
        <f>_xlfn.LET(_xlpm.x, _xlfn.XLOOKUP(X145,家庭成员!J:J,家庭成员!C:C,""), IF(_xlpm.x=0,"",_xlpm.x))</f>
        <v>父亲</v>
      </c>
      <c r="X145" s="2" t="s">
        <v>3432</v>
      </c>
      <c r="Y145" s="2" t="s">
        <v>34</v>
      </c>
    </row>
    <row r="146" spans="1:25" ht="15.6" x14ac:dyDescent="0.25">
      <c r="A146" s="8" t="s">
        <v>3413</v>
      </c>
      <c r="B146" s="8" t="s">
        <v>3417</v>
      </c>
      <c r="C146" s="2" t="str">
        <f>_xlfn.XLOOKUP(B146,[1]Sheet2!BF:BF, [1]Sheet2!C:C, "")</f>
        <v>男</v>
      </c>
      <c r="D146" s="10" t="s">
        <v>3686</v>
      </c>
      <c r="E146" s="2" t="s">
        <v>27</v>
      </c>
      <c r="F146" s="2" t="s">
        <v>119</v>
      </c>
      <c r="G146" s="2" t="s">
        <v>293</v>
      </c>
      <c r="H146" s="2" t="s">
        <v>29</v>
      </c>
      <c r="I146" s="2" t="s">
        <v>102</v>
      </c>
      <c r="O146" s="2" t="str">
        <f>_xlfn.LET(_xlpm.x, _xlfn.XLOOKUP(B146,Sheet3!N:N,Sheet3!O:O,""), IF(_xlpm.x=0,"",_xlpm.x))</f>
        <v>嵩明县公安局</v>
      </c>
      <c r="P146" s="77" t="s">
        <v>3131</v>
      </c>
      <c r="Q146" s="2" t="s">
        <v>3418</v>
      </c>
      <c r="R146" s="2" t="s">
        <v>33</v>
      </c>
      <c r="S146" s="2">
        <v>13888240995</v>
      </c>
      <c r="T146" s="2" t="s">
        <v>244</v>
      </c>
      <c r="V146" s="2" t="str">
        <f>_xlfn.LET(_xlpm.x, _xlfn.XLOOKUP(X146,家庭成员!J:J,家庭成员!D:D,""), IF(_xlpm.x=0,"",_xlpm.x))</f>
        <v>林培花</v>
      </c>
      <c r="W146" s="2" t="str">
        <f>_xlfn.LET(_xlpm.x, _xlfn.XLOOKUP(X146,家庭成员!J:J,家庭成员!C:C,""), IF(_xlpm.x=0,"",_xlpm.x))</f>
        <v>母亲</v>
      </c>
      <c r="X146" s="2" t="s">
        <v>3422</v>
      </c>
      <c r="Y146" s="2" t="s">
        <v>34</v>
      </c>
    </row>
    <row r="147" spans="1:25" ht="15.6" x14ac:dyDescent="0.25">
      <c r="A147" s="8" t="s">
        <v>2486</v>
      </c>
      <c r="B147" s="8" t="s">
        <v>2491</v>
      </c>
      <c r="C147" s="2" t="str">
        <f>_xlfn.XLOOKUP(B147,[1]Sheet2!BF:BF, [1]Sheet2!C:C, "")</f>
        <v>男</v>
      </c>
      <c r="D147" s="10" t="s">
        <v>3741</v>
      </c>
      <c r="E147" s="2" t="s">
        <v>27</v>
      </c>
      <c r="F147" s="2" t="s">
        <v>119</v>
      </c>
      <c r="G147" s="2" t="s">
        <v>252</v>
      </c>
      <c r="H147" s="2" t="s">
        <v>29</v>
      </c>
      <c r="I147" s="2" t="s">
        <v>102</v>
      </c>
      <c r="O147" s="2" t="str">
        <f>_xlfn.LET(_xlpm.x, _xlfn.XLOOKUP(B147,Sheet3!N:N,Sheet3!O:O,""), IF(_xlpm.x=0,"",_xlpm.x))</f>
        <v>嵩明县公安局</v>
      </c>
      <c r="P147" s="77" t="s">
        <v>7212</v>
      </c>
      <c r="Q147" s="2" t="s">
        <v>2492</v>
      </c>
      <c r="R147" s="2" t="s">
        <v>33</v>
      </c>
      <c r="S147" s="2">
        <v>13529163455</v>
      </c>
      <c r="T147" s="2" t="s">
        <v>244</v>
      </c>
      <c r="V147" s="2" t="str">
        <f>_xlfn.LET(_xlpm.x, _xlfn.XLOOKUP(X147,家庭成员!J:J,家庭成员!D:D,""), IF(_xlpm.x=0,"",_xlpm.x))</f>
        <v>杨丽</v>
      </c>
      <c r="W147" s="2" t="str">
        <f>_xlfn.LET(_xlpm.x, _xlfn.XLOOKUP(X147,家庭成员!J:J,家庭成员!C:C,""), IF(_xlpm.x=0,"",_xlpm.x))</f>
        <v>妻子</v>
      </c>
      <c r="X147" s="2" t="s">
        <v>2495</v>
      </c>
      <c r="Y147" s="2" t="s">
        <v>34</v>
      </c>
    </row>
    <row r="148" spans="1:25" ht="15.6" x14ac:dyDescent="0.25">
      <c r="A148" s="8" t="s">
        <v>2926</v>
      </c>
      <c r="B148" s="8" t="s">
        <v>2930</v>
      </c>
      <c r="C148" s="2" t="str">
        <f>_xlfn.XLOOKUP(B148,[1]Sheet2!BF:BF, [1]Sheet2!C:C, "")</f>
        <v>男</v>
      </c>
      <c r="D148" s="10" t="s">
        <v>3742</v>
      </c>
      <c r="E148" s="2" t="s">
        <v>27</v>
      </c>
      <c r="F148" s="2" t="s">
        <v>272</v>
      </c>
      <c r="G148" s="2" t="s">
        <v>293</v>
      </c>
      <c r="H148" s="2" t="s">
        <v>29</v>
      </c>
      <c r="I148" s="2" t="s">
        <v>102</v>
      </c>
      <c r="O148" s="2" t="str">
        <f>_xlfn.LET(_xlpm.x, _xlfn.XLOOKUP(B148,Sheet3!N:N,Sheet3!O:O,""), IF(_xlpm.x=0,"",_xlpm.x))</f>
        <v>嵩明县公安局</v>
      </c>
      <c r="P148" s="77" t="s">
        <v>7213</v>
      </c>
      <c r="Q148" s="2" t="s">
        <v>2931</v>
      </c>
      <c r="R148" s="2" t="s">
        <v>33</v>
      </c>
      <c r="S148" s="2">
        <v>15912454770</v>
      </c>
      <c r="T148" s="2" t="s">
        <v>244</v>
      </c>
      <c r="V148" s="2" t="str">
        <f>_xlfn.LET(_xlpm.x, _xlfn.XLOOKUP(X148,家庭成员!J:J,家庭成员!D:D,""), IF(_xlpm.x=0,"",_xlpm.x))</f>
        <v>保爱民</v>
      </c>
      <c r="W148" s="2" t="str">
        <f>_xlfn.LET(_xlpm.x, _xlfn.XLOOKUP(X148,家庭成员!J:J,家庭成员!C:C,""), IF(_xlpm.x=0,"",_xlpm.x))</f>
        <v>父亲</v>
      </c>
      <c r="X148" s="2" t="s">
        <v>2935</v>
      </c>
      <c r="Y148" s="2" t="s">
        <v>34</v>
      </c>
    </row>
    <row r="149" spans="1:25" ht="15.6" x14ac:dyDescent="0.25">
      <c r="A149" s="8" t="s">
        <v>454</v>
      </c>
      <c r="B149" s="8" t="s">
        <v>464</v>
      </c>
      <c r="C149" s="2" t="str">
        <f>_xlfn.XLOOKUP(B149,[1]Sheet2!BF:BF, [1]Sheet2!C:C, "")</f>
        <v>女</v>
      </c>
      <c r="D149" s="10" t="s">
        <v>3743</v>
      </c>
      <c r="E149" s="2" t="s">
        <v>27</v>
      </c>
      <c r="F149" s="2" t="s">
        <v>272</v>
      </c>
      <c r="G149" s="2" t="s">
        <v>252</v>
      </c>
      <c r="H149" s="2" t="s">
        <v>253</v>
      </c>
      <c r="I149" s="2" t="s">
        <v>102</v>
      </c>
      <c r="O149" s="2" t="str">
        <f>_xlfn.LET(_xlpm.x, _xlfn.XLOOKUP(B149,Sheet3!N:N,Sheet3!O:O,""), IF(_xlpm.x=0,"",_xlpm.x))</f>
        <v>嵩明县公安局</v>
      </c>
      <c r="P149" s="77" t="s">
        <v>7214</v>
      </c>
      <c r="Q149" s="2" t="s">
        <v>465</v>
      </c>
      <c r="R149" s="2" t="s">
        <v>33</v>
      </c>
      <c r="S149" s="2">
        <v>18508866030</v>
      </c>
      <c r="T149" s="2" t="s">
        <v>244</v>
      </c>
      <c r="V149" s="2" t="str">
        <f>_xlfn.LET(_xlpm.x, _xlfn.XLOOKUP(X149,家庭成员!J:J,家庭成员!D:D,""), IF(_xlpm.x=0,"",_xlpm.x))</f>
        <v/>
      </c>
      <c r="W149" s="2" t="str">
        <f>_xlfn.LET(_xlpm.x, _xlfn.XLOOKUP(X149,家庭成员!J:J,家庭成员!C:C,""), IF(_xlpm.x=0,"",_xlpm.x))</f>
        <v/>
      </c>
      <c r="X149" s="2"/>
      <c r="Y149" s="2" t="s">
        <v>34</v>
      </c>
    </row>
    <row r="150" spans="1:25" ht="15.6" x14ac:dyDescent="0.25">
      <c r="A150" s="8" t="s">
        <v>2564</v>
      </c>
      <c r="B150" s="8" t="s">
        <v>2567</v>
      </c>
      <c r="C150" s="2" t="str">
        <f>_xlfn.XLOOKUP(B150,[1]Sheet2!BF:BF, [1]Sheet2!C:C, "")</f>
        <v>女</v>
      </c>
      <c r="D150" s="10" t="s">
        <v>3744</v>
      </c>
      <c r="E150" s="2" t="s">
        <v>27</v>
      </c>
      <c r="F150" s="2" t="s">
        <v>119</v>
      </c>
      <c r="G150" s="2" t="s">
        <v>293</v>
      </c>
      <c r="H150" s="2" t="s">
        <v>29</v>
      </c>
      <c r="I150" s="2" t="s">
        <v>102</v>
      </c>
      <c r="O150" s="2" t="str">
        <f>_xlfn.LET(_xlpm.x, _xlfn.XLOOKUP(B150,Sheet3!N:N,Sheet3!O:O,""), IF(_xlpm.x=0,"",_xlpm.x))</f>
        <v>富民县公安局</v>
      </c>
      <c r="P150" s="77" t="s">
        <v>7215</v>
      </c>
      <c r="Q150" s="2" t="s">
        <v>2568</v>
      </c>
      <c r="R150" s="2" t="s">
        <v>33</v>
      </c>
      <c r="S150" s="2">
        <v>13529334662</v>
      </c>
      <c r="T150" s="2" t="s">
        <v>244</v>
      </c>
      <c r="V150" s="2" t="str">
        <f>_xlfn.LET(_xlpm.x, _xlfn.XLOOKUP(X150,家庭成员!J:J,家庭成员!D:D,""), IF(_xlpm.x=0,"",_xlpm.x))</f>
        <v>王文俊</v>
      </c>
      <c r="W150" s="2" t="str">
        <f>_xlfn.LET(_xlpm.x, _xlfn.XLOOKUP(X150,家庭成员!J:J,家庭成员!C:C,""), IF(_xlpm.x=0,"",_xlpm.x))</f>
        <v>丈夫</v>
      </c>
      <c r="X150" s="2" t="s">
        <v>2570</v>
      </c>
      <c r="Y150" s="2" t="s">
        <v>34</v>
      </c>
    </row>
    <row r="151" spans="1:25" ht="15.6" x14ac:dyDescent="0.25">
      <c r="A151" s="8" t="s">
        <v>2008</v>
      </c>
      <c r="B151" s="8" t="s">
        <v>2015</v>
      </c>
      <c r="C151" s="2" t="str">
        <f>_xlfn.XLOOKUP(B151,[1]Sheet2!BF:BF, [1]Sheet2!C:C, "")</f>
        <v>男</v>
      </c>
      <c r="D151" s="10" t="s">
        <v>3745</v>
      </c>
      <c r="E151" s="2" t="s">
        <v>27</v>
      </c>
      <c r="F151" s="2" t="s">
        <v>119</v>
      </c>
      <c r="G151" s="2" t="s">
        <v>293</v>
      </c>
      <c r="H151" s="2" t="s">
        <v>29</v>
      </c>
      <c r="I151" s="2" t="s">
        <v>102</v>
      </c>
      <c r="O151" s="2" t="str">
        <f>_xlfn.LET(_xlpm.x, _xlfn.XLOOKUP(B151,Sheet3!N:N,Sheet3!O:O,""), IF(_xlpm.x=0,"",_xlpm.x))</f>
        <v>禄劝彝族苗族自治县公安局</v>
      </c>
      <c r="P151" s="77" t="s">
        <v>7216</v>
      </c>
      <c r="Q151" s="2" t="s">
        <v>2016</v>
      </c>
      <c r="R151" s="2" t="s">
        <v>33</v>
      </c>
      <c r="S151" s="2">
        <v>15808878060</v>
      </c>
      <c r="T151" s="2" t="s">
        <v>244</v>
      </c>
      <c r="V151" s="2" t="str">
        <f>_xlfn.LET(_xlpm.x, _xlfn.XLOOKUP(X151,家庭成员!J:J,家庭成员!D:D,""), IF(_xlpm.x=0,"",_xlpm.x))</f>
        <v/>
      </c>
      <c r="W151" s="2" t="str">
        <f>_xlfn.LET(_xlpm.x, _xlfn.XLOOKUP(X151,家庭成员!J:J,家庭成员!C:C,""), IF(_xlpm.x=0,"",_xlpm.x))</f>
        <v/>
      </c>
      <c r="X151" s="2" t="s">
        <v>244</v>
      </c>
      <c r="Y151" s="2" t="s">
        <v>34</v>
      </c>
    </row>
    <row r="152" spans="1:25" ht="15.6" x14ac:dyDescent="0.25">
      <c r="A152" s="8" t="s">
        <v>2571</v>
      </c>
      <c r="B152" s="8" t="s">
        <v>2575</v>
      </c>
      <c r="C152" s="2" t="str">
        <f>_xlfn.XLOOKUP(B152,[1]Sheet2!BF:BF, [1]Sheet2!C:C, "")</f>
        <v>男</v>
      </c>
      <c r="D152" s="10" t="s">
        <v>3746</v>
      </c>
      <c r="E152" s="2" t="s">
        <v>27</v>
      </c>
      <c r="F152" s="2" t="s">
        <v>119</v>
      </c>
      <c r="G152" s="2" t="s">
        <v>293</v>
      </c>
      <c r="H152" s="2" t="s">
        <v>29</v>
      </c>
      <c r="I152" s="2" t="s">
        <v>102</v>
      </c>
      <c r="O152" s="2" t="str">
        <f>_xlfn.LET(_xlpm.x, _xlfn.XLOOKUP(B152,Sheet3!N:N,Sheet3!O:O,""), IF(_xlpm.x=0,"",_xlpm.x))</f>
        <v>富民县公安局</v>
      </c>
      <c r="P152" s="77" t="s">
        <v>7217</v>
      </c>
      <c r="Q152" s="2" t="s">
        <v>2576</v>
      </c>
      <c r="R152" s="2" t="s">
        <v>33</v>
      </c>
      <c r="S152" s="2">
        <v>18088279129</v>
      </c>
      <c r="T152" s="2" t="s">
        <v>244</v>
      </c>
      <c r="V152" s="2" t="str">
        <f>_xlfn.LET(_xlpm.x, _xlfn.XLOOKUP(X152,家庭成员!J:J,家庭成员!D:D,""), IF(_xlpm.x=0,"",_xlpm.x))</f>
        <v>卢晓慧</v>
      </c>
      <c r="W152" s="2" t="str">
        <f>_xlfn.LET(_xlpm.x, _xlfn.XLOOKUP(X152,家庭成员!J:J,家庭成员!C:C,""), IF(_xlpm.x=0,"",_xlpm.x))</f>
        <v>妻子</v>
      </c>
      <c r="X152" s="2" t="s">
        <v>2581</v>
      </c>
      <c r="Y152" s="2" t="s">
        <v>34</v>
      </c>
    </row>
    <row r="153" spans="1:25" ht="15.6" x14ac:dyDescent="0.25">
      <c r="A153" s="8" t="s">
        <v>1947</v>
      </c>
      <c r="B153" s="8" t="s">
        <v>1952</v>
      </c>
      <c r="C153" s="2" t="str">
        <f>_xlfn.XLOOKUP(B153,[1]Sheet2!BF:BF, [1]Sheet2!C:C, "")</f>
        <v>男</v>
      </c>
      <c r="D153" s="10" t="s">
        <v>3747</v>
      </c>
      <c r="E153" s="2" t="s">
        <v>27</v>
      </c>
      <c r="F153" s="2" t="s">
        <v>272</v>
      </c>
      <c r="G153" s="2" t="s">
        <v>293</v>
      </c>
      <c r="H153" s="2" t="s">
        <v>253</v>
      </c>
      <c r="I153" s="2" t="s">
        <v>102</v>
      </c>
      <c r="O153" s="2" t="str">
        <f>_xlfn.LET(_xlpm.x, _xlfn.XLOOKUP(B153,Sheet3!N:N,Sheet3!O:O,""), IF(_xlpm.x=0,"",_xlpm.x))</f>
        <v>嵩明县公安局</v>
      </c>
      <c r="P153" s="77" t="s">
        <v>7218</v>
      </c>
      <c r="Q153" s="2" t="s">
        <v>7366</v>
      </c>
      <c r="R153" s="2" t="s">
        <v>33</v>
      </c>
      <c r="S153" s="2">
        <v>19987739250</v>
      </c>
      <c r="T153" s="2" t="s">
        <v>1948</v>
      </c>
      <c r="V153" s="2" t="str">
        <f>_xlfn.LET(_xlpm.x, _xlfn.XLOOKUP(X153,家庭成员!J:J,家庭成员!D:D,""), IF(_xlpm.x=0,"",_xlpm.x))</f>
        <v/>
      </c>
      <c r="W153" s="2" t="str">
        <f>_xlfn.LET(_xlpm.x, _xlfn.XLOOKUP(X153,家庭成员!J:J,家庭成员!C:C,""), IF(_xlpm.x=0,"",_xlpm.x))</f>
        <v/>
      </c>
      <c r="X153" s="2" t="s">
        <v>244</v>
      </c>
      <c r="Y153" s="2" t="s">
        <v>34</v>
      </c>
    </row>
    <row r="154" spans="1:25" ht="15.6" x14ac:dyDescent="0.25">
      <c r="A154" s="8" t="s">
        <v>1963</v>
      </c>
      <c r="B154" s="8" t="s">
        <v>1969</v>
      </c>
      <c r="C154" s="2" t="str">
        <f>_xlfn.XLOOKUP(B154,[1]Sheet2!BF:BF, [1]Sheet2!C:C, "")</f>
        <v>男</v>
      </c>
      <c r="D154" s="10" t="s">
        <v>3628</v>
      </c>
      <c r="E154" s="2" t="s">
        <v>27</v>
      </c>
      <c r="F154" s="2" t="s">
        <v>119</v>
      </c>
      <c r="G154" s="2" t="s">
        <v>252</v>
      </c>
      <c r="H154" s="2" t="s">
        <v>29</v>
      </c>
      <c r="I154" s="2" t="s">
        <v>102</v>
      </c>
      <c r="O154" s="2" t="str">
        <f>_xlfn.LET(_xlpm.x, _xlfn.XLOOKUP(B154,Sheet3!N:N,Sheet3!O:O,""), IF(_xlpm.x=0,"",_xlpm.x))</f>
        <v>䘵劝彝族苗族自治县公安局</v>
      </c>
      <c r="P154" s="77" t="s">
        <v>7219</v>
      </c>
      <c r="Q154" s="2" t="s">
        <v>1970</v>
      </c>
      <c r="R154" s="2" t="s">
        <v>33</v>
      </c>
      <c r="S154" s="2">
        <v>18087757926</v>
      </c>
      <c r="T154" s="2" t="s">
        <v>244</v>
      </c>
      <c r="V154" s="2" t="str">
        <f>_xlfn.LET(_xlpm.x, _xlfn.XLOOKUP(X154,家庭成员!J:J,家庭成员!D:D,""), IF(_xlpm.x=0,"",_xlpm.x))</f>
        <v/>
      </c>
      <c r="W154" s="2" t="str">
        <f>_xlfn.LET(_xlpm.x, _xlfn.XLOOKUP(X154,家庭成员!J:J,家庭成员!C:C,""), IF(_xlpm.x=0,"",_xlpm.x))</f>
        <v/>
      </c>
      <c r="X154" s="2" t="s">
        <v>244</v>
      </c>
      <c r="Y154" s="2" t="s">
        <v>34</v>
      </c>
    </row>
    <row r="155" spans="1:25" ht="15.6" x14ac:dyDescent="0.25">
      <c r="A155" s="8" t="s">
        <v>571</v>
      </c>
      <c r="B155" s="8" t="s">
        <v>576</v>
      </c>
      <c r="C155" s="2" t="str">
        <f>_xlfn.XLOOKUP(B155,[1]Sheet2!BF:BF, [1]Sheet2!C:C, "")</f>
        <v>男</v>
      </c>
      <c r="D155" s="10" t="s">
        <v>3748</v>
      </c>
      <c r="E155" s="2" t="s">
        <v>27</v>
      </c>
      <c r="F155" s="2" t="s">
        <v>272</v>
      </c>
      <c r="G155" s="2" t="s">
        <v>270</v>
      </c>
      <c r="H155" s="2" t="s">
        <v>253</v>
      </c>
      <c r="I155" s="2" t="s">
        <v>102</v>
      </c>
      <c r="O155" s="2" t="str">
        <f>_xlfn.LET(_xlpm.x, _xlfn.XLOOKUP(B155,Sheet3!N:N,Sheet3!O:O,""), IF(_xlpm.x=0,"",_xlpm.x))</f>
        <v>禄劝彝族苗族自治县公安局</v>
      </c>
      <c r="P155" s="77" t="s">
        <v>7220</v>
      </c>
      <c r="Q155" s="2" t="s">
        <v>577</v>
      </c>
      <c r="R155" s="2" t="s">
        <v>33</v>
      </c>
      <c r="S155" s="2">
        <v>17363994872</v>
      </c>
      <c r="T155" s="2" t="s">
        <v>244</v>
      </c>
      <c r="V155" s="2" t="str">
        <f>_xlfn.LET(_xlpm.x, _xlfn.XLOOKUP(X155,家庭成员!J:J,家庭成员!D:D,""), IF(_xlpm.x=0,"",_xlpm.x))</f>
        <v/>
      </c>
      <c r="W155" s="2" t="str">
        <f>_xlfn.LET(_xlpm.x, _xlfn.XLOOKUP(X155,家庭成员!J:J,家庭成员!C:C,""), IF(_xlpm.x=0,"",_xlpm.x))</f>
        <v/>
      </c>
      <c r="X155" s="2" t="s">
        <v>244</v>
      </c>
      <c r="Y155" s="2" t="s">
        <v>34</v>
      </c>
    </row>
    <row r="156" spans="1:25" ht="15.6" x14ac:dyDescent="0.25">
      <c r="A156" s="8" t="s">
        <v>2836</v>
      </c>
      <c r="B156" s="8" t="s">
        <v>2841</v>
      </c>
      <c r="C156" s="2" t="str">
        <f>_xlfn.XLOOKUP(B156,[1]Sheet2!BF:BF, [1]Sheet2!C:C, "")</f>
        <v>男</v>
      </c>
      <c r="D156" s="10" t="s">
        <v>3701</v>
      </c>
      <c r="E156" s="2" t="s">
        <v>27</v>
      </c>
      <c r="F156" s="2" t="s">
        <v>119</v>
      </c>
      <c r="G156" s="2" t="s">
        <v>293</v>
      </c>
      <c r="H156" s="2" t="s">
        <v>29</v>
      </c>
      <c r="I156" s="2" t="s">
        <v>102</v>
      </c>
      <c r="O156" s="2" t="str">
        <f>_xlfn.LET(_xlpm.x, _xlfn.XLOOKUP(B156,Sheet3!N:N,Sheet3!O:O,""), IF(_xlpm.x=0,"",_xlpm.x))</f>
        <v>寻甸回族彝族自治县公安局</v>
      </c>
      <c r="P156" s="77" t="s">
        <v>7221</v>
      </c>
      <c r="Q156" s="2" t="s">
        <v>2842</v>
      </c>
      <c r="R156" s="2" t="s">
        <v>33</v>
      </c>
      <c r="S156" s="2">
        <v>13888478394</v>
      </c>
      <c r="T156" s="2" t="s">
        <v>244</v>
      </c>
      <c r="V156" s="2" t="str">
        <f>_xlfn.LET(_xlpm.x, _xlfn.XLOOKUP(X156,家庭成员!J:J,家庭成员!D:D,""), IF(_xlpm.x=0,"",_xlpm.x))</f>
        <v>夏志明</v>
      </c>
      <c r="W156" s="2" t="str">
        <f>_xlfn.LET(_xlpm.x, _xlfn.XLOOKUP(X156,家庭成员!J:J,家庭成员!C:C,""), IF(_xlpm.x=0,"",_xlpm.x))</f>
        <v>父亲</v>
      </c>
      <c r="X156" s="2" t="s">
        <v>2845</v>
      </c>
      <c r="Y156" s="2" t="s">
        <v>34</v>
      </c>
    </row>
    <row r="157" spans="1:25" ht="15.6" x14ac:dyDescent="0.25">
      <c r="A157" s="8" t="s">
        <v>1926</v>
      </c>
      <c r="B157" s="8" t="s">
        <v>1929</v>
      </c>
      <c r="C157" s="2" t="str">
        <f>_xlfn.XLOOKUP(B157,[1]Sheet2!BF:BF, [1]Sheet2!C:C, "")</f>
        <v>男</v>
      </c>
      <c r="D157" s="10" t="s">
        <v>3749</v>
      </c>
      <c r="E157" s="2" t="s">
        <v>27</v>
      </c>
      <c r="F157" s="2" t="s">
        <v>272</v>
      </c>
      <c r="G157" s="2" t="s">
        <v>270</v>
      </c>
      <c r="H157" s="2" t="s">
        <v>29</v>
      </c>
      <c r="I157" s="2" t="s">
        <v>102</v>
      </c>
      <c r="O157" s="2" t="str">
        <f>_xlfn.LET(_xlpm.x, _xlfn.XLOOKUP(B157,Sheet3!N:N,Sheet3!O:O,""), IF(_xlpm.x=0,"",_xlpm.x))</f>
        <v>曲靖市公安局麒麟分局</v>
      </c>
      <c r="P157" s="77" t="s">
        <v>7222</v>
      </c>
      <c r="Q157" s="2" t="s">
        <v>1930</v>
      </c>
      <c r="R157" s="2" t="s">
        <v>33</v>
      </c>
      <c r="S157" s="2">
        <v>19528716440</v>
      </c>
      <c r="T157" s="2" t="s">
        <v>244</v>
      </c>
      <c r="V157" s="2" t="str">
        <f>_xlfn.LET(_xlpm.x, _xlfn.XLOOKUP(X157,家庭成员!J:J,家庭成员!D:D,""), IF(_xlpm.x=0,"",_xlpm.x))</f>
        <v/>
      </c>
      <c r="W157" s="2" t="str">
        <f>_xlfn.LET(_xlpm.x, _xlfn.XLOOKUP(X157,家庭成员!J:J,家庭成员!C:C,""), IF(_xlpm.x=0,"",_xlpm.x))</f>
        <v/>
      </c>
      <c r="X157" s="2" t="s">
        <v>244</v>
      </c>
      <c r="Y157" s="2" t="s">
        <v>34</v>
      </c>
    </row>
    <row r="158" spans="1:25" ht="15.6" x14ac:dyDescent="0.25">
      <c r="A158" s="8" t="s">
        <v>1557</v>
      </c>
      <c r="B158" s="8" t="s">
        <v>1563</v>
      </c>
      <c r="C158" s="2" t="str">
        <f>_xlfn.XLOOKUP(B158,[1]Sheet2!BF:BF, [1]Sheet2!C:C, "")</f>
        <v>男</v>
      </c>
      <c r="D158" s="10" t="s">
        <v>3747</v>
      </c>
      <c r="E158" s="2" t="s">
        <v>251</v>
      </c>
      <c r="F158" s="2" t="s">
        <v>272</v>
      </c>
      <c r="G158" s="2" t="s">
        <v>270</v>
      </c>
      <c r="H158" s="2" t="s">
        <v>29</v>
      </c>
      <c r="I158" s="2" t="s">
        <v>102</v>
      </c>
      <c r="O158" s="2" t="str">
        <f>_xlfn.LET(_xlpm.x, _xlfn.XLOOKUP(B158,Sheet3!N:N,Sheet3!O:O,""), IF(_xlpm.x=0,"",_xlpm.x))</f>
        <v>曲靖市公安局麒麟分局</v>
      </c>
      <c r="P158" s="77" t="s">
        <v>7223</v>
      </c>
      <c r="Q158" s="2" t="s">
        <v>1564</v>
      </c>
      <c r="R158" s="2" t="s">
        <v>33</v>
      </c>
      <c r="S158" s="2">
        <v>13477057646</v>
      </c>
      <c r="T158" s="2" t="s">
        <v>1558</v>
      </c>
      <c r="V158" s="2" t="str">
        <f>_xlfn.LET(_xlpm.x, _xlfn.XLOOKUP(X158,家庭成员!J:J,家庭成员!D:D,""), IF(_xlpm.x=0,"",_xlpm.x))</f>
        <v>李贵全</v>
      </c>
      <c r="W158" s="2" t="str">
        <f>_xlfn.LET(_xlpm.x, _xlfn.XLOOKUP(X158,家庭成员!J:J,家庭成员!C:C,""), IF(_xlpm.x=0,"",_xlpm.x))</f>
        <v>父亲</v>
      </c>
      <c r="X158" s="2" t="s">
        <v>1568</v>
      </c>
      <c r="Y158" s="2" t="s">
        <v>34</v>
      </c>
    </row>
    <row r="159" spans="1:25" ht="15.6" x14ac:dyDescent="0.25">
      <c r="A159" s="8" t="s">
        <v>2408</v>
      </c>
      <c r="B159" s="8" t="s">
        <v>2412</v>
      </c>
      <c r="C159" s="2" t="str">
        <f>_xlfn.XLOOKUP(B159,[1]Sheet2!BF:BF, [1]Sheet2!C:C, "")</f>
        <v>男</v>
      </c>
      <c r="D159" s="10" t="s">
        <v>3712</v>
      </c>
      <c r="E159" s="2" t="s">
        <v>27</v>
      </c>
      <c r="F159" s="2" t="s">
        <v>119</v>
      </c>
      <c r="G159" s="2" t="s">
        <v>270</v>
      </c>
      <c r="H159" s="2" t="s">
        <v>253</v>
      </c>
      <c r="I159" s="2" t="s">
        <v>102</v>
      </c>
      <c r="O159" s="2" t="str">
        <f>_xlfn.LET(_xlpm.x, _xlfn.XLOOKUP(B159,Sheet3!N:N,Sheet3!O:O,""), IF(_xlpm.x=0,"",_xlpm.x))</f>
        <v>曲靖市公安局麒麟分局</v>
      </c>
      <c r="P159" s="77" t="s">
        <v>7224</v>
      </c>
      <c r="Q159" s="2" t="s">
        <v>7367</v>
      </c>
      <c r="R159" s="2" t="s">
        <v>33</v>
      </c>
      <c r="S159" s="2">
        <v>18314447997</v>
      </c>
      <c r="T159" s="2" t="s">
        <v>244</v>
      </c>
      <c r="V159" s="2" t="str">
        <f>_xlfn.LET(_xlpm.x, _xlfn.XLOOKUP(X159,家庭成员!J:J,家庭成员!D:D,""), IF(_xlpm.x=0,"",_xlpm.x))</f>
        <v>何吉飞</v>
      </c>
      <c r="W159" s="2" t="str">
        <f>_xlfn.LET(_xlpm.x, _xlfn.XLOOKUP(X159,家庭成员!J:J,家庭成员!C:C,""), IF(_xlpm.x=0,"",_xlpm.x))</f>
        <v>父亲</v>
      </c>
      <c r="X159" s="2" t="s">
        <v>2415</v>
      </c>
      <c r="Y159" s="2" t="s">
        <v>34</v>
      </c>
    </row>
    <row r="160" spans="1:25" ht="15.6" x14ac:dyDescent="0.25">
      <c r="A160" s="8" t="s">
        <v>1427</v>
      </c>
      <c r="B160" s="8" t="s">
        <v>1432</v>
      </c>
      <c r="C160" s="2" t="str">
        <f>_xlfn.XLOOKUP(B160,[1]Sheet2!BF:BF, [1]Sheet2!C:C, "")</f>
        <v>男</v>
      </c>
      <c r="D160" s="10" t="s">
        <v>3750</v>
      </c>
      <c r="E160" s="2" t="s">
        <v>27</v>
      </c>
      <c r="F160" s="2" t="s">
        <v>272</v>
      </c>
      <c r="G160" s="2" t="s">
        <v>270</v>
      </c>
      <c r="H160" s="2" t="s">
        <v>29</v>
      </c>
      <c r="I160" s="2" t="s">
        <v>102</v>
      </c>
      <c r="O160" s="2" t="str">
        <f>_xlfn.LET(_xlpm.x, _xlfn.XLOOKUP(B160,Sheet3!N:N,Sheet3!O:O,""), IF(_xlpm.x=0,"",_xlpm.x))</f>
        <v>曲靖市公安局麒麟分局</v>
      </c>
      <c r="P160" s="77" t="s">
        <v>1354</v>
      </c>
      <c r="Q160" s="2" t="s">
        <v>1433</v>
      </c>
      <c r="R160" s="2" t="s">
        <v>33</v>
      </c>
      <c r="S160" s="2">
        <v>18987358190</v>
      </c>
      <c r="T160" s="2" t="s">
        <v>1428</v>
      </c>
      <c r="V160" s="2" t="str">
        <f>_xlfn.LET(_xlpm.x, _xlfn.XLOOKUP(X160,家庭成员!J:J,家庭成员!D:D,""), IF(_xlpm.x=0,"",_xlpm.x))</f>
        <v>陈芳</v>
      </c>
      <c r="W160" s="2" t="str">
        <f>_xlfn.LET(_xlpm.x, _xlfn.XLOOKUP(X160,家庭成员!J:J,家庭成员!C:C,""), IF(_xlpm.x=0,"",_xlpm.x))</f>
        <v>父亲</v>
      </c>
      <c r="X160" s="2" t="s">
        <v>1437</v>
      </c>
      <c r="Y160" s="2" t="s">
        <v>34</v>
      </c>
    </row>
    <row r="161" spans="1:25" ht="15.6" x14ac:dyDescent="0.25">
      <c r="A161" s="8" t="s">
        <v>2124</v>
      </c>
      <c r="B161" s="8" t="s">
        <v>2129</v>
      </c>
      <c r="C161" s="2" t="str">
        <f>_xlfn.XLOOKUP(B161,[1]Sheet2!BF:BF, [1]Sheet2!C:C, "")</f>
        <v>男</v>
      </c>
      <c r="D161" s="10" t="s">
        <v>3751</v>
      </c>
      <c r="E161" s="2" t="s">
        <v>27</v>
      </c>
      <c r="F161" s="2" t="s">
        <v>119</v>
      </c>
      <c r="G161" s="2" t="s">
        <v>270</v>
      </c>
      <c r="H161" s="2" t="s">
        <v>253</v>
      </c>
      <c r="I161" s="2" t="s">
        <v>102</v>
      </c>
      <c r="O161" s="2" t="str">
        <f>_xlfn.LET(_xlpm.x, _xlfn.XLOOKUP(B161,Sheet3!N:N,Sheet3!O:O,""), IF(_xlpm.x=0,"",_xlpm.x))</f>
        <v>陆良县公安局</v>
      </c>
      <c r="P161" s="77" t="s">
        <v>7225</v>
      </c>
      <c r="Q161" s="2" t="s">
        <v>2130</v>
      </c>
      <c r="R161" s="2" t="s">
        <v>33</v>
      </c>
      <c r="S161" s="2">
        <v>15087074230</v>
      </c>
      <c r="T161" s="2" t="s">
        <v>2125</v>
      </c>
      <c r="V161" s="2" t="str">
        <f>_xlfn.LET(_xlpm.x, _xlfn.XLOOKUP(X161,家庭成员!J:J,家庭成员!D:D,""), IF(_xlpm.x=0,"",_xlpm.x))</f>
        <v/>
      </c>
      <c r="W161" s="2" t="str">
        <f>_xlfn.LET(_xlpm.x, _xlfn.XLOOKUP(X161,家庭成员!J:J,家庭成员!C:C,""), IF(_xlpm.x=0,"",_xlpm.x))</f>
        <v/>
      </c>
      <c r="X161" s="2" t="s">
        <v>244</v>
      </c>
      <c r="Y161" s="2" t="s">
        <v>34</v>
      </c>
    </row>
    <row r="162" spans="1:25" ht="15.6" x14ac:dyDescent="0.25">
      <c r="A162" s="8" t="s">
        <v>2772</v>
      </c>
      <c r="B162" s="8" t="s">
        <v>2776</v>
      </c>
      <c r="C162" s="2" t="str">
        <f>_xlfn.XLOOKUP(B162,[1]Sheet2!BF:BF, [1]Sheet2!C:C, "")</f>
        <v>男</v>
      </c>
      <c r="D162" s="10" t="s">
        <v>3752</v>
      </c>
      <c r="E162" s="2" t="s">
        <v>27</v>
      </c>
      <c r="F162" s="2" t="s">
        <v>119</v>
      </c>
      <c r="G162" s="2" t="s">
        <v>252</v>
      </c>
      <c r="H162" s="2" t="s">
        <v>29</v>
      </c>
      <c r="I162" s="2" t="s">
        <v>102</v>
      </c>
      <c r="O162" s="2" t="str">
        <f>_xlfn.LET(_xlpm.x, _xlfn.XLOOKUP(B162,Sheet3!N:N,Sheet3!O:O,""), IF(_xlpm.x=0,"",_xlpm.x))</f>
        <v>陆良县公安局</v>
      </c>
      <c r="P162" s="77" t="s">
        <v>7226</v>
      </c>
      <c r="Q162" s="2" t="s">
        <v>2777</v>
      </c>
      <c r="R162" s="2" t="s">
        <v>33</v>
      </c>
      <c r="S162" s="2">
        <v>13529380749</v>
      </c>
      <c r="T162" s="2" t="s">
        <v>244</v>
      </c>
      <c r="V162" s="2" t="str">
        <f>_xlfn.LET(_xlpm.x, _xlfn.XLOOKUP(X162,家庭成员!J:J,家庭成员!D:D,""), IF(_xlpm.x=0,"",_xlpm.x))</f>
        <v>徐福生</v>
      </c>
      <c r="W162" s="2" t="str">
        <f>_xlfn.LET(_xlpm.x, _xlfn.XLOOKUP(X162,家庭成员!J:J,家庭成员!C:C,""), IF(_xlpm.x=0,"",_xlpm.x))</f>
        <v>父亲</v>
      </c>
      <c r="X162" s="2" t="s">
        <v>2779</v>
      </c>
      <c r="Y162" s="2" t="s">
        <v>34</v>
      </c>
    </row>
    <row r="163" spans="1:25" ht="15.6" x14ac:dyDescent="0.25">
      <c r="A163" s="8" t="s">
        <v>2862</v>
      </c>
      <c r="B163" s="8" t="s">
        <v>2867</v>
      </c>
      <c r="C163" s="2" t="str">
        <f>_xlfn.XLOOKUP(B163,[1]Sheet2!BF:BF, [1]Sheet2!C:C, "")</f>
        <v>男</v>
      </c>
      <c r="D163" s="10" t="s">
        <v>3753</v>
      </c>
      <c r="E163" s="2" t="s">
        <v>27</v>
      </c>
      <c r="F163" s="2" t="s">
        <v>119</v>
      </c>
      <c r="G163" s="2" t="s">
        <v>270</v>
      </c>
      <c r="H163" s="2" t="s">
        <v>253</v>
      </c>
      <c r="I163" s="2" t="s">
        <v>102</v>
      </c>
      <c r="O163" s="2" t="str">
        <f>_xlfn.LET(_xlpm.x, _xlfn.XLOOKUP(B163,Sheet3!N:N,Sheet3!O:O,""), IF(_xlpm.x=0,"",_xlpm.x))</f>
        <v>陆良县公安局</v>
      </c>
      <c r="P163" s="77" t="s">
        <v>7227</v>
      </c>
      <c r="Q163" s="2" t="s">
        <v>2868</v>
      </c>
      <c r="R163" s="2" t="s">
        <v>33</v>
      </c>
      <c r="S163" s="2">
        <v>15969410747</v>
      </c>
      <c r="T163" s="2" t="s">
        <v>244</v>
      </c>
      <c r="V163" s="2" t="str">
        <f>_xlfn.LET(_xlpm.x, _xlfn.XLOOKUP(X163,家庭成员!J:J,家庭成员!D:D,""), IF(_xlpm.x=0,"",_xlpm.x))</f>
        <v>念小国</v>
      </c>
      <c r="W163" s="2" t="str">
        <f>_xlfn.LET(_xlpm.x, _xlfn.XLOOKUP(X163,家庭成员!J:J,家庭成员!C:C,""), IF(_xlpm.x=0,"",_xlpm.x))</f>
        <v>父亲</v>
      </c>
      <c r="X163" s="2" t="s">
        <v>2870</v>
      </c>
      <c r="Y163" s="2" t="s">
        <v>34</v>
      </c>
    </row>
    <row r="164" spans="1:25" ht="15.6" x14ac:dyDescent="0.25">
      <c r="A164" s="8" t="s">
        <v>1858</v>
      </c>
      <c r="B164" s="8" t="s">
        <v>1861</v>
      </c>
      <c r="C164" s="2" t="str">
        <f>_xlfn.XLOOKUP(B164,[1]Sheet2!BF:BF, [1]Sheet2!C:C, "")</f>
        <v>男</v>
      </c>
      <c r="D164" s="10" t="s">
        <v>3742</v>
      </c>
      <c r="E164" s="2" t="s">
        <v>27</v>
      </c>
      <c r="F164" s="2" t="s">
        <v>119</v>
      </c>
      <c r="G164" s="2" t="s">
        <v>270</v>
      </c>
      <c r="H164" s="2" t="s">
        <v>29</v>
      </c>
      <c r="I164" s="2" t="s">
        <v>102</v>
      </c>
      <c r="O164" s="2" t="str">
        <f>_xlfn.LET(_xlpm.x, _xlfn.XLOOKUP(B164,Sheet3!N:N,Sheet3!O:O,""), IF(_xlpm.x=0,"",_xlpm.x))</f>
        <v>陆良县公安局</v>
      </c>
      <c r="P164" s="77" t="s">
        <v>7228</v>
      </c>
      <c r="Q164" s="2" t="s">
        <v>1862</v>
      </c>
      <c r="R164" s="2" t="s">
        <v>33</v>
      </c>
      <c r="S164" s="2">
        <v>15887124706</v>
      </c>
      <c r="T164" s="2" t="s">
        <v>244</v>
      </c>
      <c r="V164" s="2" t="str">
        <f>_xlfn.LET(_xlpm.x, _xlfn.XLOOKUP(X164,家庭成员!J:J,家庭成员!D:D,""), IF(_xlpm.x=0,"",_xlpm.x))</f>
        <v/>
      </c>
      <c r="W164" s="2" t="str">
        <f>_xlfn.LET(_xlpm.x, _xlfn.XLOOKUP(X164,家庭成员!J:J,家庭成员!C:C,""), IF(_xlpm.x=0,"",_xlpm.x))</f>
        <v/>
      </c>
      <c r="X164" s="2" t="s">
        <v>244</v>
      </c>
      <c r="Y164" s="2" t="s">
        <v>34</v>
      </c>
    </row>
    <row r="165" spans="1:25" ht="15.6" x14ac:dyDescent="0.25">
      <c r="A165" s="8" t="s">
        <v>2091</v>
      </c>
      <c r="B165" s="8" t="s">
        <v>2096</v>
      </c>
      <c r="C165" s="2" t="str">
        <f>_xlfn.XLOOKUP(B165,[1]Sheet2!BF:BF, [1]Sheet2!C:C, "")</f>
        <v>女</v>
      </c>
      <c r="D165" s="10" t="s">
        <v>3754</v>
      </c>
      <c r="E165" s="2" t="s">
        <v>27</v>
      </c>
      <c r="F165" s="2" t="s">
        <v>272</v>
      </c>
      <c r="G165" s="2" t="s">
        <v>270</v>
      </c>
      <c r="H165" s="2" t="s">
        <v>29</v>
      </c>
      <c r="I165" s="2" t="s">
        <v>102</v>
      </c>
      <c r="O165" s="2" t="str">
        <f>_xlfn.LET(_xlpm.x, _xlfn.XLOOKUP(B165,Sheet3!N:N,Sheet3!O:O,""), IF(_xlpm.x=0,"",_xlpm.x))</f>
        <v>陆良县公安局</v>
      </c>
      <c r="P165" s="77" t="s">
        <v>273</v>
      </c>
      <c r="Q165" s="2" t="s">
        <v>2097</v>
      </c>
      <c r="R165" s="2" t="s">
        <v>33</v>
      </c>
      <c r="S165" s="2">
        <v>18487144094</v>
      </c>
      <c r="T165" s="2" t="s">
        <v>2092</v>
      </c>
      <c r="V165" s="2" t="str">
        <f>_xlfn.LET(_xlpm.x, _xlfn.XLOOKUP(X165,家庭成员!J:J,家庭成员!D:D,""), IF(_xlpm.x=0,"",_xlpm.x))</f>
        <v/>
      </c>
      <c r="W165" s="2" t="str">
        <f>_xlfn.LET(_xlpm.x, _xlfn.XLOOKUP(X165,家庭成员!J:J,家庭成员!C:C,""), IF(_xlpm.x=0,"",_xlpm.x))</f>
        <v/>
      </c>
      <c r="X165" s="2" t="s">
        <v>244</v>
      </c>
      <c r="Y165" s="2" t="s">
        <v>34</v>
      </c>
    </row>
    <row r="166" spans="1:25" ht="15.6" x14ac:dyDescent="0.25">
      <c r="A166" s="8" t="s">
        <v>502</v>
      </c>
      <c r="B166" s="8" t="s">
        <v>511</v>
      </c>
      <c r="C166" s="2" t="str">
        <f>_xlfn.XLOOKUP(B166,[1]Sheet2!BF:BF, [1]Sheet2!C:C, "")</f>
        <v>男</v>
      </c>
      <c r="D166" s="10" t="s">
        <v>3725</v>
      </c>
      <c r="E166" s="2" t="s">
        <v>27</v>
      </c>
      <c r="F166" s="2" t="s">
        <v>504</v>
      </c>
      <c r="G166" s="2" t="s">
        <v>270</v>
      </c>
      <c r="H166" s="2" t="s">
        <v>253</v>
      </c>
      <c r="I166" s="2" t="s">
        <v>102</v>
      </c>
      <c r="O166" s="2" t="str">
        <f>_xlfn.LET(_xlpm.x, _xlfn.XLOOKUP(B166,Sheet3!N:N,Sheet3!O:O,""), IF(_xlpm.x=0,"",_xlpm.x))</f>
        <v>陆良县公安局</v>
      </c>
      <c r="P166" s="77" t="s">
        <v>7229</v>
      </c>
      <c r="Q166" s="2" t="s">
        <v>512</v>
      </c>
      <c r="R166" s="2" t="s">
        <v>33</v>
      </c>
      <c r="S166" s="2">
        <v>18313556374</v>
      </c>
      <c r="T166" s="2" t="s">
        <v>503</v>
      </c>
      <c r="V166" s="2" t="str">
        <f>_xlfn.LET(_xlpm.x, _xlfn.XLOOKUP(X166,家庭成员!J:J,家庭成员!D:D,""), IF(_xlpm.x=0,"",_xlpm.x))</f>
        <v/>
      </c>
      <c r="W166" s="2" t="str">
        <f>_xlfn.LET(_xlpm.x, _xlfn.XLOOKUP(X166,家庭成员!J:J,家庭成员!C:C,""), IF(_xlpm.x=0,"",_xlpm.x))</f>
        <v/>
      </c>
      <c r="X166" s="2"/>
      <c r="Y166" s="2" t="s">
        <v>34</v>
      </c>
    </row>
    <row r="167" spans="1:25" ht="15.6" x14ac:dyDescent="0.25">
      <c r="A167" s="8" t="s">
        <v>1788</v>
      </c>
      <c r="B167" s="8" t="s">
        <v>1791</v>
      </c>
      <c r="C167" s="2" t="str">
        <f>_xlfn.XLOOKUP(B167,[1]Sheet2!BF:BF, [1]Sheet2!C:C, "")</f>
        <v>男</v>
      </c>
      <c r="D167" s="10" t="s">
        <v>3755</v>
      </c>
      <c r="E167" s="2" t="s">
        <v>27</v>
      </c>
      <c r="F167" s="2" t="s">
        <v>272</v>
      </c>
      <c r="G167" s="2" t="s">
        <v>270</v>
      </c>
      <c r="H167" s="2" t="s">
        <v>253</v>
      </c>
      <c r="I167" s="2" t="s">
        <v>102</v>
      </c>
      <c r="O167" s="2" t="str">
        <f>_xlfn.LET(_xlpm.x, _xlfn.XLOOKUP(B167,Sheet3!N:N,Sheet3!O:O,""), IF(_xlpm.x=0,"",_xlpm.x))</f>
        <v>陆良县公安局</v>
      </c>
      <c r="P167" s="77" t="s">
        <v>7230</v>
      </c>
      <c r="Q167" s="2" t="s">
        <v>1792</v>
      </c>
      <c r="R167" s="2" t="s">
        <v>33</v>
      </c>
      <c r="S167" s="2">
        <v>17687006907</v>
      </c>
      <c r="T167" s="2" t="s">
        <v>244</v>
      </c>
      <c r="V167" s="2" t="str">
        <f>_xlfn.LET(_xlpm.x, _xlfn.XLOOKUP(X167,家庭成员!J:J,家庭成员!D:D,""), IF(_xlpm.x=0,"",_xlpm.x))</f>
        <v/>
      </c>
      <c r="W167" s="2" t="str">
        <f>_xlfn.LET(_xlpm.x, _xlfn.XLOOKUP(X167,家庭成员!J:J,家庭成员!C:C,""), IF(_xlpm.x=0,"",_xlpm.x))</f>
        <v/>
      </c>
      <c r="X167" s="2" t="s">
        <v>244</v>
      </c>
      <c r="Y167" s="2" t="s">
        <v>34</v>
      </c>
    </row>
    <row r="168" spans="1:25" ht="15.6" x14ac:dyDescent="0.25">
      <c r="A168" s="8" t="s">
        <v>1415</v>
      </c>
      <c r="B168" s="8" t="s">
        <v>1421</v>
      </c>
      <c r="C168" s="2" t="str">
        <f>_xlfn.XLOOKUP(B168,[1]Sheet2!BF:BF, [1]Sheet2!C:C, "")</f>
        <v>男</v>
      </c>
      <c r="D168" s="10" t="s">
        <v>3756</v>
      </c>
      <c r="E168" s="2" t="s">
        <v>983</v>
      </c>
      <c r="F168" s="2" t="s">
        <v>272</v>
      </c>
      <c r="G168" s="2" t="s">
        <v>270</v>
      </c>
      <c r="H168" s="2" t="s">
        <v>253</v>
      </c>
      <c r="I168" s="2" t="s">
        <v>102</v>
      </c>
      <c r="O168" s="2" t="str">
        <f>_xlfn.LET(_xlpm.x, _xlfn.XLOOKUP(B168,Sheet3!N:N,Sheet3!O:O,""), IF(_xlpm.x=0,"",_xlpm.x))</f>
        <v>陆良县公安局</v>
      </c>
      <c r="P168" s="77" t="s">
        <v>7231</v>
      </c>
      <c r="Q168" s="2" t="s">
        <v>1422</v>
      </c>
      <c r="R168" s="2" t="s">
        <v>33</v>
      </c>
      <c r="S168" s="2">
        <v>17358660213</v>
      </c>
      <c r="T168" s="2" t="s">
        <v>1416</v>
      </c>
      <c r="V168" s="2" t="str">
        <f>_xlfn.LET(_xlpm.x, _xlfn.XLOOKUP(X168,家庭成员!J:J,家庭成员!D:D,""), IF(_xlpm.x=0,"",_xlpm.x))</f>
        <v>马体明</v>
      </c>
      <c r="W168" s="2" t="str">
        <f>_xlfn.LET(_xlpm.x, _xlfn.XLOOKUP(X168,家庭成员!J:J,家庭成员!C:C,""), IF(_xlpm.x=0,"",_xlpm.x))</f>
        <v>父亲</v>
      </c>
      <c r="X168" s="2" t="s">
        <v>1425</v>
      </c>
      <c r="Y168" s="2" t="s">
        <v>34</v>
      </c>
    </row>
    <row r="169" spans="1:25" ht="15.6" x14ac:dyDescent="0.25">
      <c r="A169" s="8" t="s">
        <v>1109</v>
      </c>
      <c r="B169" s="8" t="s">
        <v>1116</v>
      </c>
      <c r="C169" s="2" t="str">
        <f>_xlfn.XLOOKUP(B169,[1]Sheet2!BF:BF, [1]Sheet2!C:C, "")</f>
        <v>女</v>
      </c>
      <c r="D169" s="10" t="s">
        <v>3757</v>
      </c>
      <c r="E169" s="2" t="s">
        <v>27</v>
      </c>
      <c r="F169" s="2" t="s">
        <v>28</v>
      </c>
      <c r="G169" s="2" t="s">
        <v>293</v>
      </c>
      <c r="H169" s="2" t="s">
        <v>253</v>
      </c>
      <c r="I169" s="2" t="s">
        <v>102</v>
      </c>
      <c r="O169" s="2" t="str">
        <f>_xlfn.LET(_xlpm.x, _xlfn.XLOOKUP(B169,Sheet3!N:N,Sheet3!O:O,""), IF(_xlpm.x=0,"",_xlpm.x))</f>
        <v>陆良县公安局</v>
      </c>
      <c r="P169" s="77" t="s">
        <v>7232</v>
      </c>
      <c r="Q169" s="2" t="s">
        <v>1117</v>
      </c>
      <c r="R169" s="2" t="s">
        <v>33</v>
      </c>
      <c r="S169" s="2">
        <v>13705176098</v>
      </c>
      <c r="T169" s="2" t="s">
        <v>1110</v>
      </c>
      <c r="V169" s="2" t="str">
        <f>_xlfn.LET(_xlpm.x, _xlfn.XLOOKUP(X169,家庭成员!J:J,家庭成员!D:D,""), IF(_xlpm.x=0,"",_xlpm.x))</f>
        <v>周学斌</v>
      </c>
      <c r="W169" s="2" t="str">
        <f>_xlfn.LET(_xlpm.x, _xlfn.XLOOKUP(X169,家庭成员!J:J,家庭成员!C:C,""), IF(_xlpm.x=0,"",_xlpm.x))</f>
        <v>父亲</v>
      </c>
      <c r="X169" s="2" t="s">
        <v>1124</v>
      </c>
      <c r="Y169" s="2" t="s">
        <v>34</v>
      </c>
    </row>
    <row r="170" spans="1:25" ht="15.6" x14ac:dyDescent="0.25">
      <c r="A170" s="8" t="s">
        <v>3056</v>
      </c>
      <c r="B170" s="8" t="s">
        <v>3062</v>
      </c>
      <c r="C170" s="2" t="str">
        <f>_xlfn.XLOOKUP(B170,[1]Sheet2!BF:BF, [1]Sheet2!C:C, "")</f>
        <v>男</v>
      </c>
      <c r="D170" s="10" t="s">
        <v>3758</v>
      </c>
      <c r="E170" s="2" t="s">
        <v>27</v>
      </c>
      <c r="F170" s="2" t="s">
        <v>28</v>
      </c>
      <c r="G170" s="2" t="s">
        <v>270</v>
      </c>
      <c r="H170" s="2" t="s">
        <v>29</v>
      </c>
      <c r="I170" s="2" t="s">
        <v>102</v>
      </c>
      <c r="O170" s="2" t="str">
        <f>_xlfn.LET(_xlpm.x, _xlfn.XLOOKUP(B170,Sheet3!N:N,Sheet3!O:O,""), IF(_xlpm.x=0,"",_xlpm.x))</f>
        <v>师宗县公安局</v>
      </c>
      <c r="P170" s="77" t="s">
        <v>7233</v>
      </c>
      <c r="Q170" s="2" t="s">
        <v>3063</v>
      </c>
      <c r="R170" s="2" t="s">
        <v>33</v>
      </c>
      <c r="S170" s="2">
        <v>18687049528</v>
      </c>
      <c r="T170" s="2" t="s">
        <v>244</v>
      </c>
      <c r="V170" s="2" t="str">
        <f>_xlfn.LET(_xlpm.x, _xlfn.XLOOKUP(X170,家庭成员!J:J,家庭成员!D:D,""), IF(_xlpm.x=0,"",_xlpm.x))</f>
        <v/>
      </c>
      <c r="W170" s="2" t="str">
        <f>_xlfn.LET(_xlpm.x, _xlfn.XLOOKUP(X170,家庭成员!J:J,家庭成员!C:C,""), IF(_xlpm.x=0,"",_xlpm.x))</f>
        <v/>
      </c>
      <c r="X170" s="2" t="s">
        <v>244</v>
      </c>
      <c r="Y170" s="2" t="s">
        <v>34</v>
      </c>
    </row>
    <row r="171" spans="1:25" ht="15.6" x14ac:dyDescent="0.25">
      <c r="A171" s="8" t="s">
        <v>2684</v>
      </c>
      <c r="B171" s="8" t="s">
        <v>2688</v>
      </c>
      <c r="C171" s="2" t="str">
        <f>_xlfn.XLOOKUP(B171,[1]Sheet2!BF:BF, [1]Sheet2!C:C, "")</f>
        <v>男</v>
      </c>
      <c r="D171" s="10" t="s">
        <v>3704</v>
      </c>
      <c r="E171" s="2" t="s">
        <v>27</v>
      </c>
      <c r="F171" s="2" t="s">
        <v>28</v>
      </c>
      <c r="G171" s="2" t="s">
        <v>474</v>
      </c>
      <c r="H171" s="2" t="s">
        <v>29</v>
      </c>
      <c r="I171" s="2" t="s">
        <v>102</v>
      </c>
      <c r="O171" s="2" t="str">
        <f>_xlfn.LET(_xlpm.x, _xlfn.XLOOKUP(B171,Sheet3!N:N,Sheet3!O:O,""), IF(_xlpm.x=0,"",_xlpm.x))</f>
        <v>师宗县公安局</v>
      </c>
      <c r="P171" s="77" t="s">
        <v>7234</v>
      </c>
      <c r="Q171" s="2" t="s">
        <v>2689</v>
      </c>
      <c r="R171" s="2" t="s">
        <v>33</v>
      </c>
      <c r="S171" s="2">
        <v>18788507701</v>
      </c>
      <c r="T171" s="2" t="s">
        <v>244</v>
      </c>
      <c r="V171" s="2" t="str">
        <f>_xlfn.LET(_xlpm.x, _xlfn.XLOOKUP(X171,家庭成员!J:J,家庭成员!D:D,""), IF(_xlpm.x=0,"",_xlpm.x))</f>
        <v>陈冬花</v>
      </c>
      <c r="W171" s="2" t="str">
        <f>_xlfn.LET(_xlpm.x, _xlfn.XLOOKUP(X171,家庭成员!J:J,家庭成员!C:C,""), IF(_xlpm.x=0,"",_xlpm.x))</f>
        <v>父亲</v>
      </c>
      <c r="X171" s="2" t="s">
        <v>2691</v>
      </c>
      <c r="Y171" s="2" t="s">
        <v>34</v>
      </c>
    </row>
    <row r="172" spans="1:25" ht="15.6" x14ac:dyDescent="0.25">
      <c r="A172" s="8" t="s">
        <v>2416</v>
      </c>
      <c r="B172" s="8" t="s">
        <v>2420</v>
      </c>
      <c r="C172" s="2" t="str">
        <f>_xlfn.XLOOKUP(B172,[1]Sheet2!BF:BF, [1]Sheet2!C:C, "")</f>
        <v>男</v>
      </c>
      <c r="D172" s="10" t="s">
        <v>3759</v>
      </c>
      <c r="E172" s="2" t="s">
        <v>27</v>
      </c>
      <c r="F172" s="2" t="s">
        <v>272</v>
      </c>
      <c r="G172" s="2" t="s">
        <v>270</v>
      </c>
      <c r="H172" s="2" t="s">
        <v>29</v>
      </c>
      <c r="I172" s="2" t="s">
        <v>102</v>
      </c>
      <c r="O172" s="2" t="str">
        <f>_xlfn.LET(_xlpm.x, _xlfn.XLOOKUP(B172,Sheet3!N:N,Sheet3!O:O,""), IF(_xlpm.x=0,"",_xlpm.x))</f>
        <v>师宗县公安局</v>
      </c>
      <c r="P172" s="77" t="s">
        <v>7235</v>
      </c>
      <c r="Q172" s="2" t="s">
        <v>2421</v>
      </c>
      <c r="R172" s="2" t="s">
        <v>33</v>
      </c>
      <c r="S172" s="2">
        <v>13708874213</v>
      </c>
      <c r="T172" s="2" t="s">
        <v>244</v>
      </c>
      <c r="V172" s="2" t="str">
        <f>_xlfn.LET(_xlpm.x, _xlfn.XLOOKUP(X172,家庭成员!J:J,家庭成员!D:D,""), IF(_xlpm.x=0,"",_xlpm.x))</f>
        <v>常云飞</v>
      </c>
      <c r="W172" s="2" t="str">
        <f>_xlfn.LET(_xlpm.x, _xlfn.XLOOKUP(X172,家庭成员!J:J,家庭成员!C:C,""), IF(_xlpm.x=0,"",_xlpm.x))</f>
        <v>父亲</v>
      </c>
      <c r="X172" s="2" t="s">
        <v>2423</v>
      </c>
      <c r="Y172" s="2" t="s">
        <v>34</v>
      </c>
    </row>
    <row r="173" spans="1:25" ht="15.6" x14ac:dyDescent="0.25">
      <c r="A173" s="8" t="s">
        <v>1781</v>
      </c>
      <c r="B173" s="8" t="s">
        <v>1785</v>
      </c>
      <c r="C173" s="2" t="str">
        <f>_xlfn.XLOOKUP(B173,[1]Sheet2!BF:BF, [1]Sheet2!C:C, "")</f>
        <v>男</v>
      </c>
      <c r="D173" s="10" t="s">
        <v>3722</v>
      </c>
      <c r="E173" s="2" t="s">
        <v>27</v>
      </c>
      <c r="F173" s="2" t="s">
        <v>272</v>
      </c>
      <c r="G173" s="2" t="s">
        <v>270</v>
      </c>
      <c r="H173" s="2" t="s">
        <v>29</v>
      </c>
      <c r="I173" s="2" t="s">
        <v>102</v>
      </c>
      <c r="O173" s="2" t="str">
        <f>_xlfn.LET(_xlpm.x, _xlfn.XLOOKUP(B173,Sheet3!N:N,Sheet3!O:O,""), IF(_xlpm.x=0,"",_xlpm.x))</f>
        <v>师宗县公安局</v>
      </c>
      <c r="P173" s="77" t="s">
        <v>7236</v>
      </c>
      <c r="Q173" s="2" t="s">
        <v>1786</v>
      </c>
      <c r="R173" s="2" t="s">
        <v>33</v>
      </c>
      <c r="S173" s="2">
        <v>18687468861</v>
      </c>
      <c r="T173" s="2" t="s">
        <v>1782</v>
      </c>
      <c r="V173" s="2" t="str">
        <f>_xlfn.LET(_xlpm.x, _xlfn.XLOOKUP(X173,家庭成员!J:J,家庭成员!D:D,""), IF(_xlpm.x=0,"",_xlpm.x))</f>
        <v/>
      </c>
      <c r="W173" s="2" t="str">
        <f>_xlfn.LET(_xlpm.x, _xlfn.XLOOKUP(X173,家庭成员!J:J,家庭成员!C:C,""), IF(_xlpm.x=0,"",_xlpm.x))</f>
        <v/>
      </c>
      <c r="X173" s="2" t="s">
        <v>244</v>
      </c>
      <c r="Y173" s="2" t="s">
        <v>34</v>
      </c>
    </row>
    <row r="174" spans="1:25" ht="15.6" x14ac:dyDescent="0.25">
      <c r="A174" s="8" t="s">
        <v>1641</v>
      </c>
      <c r="B174" s="8" t="s">
        <v>1644</v>
      </c>
      <c r="C174" s="2" t="str">
        <f>_xlfn.XLOOKUP(B174,[1]Sheet2!BF:BF, [1]Sheet2!C:C, "")</f>
        <v>男</v>
      </c>
      <c r="D174" s="10" t="s">
        <v>3760</v>
      </c>
      <c r="E174" s="2" t="s">
        <v>27</v>
      </c>
      <c r="F174" s="2" t="s">
        <v>119</v>
      </c>
      <c r="G174" s="2" t="s">
        <v>270</v>
      </c>
      <c r="H174" s="2" t="s">
        <v>29</v>
      </c>
      <c r="I174" s="2" t="s">
        <v>102</v>
      </c>
      <c r="O174" s="2" t="str">
        <f>_xlfn.LET(_xlpm.x, _xlfn.XLOOKUP(B174,Sheet3!N:N,Sheet3!O:O,""), IF(_xlpm.x=0,"",_xlpm.x))</f>
        <v>师宗县公安局</v>
      </c>
      <c r="P174" s="77" t="s">
        <v>7237</v>
      </c>
      <c r="Q174" s="2" t="s">
        <v>1331</v>
      </c>
      <c r="R174" s="2" t="s">
        <v>33</v>
      </c>
      <c r="S174" s="2">
        <v>18213500417</v>
      </c>
      <c r="T174" s="2" t="s">
        <v>244</v>
      </c>
      <c r="V174" s="2" t="str">
        <f>_xlfn.LET(_xlpm.x, _xlfn.XLOOKUP(X174,家庭成员!J:J,家庭成员!D:D,""), IF(_xlpm.x=0,"",_xlpm.x))</f>
        <v/>
      </c>
      <c r="W174" s="2" t="str">
        <f>_xlfn.LET(_xlpm.x, _xlfn.XLOOKUP(X174,家庭成员!J:J,家庭成员!C:C,""), IF(_xlpm.x=0,"",_xlpm.x))</f>
        <v/>
      </c>
      <c r="X174" s="2" t="s">
        <v>244</v>
      </c>
      <c r="Y174" s="2" t="s">
        <v>34</v>
      </c>
    </row>
    <row r="175" spans="1:25" ht="15.6" x14ac:dyDescent="0.25">
      <c r="A175" s="8" t="s">
        <v>952</v>
      </c>
      <c r="B175" s="8" t="s">
        <v>955</v>
      </c>
      <c r="C175" s="2" t="str">
        <f>_xlfn.XLOOKUP(B175,[1]Sheet2!BF:BF, [1]Sheet2!C:C, "")</f>
        <v>男</v>
      </c>
      <c r="D175" s="10" t="s">
        <v>3761</v>
      </c>
      <c r="E175" s="2" t="s">
        <v>27</v>
      </c>
      <c r="F175" s="2" t="s">
        <v>272</v>
      </c>
      <c r="G175" s="2" t="s">
        <v>270</v>
      </c>
      <c r="H175" s="2" t="s">
        <v>253</v>
      </c>
      <c r="I175" s="2" t="s">
        <v>102</v>
      </c>
      <c r="O175" s="2" t="str">
        <f>_xlfn.LET(_xlpm.x, _xlfn.XLOOKUP(B175,Sheet3!N:N,Sheet3!O:O,""), IF(_xlpm.x=0,"",_xlpm.x))</f>
        <v>师宗县公安局</v>
      </c>
      <c r="P175" s="77" t="s">
        <v>7183</v>
      </c>
      <c r="Q175" s="2" t="s">
        <v>956</v>
      </c>
      <c r="R175" s="2" t="s">
        <v>33</v>
      </c>
      <c r="S175" s="2">
        <v>18213754719</v>
      </c>
      <c r="T175" s="2" t="s">
        <v>244</v>
      </c>
      <c r="V175" s="2" t="str">
        <f>_xlfn.LET(_xlpm.x, _xlfn.XLOOKUP(X175,家庭成员!J:J,家庭成员!D:D,""), IF(_xlpm.x=0,"",_xlpm.x))</f>
        <v/>
      </c>
      <c r="W175" s="2" t="str">
        <f>_xlfn.LET(_xlpm.x, _xlfn.XLOOKUP(X175,家庭成员!J:J,家庭成员!C:C,""), IF(_xlpm.x=0,"",_xlpm.x))</f>
        <v/>
      </c>
      <c r="X175" s="2" t="s">
        <v>244</v>
      </c>
      <c r="Y175" s="2" t="s">
        <v>34</v>
      </c>
    </row>
    <row r="176" spans="1:25" ht="15.6" x14ac:dyDescent="0.25">
      <c r="A176" s="8" t="s">
        <v>963</v>
      </c>
      <c r="B176" s="8" t="s">
        <v>968</v>
      </c>
      <c r="C176" s="2" t="str">
        <f>_xlfn.XLOOKUP(B176,[1]Sheet2!BF:BF, [1]Sheet2!C:C, "")</f>
        <v>男</v>
      </c>
      <c r="D176" s="10" t="s">
        <v>3762</v>
      </c>
      <c r="E176" s="2" t="s">
        <v>27</v>
      </c>
      <c r="F176" s="2" t="s">
        <v>272</v>
      </c>
      <c r="G176" s="2" t="s">
        <v>270</v>
      </c>
      <c r="H176" s="2" t="s">
        <v>253</v>
      </c>
      <c r="I176" s="2" t="s">
        <v>102</v>
      </c>
      <c r="O176" s="2" t="str">
        <f>_xlfn.LET(_xlpm.x, _xlfn.XLOOKUP(B176,Sheet3!N:N,Sheet3!O:O,""), IF(_xlpm.x=0,"",_xlpm.x))</f>
        <v>师宗县公安局</v>
      </c>
      <c r="P176" s="77" t="s">
        <v>7238</v>
      </c>
      <c r="Q176" s="2" t="s">
        <v>969</v>
      </c>
      <c r="R176" s="2" t="s">
        <v>33</v>
      </c>
      <c r="S176" s="2">
        <v>18221309063</v>
      </c>
      <c r="T176" s="2" t="s">
        <v>244</v>
      </c>
      <c r="V176" s="2" t="str">
        <f>_xlfn.LET(_xlpm.x, _xlfn.XLOOKUP(X176,家庭成员!J:J,家庭成员!D:D,""), IF(_xlpm.x=0,"",_xlpm.x))</f>
        <v/>
      </c>
      <c r="W176" s="2" t="str">
        <f>_xlfn.LET(_xlpm.x, _xlfn.XLOOKUP(X176,家庭成员!J:J,家庭成员!C:C,""), IF(_xlpm.x=0,"",_xlpm.x))</f>
        <v/>
      </c>
      <c r="X176" s="2" t="s">
        <v>244</v>
      </c>
      <c r="Y176" s="2" t="s">
        <v>34</v>
      </c>
    </row>
    <row r="177" spans="1:25" ht="15.6" x14ac:dyDescent="0.25">
      <c r="A177" s="8" t="s">
        <v>2742</v>
      </c>
      <c r="B177" s="8" t="s">
        <v>2746</v>
      </c>
      <c r="C177" s="2" t="str">
        <f>_xlfn.XLOOKUP(B177,[1]Sheet2!BF:BF, [1]Sheet2!C:C, "")</f>
        <v>男</v>
      </c>
      <c r="D177" s="10" t="s">
        <v>3763</v>
      </c>
      <c r="E177" s="2" t="s">
        <v>27</v>
      </c>
      <c r="F177" s="2" t="s">
        <v>272</v>
      </c>
      <c r="G177" s="2" t="s">
        <v>293</v>
      </c>
      <c r="H177" s="2" t="s">
        <v>29</v>
      </c>
      <c r="I177" s="2" t="s">
        <v>102</v>
      </c>
      <c r="O177" s="2" t="str">
        <f>_xlfn.LET(_xlpm.x, _xlfn.XLOOKUP(B177,Sheet3!N:N,Sheet3!O:O,""), IF(_xlpm.x=0,"",_xlpm.x))</f>
        <v>富民县公安局</v>
      </c>
      <c r="P177" s="77" t="s">
        <v>7239</v>
      </c>
      <c r="Q177" s="2" t="s">
        <v>2747</v>
      </c>
      <c r="R177" s="2" t="s">
        <v>33</v>
      </c>
      <c r="S177" s="2">
        <v>18788488873</v>
      </c>
      <c r="T177" s="2" t="s">
        <v>244</v>
      </c>
      <c r="V177" s="2" t="str">
        <f>_xlfn.LET(_xlpm.x, _xlfn.XLOOKUP(X177,家庭成员!J:J,家庭成员!D:D,""), IF(_xlpm.x=0,"",_xlpm.x))</f>
        <v>吕加生</v>
      </c>
      <c r="W177" s="2" t="str">
        <f>_xlfn.LET(_xlpm.x, _xlfn.XLOOKUP(X177,家庭成员!J:J,家庭成员!C:C,""), IF(_xlpm.x=0,"",_xlpm.x))</f>
        <v>父亲</v>
      </c>
      <c r="X177" s="2" t="s">
        <v>2749</v>
      </c>
      <c r="Y177" s="2" t="s">
        <v>34</v>
      </c>
    </row>
    <row r="178" spans="1:25" ht="15.6" x14ac:dyDescent="0.25">
      <c r="A178" s="8" t="s">
        <v>1886</v>
      </c>
      <c r="B178" s="8" t="s">
        <v>1889</v>
      </c>
      <c r="C178" s="2" t="str">
        <f>_xlfn.XLOOKUP(B178,[1]Sheet2!BF:BF, [1]Sheet2!C:C, "")</f>
        <v>男</v>
      </c>
      <c r="D178" s="10" t="s">
        <v>3764</v>
      </c>
      <c r="E178" s="2" t="s">
        <v>27</v>
      </c>
      <c r="F178" s="2" t="s">
        <v>119</v>
      </c>
      <c r="G178" s="2" t="s">
        <v>270</v>
      </c>
      <c r="H178" s="2" t="s">
        <v>253</v>
      </c>
      <c r="I178" s="2" t="s">
        <v>102</v>
      </c>
      <c r="O178" s="2" t="str">
        <f>_xlfn.LET(_xlpm.x, _xlfn.XLOOKUP(B178,Sheet3!N:N,Sheet3!O:O,""), IF(_xlpm.x=0,"",_xlpm.x))</f>
        <v>罗平县公安局</v>
      </c>
      <c r="P178" s="77" t="s">
        <v>7240</v>
      </c>
      <c r="Q178" s="2" t="s">
        <v>1890</v>
      </c>
      <c r="R178" s="2" t="s">
        <v>33</v>
      </c>
      <c r="S178" s="2">
        <v>18725447139</v>
      </c>
      <c r="T178" s="2" t="s">
        <v>244</v>
      </c>
      <c r="V178" s="2" t="str">
        <f>_xlfn.LET(_xlpm.x, _xlfn.XLOOKUP(X178,家庭成员!J:J,家庭成员!D:D,""), IF(_xlpm.x=0,"",_xlpm.x))</f>
        <v/>
      </c>
      <c r="W178" s="2" t="str">
        <f>_xlfn.LET(_xlpm.x, _xlfn.XLOOKUP(X178,家庭成员!J:J,家庭成员!C:C,""), IF(_xlpm.x=0,"",_xlpm.x))</f>
        <v/>
      </c>
      <c r="X178" s="2" t="s">
        <v>244</v>
      </c>
      <c r="Y178" s="2" t="s">
        <v>34</v>
      </c>
    </row>
    <row r="179" spans="1:25" ht="15.6" x14ac:dyDescent="0.25">
      <c r="A179" s="8" t="s">
        <v>1726</v>
      </c>
      <c r="B179" s="8" t="s">
        <v>1732</v>
      </c>
      <c r="C179" s="2" t="str">
        <f>_xlfn.XLOOKUP(B179,[1]Sheet2!BF:BF, [1]Sheet2!C:C, "")</f>
        <v>男</v>
      </c>
      <c r="D179" s="10" t="s">
        <v>3765</v>
      </c>
      <c r="E179" s="2" t="s">
        <v>27</v>
      </c>
      <c r="F179" s="2" t="s">
        <v>272</v>
      </c>
      <c r="G179" s="2" t="s">
        <v>270</v>
      </c>
      <c r="H179" s="2" t="s">
        <v>29</v>
      </c>
      <c r="I179" s="2" t="s">
        <v>102</v>
      </c>
      <c r="O179" s="2" t="str">
        <f>_xlfn.LET(_xlpm.x, _xlfn.XLOOKUP(B179,Sheet3!N:N,Sheet3!O:O,""), IF(_xlpm.x=0,"",_xlpm.x))</f>
        <v>富源县公安局</v>
      </c>
      <c r="P179" s="77" t="s">
        <v>7241</v>
      </c>
      <c r="Q179" s="2" t="s">
        <v>1733</v>
      </c>
      <c r="R179" s="2" t="s">
        <v>33</v>
      </c>
      <c r="S179" s="2">
        <v>15311557331</v>
      </c>
      <c r="T179" s="2" t="s">
        <v>1727</v>
      </c>
      <c r="V179" s="2" t="str">
        <f>_xlfn.LET(_xlpm.x, _xlfn.XLOOKUP(X179,家庭成员!J:J,家庭成员!D:D,""), IF(_xlpm.x=0,"",_xlpm.x))</f>
        <v/>
      </c>
      <c r="W179" s="2" t="str">
        <f>_xlfn.LET(_xlpm.x, _xlfn.XLOOKUP(X179,家庭成员!J:J,家庭成员!C:C,""), IF(_xlpm.x=0,"",_xlpm.x))</f>
        <v/>
      </c>
      <c r="X179" s="2" t="s">
        <v>244</v>
      </c>
      <c r="Y179" s="2" t="s">
        <v>34</v>
      </c>
    </row>
    <row r="180" spans="1:25" ht="15.6" x14ac:dyDescent="0.25">
      <c r="A180" s="8" t="s">
        <v>988</v>
      </c>
      <c r="B180" s="8" t="s">
        <v>992</v>
      </c>
      <c r="C180" s="2" t="str">
        <f>_xlfn.XLOOKUP(B180,[1]Sheet2!BF:BF, [1]Sheet2!C:C, "")</f>
        <v>男</v>
      </c>
      <c r="D180" s="10" t="s">
        <v>3766</v>
      </c>
      <c r="E180" s="2" t="s">
        <v>27</v>
      </c>
      <c r="F180" s="2" t="s">
        <v>119</v>
      </c>
      <c r="G180" s="2" t="s">
        <v>270</v>
      </c>
      <c r="H180" s="2" t="s">
        <v>253</v>
      </c>
      <c r="I180" s="2" t="s">
        <v>102</v>
      </c>
      <c r="O180" s="2" t="str">
        <f>_xlfn.LET(_xlpm.x, _xlfn.XLOOKUP(B180,Sheet3!N:N,Sheet3!O:O,""), IF(_xlpm.x=0,"",_xlpm.x))</f>
        <v>富源县公安局</v>
      </c>
      <c r="P180" s="77" t="s">
        <v>7242</v>
      </c>
      <c r="Q180" s="2" t="s">
        <v>993</v>
      </c>
      <c r="R180" s="2" t="s">
        <v>33</v>
      </c>
      <c r="S180" s="2">
        <v>16687349278</v>
      </c>
      <c r="T180" s="2" t="s">
        <v>244</v>
      </c>
      <c r="V180" s="2" t="str">
        <f>_xlfn.LET(_xlpm.x, _xlfn.XLOOKUP(X180,家庭成员!J:J,家庭成员!D:D,""), IF(_xlpm.x=0,"",_xlpm.x))</f>
        <v/>
      </c>
      <c r="W180" s="2" t="str">
        <f>_xlfn.LET(_xlpm.x, _xlfn.XLOOKUP(X180,家庭成员!J:J,家庭成员!C:C,""), IF(_xlpm.x=0,"",_xlpm.x))</f>
        <v/>
      </c>
      <c r="X180" s="2" t="s">
        <v>244</v>
      </c>
      <c r="Y180" s="2" t="s">
        <v>34</v>
      </c>
    </row>
    <row r="181" spans="1:25" ht="15.6" x14ac:dyDescent="0.25">
      <c r="A181" s="8" t="s">
        <v>1827</v>
      </c>
      <c r="B181" s="8" t="s">
        <v>3107</v>
      </c>
      <c r="C181" s="2" t="str">
        <f>_xlfn.XLOOKUP(B181,[1]Sheet2!BF:BF, [1]Sheet2!C:C, "")</f>
        <v>男</v>
      </c>
      <c r="D181" s="10" t="s">
        <v>3767</v>
      </c>
      <c r="E181" s="2" t="s">
        <v>27</v>
      </c>
      <c r="F181" s="2" t="s">
        <v>119</v>
      </c>
      <c r="G181" s="2" t="s">
        <v>474</v>
      </c>
      <c r="H181" s="2" t="s">
        <v>29</v>
      </c>
      <c r="I181" s="2" t="s">
        <v>102</v>
      </c>
      <c r="O181" s="2" t="str">
        <f>_xlfn.LET(_xlpm.x, _xlfn.XLOOKUP(B181,Sheet3!N:N,Sheet3!O:O,""), IF(_xlpm.x=0,"",_xlpm.x))</f>
        <v>会泽县公安局</v>
      </c>
      <c r="P181" s="77" t="s">
        <v>7243</v>
      </c>
      <c r="Q181" s="2" t="s">
        <v>2236</v>
      </c>
      <c r="R181" s="2" t="s">
        <v>33</v>
      </c>
      <c r="S181" s="2">
        <v>18669012707</v>
      </c>
      <c r="T181" s="2" t="s">
        <v>244</v>
      </c>
      <c r="V181" s="2" t="str">
        <f>_xlfn.LET(_xlpm.x, _xlfn.XLOOKUP(X181,家庭成员!J:J,家庭成员!D:D,""), IF(_xlpm.x=0,"",_xlpm.x))</f>
        <v>李家善</v>
      </c>
      <c r="W181" s="2" t="str">
        <f>_xlfn.LET(_xlpm.x, _xlfn.XLOOKUP(X181,家庭成员!J:J,家庭成员!C:C,""), IF(_xlpm.x=0,"",_xlpm.x))</f>
        <v>父亲</v>
      </c>
      <c r="X181" s="2" t="s">
        <v>3109</v>
      </c>
      <c r="Y181" s="2" t="s">
        <v>34</v>
      </c>
    </row>
    <row r="182" spans="1:25" ht="15.6" x14ac:dyDescent="0.25">
      <c r="A182" s="8" t="s">
        <v>1688</v>
      </c>
      <c r="B182" s="8" t="s">
        <v>1692</v>
      </c>
      <c r="C182" s="2" t="str">
        <f>_xlfn.XLOOKUP(B182,[1]Sheet2!BF:BF, [1]Sheet2!C:C, "")</f>
        <v>男</v>
      </c>
      <c r="D182" s="10" t="s">
        <v>3768</v>
      </c>
      <c r="E182" s="2" t="s">
        <v>27</v>
      </c>
      <c r="F182" s="2" t="s">
        <v>272</v>
      </c>
      <c r="G182" s="2" t="s">
        <v>270</v>
      </c>
      <c r="H182" s="2" t="s">
        <v>29</v>
      </c>
      <c r="I182" s="2" t="s">
        <v>102</v>
      </c>
      <c r="O182" s="2" t="str">
        <f>_xlfn.LET(_xlpm.x, _xlfn.XLOOKUP(B182,Sheet3!N:N,Sheet3!O:O,""), IF(_xlpm.x=0,"",_xlpm.x))</f>
        <v>会泽县公安局</v>
      </c>
      <c r="P182" s="77" t="s">
        <v>7244</v>
      </c>
      <c r="Q182" s="2" t="s">
        <v>1693</v>
      </c>
      <c r="R182" s="2" t="s">
        <v>33</v>
      </c>
      <c r="S182" s="2">
        <v>15288355581</v>
      </c>
      <c r="T182" s="2" t="s">
        <v>244</v>
      </c>
      <c r="V182" s="2" t="str">
        <f>_xlfn.LET(_xlpm.x, _xlfn.XLOOKUP(X182,家庭成员!J:J,家庭成员!D:D,""), IF(_xlpm.x=0,"",_xlpm.x))</f>
        <v>陈凤</v>
      </c>
      <c r="W182" s="2" t="str">
        <f>_xlfn.LET(_xlpm.x, _xlfn.XLOOKUP(X182,家庭成员!J:J,家庭成员!C:C,""), IF(_xlpm.x=0,"",_xlpm.x))</f>
        <v>妻子</v>
      </c>
      <c r="X182" s="2" t="s">
        <v>1696</v>
      </c>
      <c r="Y182" s="2" t="s">
        <v>34</v>
      </c>
    </row>
    <row r="183" spans="1:25" ht="15.6" x14ac:dyDescent="0.25">
      <c r="A183" s="8" t="s">
        <v>1933</v>
      </c>
      <c r="B183" s="8" t="s">
        <v>1938</v>
      </c>
      <c r="C183" s="2" t="str">
        <f>_xlfn.XLOOKUP(B183,[1]Sheet2!BF:BF, [1]Sheet2!C:C, "")</f>
        <v>男</v>
      </c>
      <c r="D183" s="10" t="s">
        <v>3710</v>
      </c>
      <c r="E183" s="2" t="s">
        <v>27</v>
      </c>
      <c r="F183" s="2" t="s">
        <v>272</v>
      </c>
      <c r="G183" s="2" t="s">
        <v>270</v>
      </c>
      <c r="H183" s="2" t="s">
        <v>29</v>
      </c>
      <c r="I183" s="2" t="s">
        <v>102</v>
      </c>
      <c r="O183" s="2" t="str">
        <f>_xlfn.LET(_xlpm.x, _xlfn.XLOOKUP(B183,Sheet3!N:N,Sheet3!O:O,""), IF(_xlpm.x=0,"",_xlpm.x))</f>
        <v>会泽县公安局</v>
      </c>
      <c r="P183" s="77" t="s">
        <v>7245</v>
      </c>
      <c r="Q183" s="2" t="s">
        <v>1939</v>
      </c>
      <c r="R183" s="2" t="s">
        <v>33</v>
      </c>
      <c r="S183" s="2">
        <v>18280480427</v>
      </c>
      <c r="T183" s="2" t="s">
        <v>244</v>
      </c>
      <c r="V183" s="2" t="str">
        <f>_xlfn.LET(_xlpm.x, _xlfn.XLOOKUP(X183,家庭成员!J:J,家庭成员!D:D,""), IF(_xlpm.x=0,"",_xlpm.x))</f>
        <v/>
      </c>
      <c r="W183" s="2" t="str">
        <f>_xlfn.LET(_xlpm.x, _xlfn.XLOOKUP(X183,家庭成员!J:J,家庭成员!C:C,""), IF(_xlpm.x=0,"",_xlpm.x))</f>
        <v/>
      </c>
      <c r="X183" s="2" t="s">
        <v>244</v>
      </c>
      <c r="Y183" s="2" t="s">
        <v>34</v>
      </c>
    </row>
    <row r="184" spans="1:25" ht="15.6" x14ac:dyDescent="0.25">
      <c r="A184" s="8" t="s">
        <v>857</v>
      </c>
      <c r="B184" s="8" t="s">
        <v>866</v>
      </c>
      <c r="C184" s="2" t="str">
        <f>_xlfn.XLOOKUP(B184,[1]Sheet2!BF:BF, [1]Sheet2!C:C, "")</f>
        <v>男</v>
      </c>
      <c r="D184" s="10" t="s">
        <v>3769</v>
      </c>
      <c r="E184" s="2" t="s">
        <v>27</v>
      </c>
      <c r="F184" s="2" t="s">
        <v>272</v>
      </c>
      <c r="G184" s="2" t="s">
        <v>270</v>
      </c>
      <c r="H184" s="2" t="s">
        <v>253</v>
      </c>
      <c r="I184" s="2" t="s">
        <v>102</v>
      </c>
      <c r="O184" s="2" t="str">
        <f>_xlfn.LET(_xlpm.x, _xlfn.XLOOKUP(B184,Sheet3!N:N,Sheet3!O:O,""), IF(_xlpm.x=0,"",_xlpm.x))</f>
        <v>会泽县公安局</v>
      </c>
      <c r="P184" s="77" t="s">
        <v>7246</v>
      </c>
      <c r="Q184" s="2" t="s">
        <v>867</v>
      </c>
      <c r="R184" s="2" t="s">
        <v>33</v>
      </c>
      <c r="S184" s="2">
        <v>15111380386</v>
      </c>
      <c r="T184" s="2" t="s">
        <v>858</v>
      </c>
      <c r="V184" s="2" t="str">
        <f>_xlfn.LET(_xlpm.x, _xlfn.XLOOKUP(X184,家庭成员!J:J,家庭成员!D:D,""), IF(_xlpm.x=0,"",_xlpm.x))</f>
        <v/>
      </c>
      <c r="W184" s="2" t="str">
        <f>_xlfn.LET(_xlpm.x, _xlfn.XLOOKUP(X184,家庭成员!J:J,家庭成员!C:C,""), IF(_xlpm.x=0,"",_xlpm.x))</f>
        <v/>
      </c>
      <c r="X184" s="2"/>
      <c r="Y184" s="2" t="s">
        <v>34</v>
      </c>
    </row>
    <row r="185" spans="1:25" ht="15.6" x14ac:dyDescent="0.25">
      <c r="A185" s="8" t="s">
        <v>817</v>
      </c>
      <c r="B185" s="8" t="s">
        <v>825</v>
      </c>
      <c r="C185" s="2" t="str">
        <f>_xlfn.XLOOKUP(B185,[1]Sheet2!BF:BF, [1]Sheet2!C:C, "")</f>
        <v>男</v>
      </c>
      <c r="D185" s="10" t="s">
        <v>3724</v>
      </c>
      <c r="E185" s="2" t="s">
        <v>27</v>
      </c>
      <c r="F185" s="2" t="s">
        <v>272</v>
      </c>
      <c r="G185" s="2" t="s">
        <v>270</v>
      </c>
      <c r="H185" s="2" t="s">
        <v>253</v>
      </c>
      <c r="I185" s="2" t="s">
        <v>102</v>
      </c>
      <c r="O185" s="2" t="str">
        <f>_xlfn.LET(_xlpm.x, _xlfn.XLOOKUP(B185,Sheet3!N:N,Sheet3!O:O,""), IF(_xlpm.x=0,"",_xlpm.x))</f>
        <v>会泽县公安局</v>
      </c>
      <c r="P185" s="77" t="s">
        <v>7247</v>
      </c>
      <c r="Q185" s="2" t="s">
        <v>826</v>
      </c>
      <c r="R185" s="2" t="s">
        <v>33</v>
      </c>
      <c r="S185" s="2">
        <v>15645071582</v>
      </c>
      <c r="T185" s="2" t="s">
        <v>818</v>
      </c>
      <c r="V185" s="2" t="str">
        <f>_xlfn.LET(_xlpm.x, _xlfn.XLOOKUP(X185,家庭成员!J:J,家庭成员!D:D,""), IF(_xlpm.x=0,"",_xlpm.x))</f>
        <v>李庆甫</v>
      </c>
      <c r="W185" s="2" t="str">
        <f>_xlfn.LET(_xlpm.x, _xlfn.XLOOKUP(X185,家庭成员!J:J,家庭成员!C:C,""), IF(_xlpm.x=0,"",_xlpm.x))</f>
        <v>父亲</v>
      </c>
      <c r="X185" s="2" t="s">
        <v>833</v>
      </c>
      <c r="Y185" s="2" t="s">
        <v>34</v>
      </c>
    </row>
    <row r="186" spans="1:25" ht="15.6" x14ac:dyDescent="0.25">
      <c r="A186" s="8" t="s">
        <v>1091</v>
      </c>
      <c r="B186" s="8" t="s">
        <v>1101</v>
      </c>
      <c r="C186" s="2" t="str">
        <f>_xlfn.XLOOKUP(B186,[1]Sheet2!BF:BF, [1]Sheet2!C:C, "")</f>
        <v>男</v>
      </c>
      <c r="D186" s="10" t="s">
        <v>3727</v>
      </c>
      <c r="E186" s="2" t="s">
        <v>27</v>
      </c>
      <c r="F186" s="2" t="s">
        <v>272</v>
      </c>
      <c r="G186" s="2" t="s">
        <v>270</v>
      </c>
      <c r="H186" s="2" t="s">
        <v>253</v>
      </c>
      <c r="I186" s="2" t="s">
        <v>102</v>
      </c>
      <c r="O186" s="2" t="str">
        <f>_xlfn.LET(_xlpm.x, _xlfn.XLOOKUP(B186,Sheet3!N:N,Sheet3!O:O,""), IF(_xlpm.x=0,"",_xlpm.x))</f>
        <v>会泽县公安局</v>
      </c>
      <c r="P186" s="77" t="s">
        <v>7248</v>
      </c>
      <c r="Q186" s="2" t="s">
        <v>1102</v>
      </c>
      <c r="R186" s="2" t="s">
        <v>33</v>
      </c>
      <c r="S186" s="2">
        <v>13971649573</v>
      </c>
      <c r="T186" s="2" t="s">
        <v>1092</v>
      </c>
      <c r="V186" s="2" t="str">
        <f>_xlfn.LET(_xlpm.x, _xlfn.XLOOKUP(X186,家庭成员!J:J,家庭成员!D:D,""), IF(_xlpm.x=0,"",_xlpm.x))</f>
        <v>朱金亮</v>
      </c>
      <c r="W186" s="2" t="str">
        <f>_xlfn.LET(_xlpm.x, _xlfn.XLOOKUP(X186,家庭成员!J:J,家庭成员!C:C,""), IF(_xlpm.x=0,"",_xlpm.x))</f>
        <v>父亲</v>
      </c>
      <c r="X186" s="2" t="s">
        <v>1108</v>
      </c>
      <c r="Y186" s="2" t="s">
        <v>34</v>
      </c>
    </row>
    <row r="187" spans="1:25" ht="15.6" x14ac:dyDescent="0.25">
      <c r="A187" s="8" t="s">
        <v>982</v>
      </c>
      <c r="B187" s="8" t="s">
        <v>986</v>
      </c>
      <c r="C187" s="2" t="str">
        <f>_xlfn.XLOOKUP(B187,[1]Sheet2!BF:BF, [1]Sheet2!C:C, "")</f>
        <v>男</v>
      </c>
      <c r="D187" s="10" t="s">
        <v>3770</v>
      </c>
      <c r="E187" s="2" t="s">
        <v>983</v>
      </c>
      <c r="F187" s="2" t="s">
        <v>119</v>
      </c>
      <c r="G187" s="2" t="s">
        <v>270</v>
      </c>
      <c r="H187" s="2" t="s">
        <v>253</v>
      </c>
      <c r="I187" s="2" t="s">
        <v>102</v>
      </c>
      <c r="O187" s="2" t="str">
        <f>_xlfn.LET(_xlpm.x, _xlfn.XLOOKUP(B187,Sheet3!N:N,Sheet3!O:O,""), IF(_xlpm.x=0,"",_xlpm.x))</f>
        <v>会泽县公安局</v>
      </c>
      <c r="P187" s="77" t="s">
        <v>7249</v>
      </c>
      <c r="Q187" s="2" t="s">
        <v>987</v>
      </c>
      <c r="R187" s="2" t="s">
        <v>33</v>
      </c>
      <c r="S187" s="2">
        <v>13033353220</v>
      </c>
      <c r="T187" s="2" t="s">
        <v>244</v>
      </c>
      <c r="V187" s="2" t="str">
        <f>_xlfn.LET(_xlpm.x, _xlfn.XLOOKUP(X187,家庭成员!J:J,家庭成员!D:D,""), IF(_xlpm.x=0,"",_xlpm.x))</f>
        <v/>
      </c>
      <c r="W187" s="2" t="str">
        <f>_xlfn.LET(_xlpm.x, _xlfn.XLOOKUP(X187,家庭成员!J:J,家庭成员!C:C,""), IF(_xlpm.x=0,"",_xlpm.x))</f>
        <v/>
      </c>
      <c r="X187" s="2" t="s">
        <v>244</v>
      </c>
      <c r="Y187" s="2" t="s">
        <v>34</v>
      </c>
    </row>
    <row r="188" spans="1:25" ht="15.6" x14ac:dyDescent="0.25">
      <c r="A188" s="8" t="s">
        <v>626</v>
      </c>
      <c r="B188" s="8" t="s">
        <v>629</v>
      </c>
      <c r="C188" s="2" t="str">
        <f>_xlfn.XLOOKUP(B188,[1]Sheet2!BF:BF, [1]Sheet2!C:C, "")</f>
        <v>女</v>
      </c>
      <c r="D188" s="10" t="s">
        <v>3771</v>
      </c>
      <c r="E188" s="2" t="s">
        <v>27</v>
      </c>
      <c r="F188" s="2" t="s">
        <v>272</v>
      </c>
      <c r="G188" s="2" t="s">
        <v>270</v>
      </c>
      <c r="H188" s="2" t="s">
        <v>253</v>
      </c>
      <c r="I188" s="2" t="s">
        <v>102</v>
      </c>
      <c r="O188" s="2" t="str">
        <f>_xlfn.LET(_xlpm.x, _xlfn.XLOOKUP(B188,Sheet3!N:N,Sheet3!O:O,""), IF(_xlpm.x=0,"",_xlpm.x))</f>
        <v>会泽县公安局</v>
      </c>
      <c r="P188" s="77" t="s">
        <v>7250</v>
      </c>
      <c r="Q188" s="2" t="s">
        <v>630</v>
      </c>
      <c r="R188" s="2" t="s">
        <v>33</v>
      </c>
      <c r="S188" s="2">
        <v>17869826436</v>
      </c>
      <c r="T188" s="2" t="s">
        <v>244</v>
      </c>
      <c r="V188" s="2" t="str">
        <f>_xlfn.LET(_xlpm.x, _xlfn.XLOOKUP(X188,家庭成员!J:J,家庭成员!D:D,""), IF(_xlpm.x=0,"",_xlpm.x))</f>
        <v/>
      </c>
      <c r="W188" s="2" t="str">
        <f>_xlfn.LET(_xlpm.x, _xlfn.XLOOKUP(X188,家庭成员!J:J,家庭成员!C:C,""), IF(_xlpm.x=0,"",_xlpm.x))</f>
        <v/>
      </c>
      <c r="X188" s="2" t="s">
        <v>244</v>
      </c>
      <c r="Y188" s="2" t="s">
        <v>34</v>
      </c>
    </row>
    <row r="189" spans="1:25" ht="15.6" x14ac:dyDescent="0.25">
      <c r="A189" s="8" t="s">
        <v>3357</v>
      </c>
      <c r="B189" s="8" t="s">
        <v>3360</v>
      </c>
      <c r="C189" s="2" t="str">
        <f>_xlfn.XLOOKUP(B189,[1]Sheet2!BF:BF, [1]Sheet2!C:C, "")</f>
        <v>男</v>
      </c>
      <c r="D189" s="10" t="s">
        <v>3772</v>
      </c>
      <c r="E189" s="2" t="s">
        <v>27</v>
      </c>
      <c r="F189" s="2" t="s">
        <v>119</v>
      </c>
      <c r="G189" s="2" t="s">
        <v>252</v>
      </c>
      <c r="H189" s="2" t="s">
        <v>29</v>
      </c>
      <c r="I189" s="2" t="s">
        <v>102</v>
      </c>
      <c r="O189" s="2" t="str">
        <f>_xlfn.LET(_xlpm.x, _xlfn.XLOOKUP(B189,Sheet3!N:N,Sheet3!O:O,""), IF(_xlpm.x=0,"",_xlpm.x))</f>
        <v>富民县公安局</v>
      </c>
      <c r="P189" s="77" t="s">
        <v>7251</v>
      </c>
      <c r="Q189" s="2" t="s">
        <v>3361</v>
      </c>
      <c r="R189" s="2" t="s">
        <v>33</v>
      </c>
      <c r="S189" s="2">
        <v>13708891073</v>
      </c>
      <c r="T189" s="2" t="s">
        <v>244</v>
      </c>
      <c r="V189" s="2" t="str">
        <f>_xlfn.LET(_xlpm.x, _xlfn.XLOOKUP(X189,家庭成员!J:J,家庭成员!D:D,""), IF(_xlpm.x=0,"",_xlpm.x))</f>
        <v>王娟</v>
      </c>
      <c r="W189" s="2" t="str">
        <f>_xlfn.LET(_xlpm.x, _xlfn.XLOOKUP(X189,家庭成员!J:J,家庭成员!C:C,""), IF(_xlpm.x=0,"",_xlpm.x))</f>
        <v>妻子</v>
      </c>
      <c r="X189" s="2" t="s">
        <v>3364</v>
      </c>
      <c r="Y189" s="2" t="s">
        <v>34</v>
      </c>
    </row>
    <row r="190" spans="1:25" ht="15.6" x14ac:dyDescent="0.25">
      <c r="A190" s="8" t="s">
        <v>2710</v>
      </c>
      <c r="B190" s="8" t="s">
        <v>2713</v>
      </c>
      <c r="C190" s="2" t="str">
        <f>_xlfn.XLOOKUP(B190,[1]Sheet2!BF:BF, [1]Sheet2!C:C, "")</f>
        <v>男</v>
      </c>
      <c r="D190" s="10" t="s">
        <v>3699</v>
      </c>
      <c r="E190" s="2" t="s">
        <v>27</v>
      </c>
      <c r="F190" s="2" t="s">
        <v>119</v>
      </c>
      <c r="G190" s="2" t="s">
        <v>270</v>
      </c>
      <c r="H190" s="2" t="s">
        <v>29</v>
      </c>
      <c r="I190" s="2" t="s">
        <v>102</v>
      </c>
      <c r="O190" s="2" t="str">
        <f>_xlfn.LET(_xlpm.x, _xlfn.XLOOKUP(B190,Sheet3!N:N,Sheet3!O:O,""), IF(_xlpm.x=0,"",_xlpm.x))</f>
        <v>沾益县公安局</v>
      </c>
      <c r="P190" s="77" t="s">
        <v>7252</v>
      </c>
      <c r="Q190" s="2" t="s">
        <v>2714</v>
      </c>
      <c r="R190" s="2" t="s">
        <v>33</v>
      </c>
      <c r="S190" s="2">
        <v>13669781035</v>
      </c>
      <c r="T190" s="2" t="s">
        <v>244</v>
      </c>
      <c r="V190" s="2" t="str">
        <f>_xlfn.LET(_xlpm.x, _xlfn.XLOOKUP(X190,家庭成员!J:J,家庭成员!D:D,""), IF(_xlpm.x=0,"",_xlpm.x))</f>
        <v>何凤香</v>
      </c>
      <c r="W190" s="2" t="str">
        <f>_xlfn.LET(_xlpm.x, _xlfn.XLOOKUP(X190,家庭成员!J:J,家庭成员!C:C,""), IF(_xlpm.x=0,"",_xlpm.x))</f>
        <v>母亲</v>
      </c>
      <c r="X190" s="2" t="s">
        <v>2716</v>
      </c>
      <c r="Y190" s="2" t="s">
        <v>34</v>
      </c>
    </row>
    <row r="191" spans="1:25" ht="15.6" x14ac:dyDescent="0.25">
      <c r="A191" s="8" t="s">
        <v>2367</v>
      </c>
      <c r="B191" s="8" t="s">
        <v>2371</v>
      </c>
      <c r="C191" s="2" t="str">
        <f>_xlfn.XLOOKUP(B191,[1]Sheet2!BF:BF, [1]Sheet2!C:C, "")</f>
        <v>男</v>
      </c>
      <c r="D191" s="10" t="s">
        <v>3773</v>
      </c>
      <c r="E191" s="2" t="s">
        <v>27</v>
      </c>
      <c r="F191" s="2" t="s">
        <v>28</v>
      </c>
      <c r="G191" s="2" t="s">
        <v>270</v>
      </c>
      <c r="H191" s="2" t="s">
        <v>29</v>
      </c>
      <c r="I191" s="2" t="s">
        <v>102</v>
      </c>
      <c r="O191" s="2" t="str">
        <f>_xlfn.LET(_xlpm.x, _xlfn.XLOOKUP(B191,Sheet3!N:N,Sheet3!O:O,""), IF(_xlpm.x=0,"",_xlpm.x))</f>
        <v>曲靖市公安局沾益分局</v>
      </c>
      <c r="P191" s="77" t="s">
        <v>1082</v>
      </c>
      <c r="Q191" s="2" t="s">
        <v>2372</v>
      </c>
      <c r="R191" s="2" t="s">
        <v>33</v>
      </c>
      <c r="S191" s="2">
        <v>18213450997</v>
      </c>
      <c r="T191" s="2" t="s">
        <v>244</v>
      </c>
      <c r="V191" s="2" t="str">
        <f>_xlfn.LET(_xlpm.x, _xlfn.XLOOKUP(X191,家庭成员!J:J,家庭成员!D:D,""), IF(_xlpm.x=0,"",_xlpm.x))</f>
        <v>张兴华</v>
      </c>
      <c r="W191" s="2" t="str">
        <f>_xlfn.LET(_xlpm.x, _xlfn.XLOOKUP(X191,家庭成员!J:J,家庭成员!C:C,""), IF(_xlpm.x=0,"",_xlpm.x))</f>
        <v>父亲</v>
      </c>
      <c r="X191" s="2" t="s">
        <v>2374</v>
      </c>
      <c r="Y191" s="2" t="s">
        <v>34</v>
      </c>
    </row>
    <row r="192" spans="1:25" ht="15.6" x14ac:dyDescent="0.25">
      <c r="A192" s="8" t="s">
        <v>2391</v>
      </c>
      <c r="B192" s="8" t="s">
        <v>2395</v>
      </c>
      <c r="C192" s="2" t="str">
        <f>_xlfn.XLOOKUP(B192,[1]Sheet2!BF:BF, [1]Sheet2!C:C, "")</f>
        <v>男</v>
      </c>
      <c r="D192" s="10" t="s">
        <v>3705</v>
      </c>
      <c r="E192" s="2" t="s">
        <v>27</v>
      </c>
      <c r="F192" s="2" t="s">
        <v>119</v>
      </c>
      <c r="G192" s="2" t="s">
        <v>270</v>
      </c>
      <c r="H192" s="2" t="s">
        <v>29</v>
      </c>
      <c r="I192" s="2" t="s">
        <v>102</v>
      </c>
      <c r="O192" s="2" t="str">
        <f>_xlfn.LET(_xlpm.x, _xlfn.XLOOKUP(B192,Sheet3!N:N,Sheet3!O:O,""), IF(_xlpm.x=0,"",_xlpm.x))</f>
        <v>曲靖市公安局沾益分局</v>
      </c>
      <c r="P192" s="77" t="s">
        <v>7222</v>
      </c>
      <c r="Q192" s="2" t="s">
        <v>2396</v>
      </c>
      <c r="R192" s="2" t="s">
        <v>33</v>
      </c>
      <c r="S192" s="2">
        <v>18787101878</v>
      </c>
      <c r="T192" s="2" t="s">
        <v>244</v>
      </c>
      <c r="V192" s="2" t="str">
        <f>_xlfn.LET(_xlpm.x, _xlfn.XLOOKUP(X192,家庭成员!J:J,家庭成员!D:D,""), IF(_xlpm.x=0,"",_xlpm.x))</f>
        <v>孙玉保</v>
      </c>
      <c r="W192" s="2" t="str">
        <f>_xlfn.LET(_xlpm.x, _xlfn.XLOOKUP(X192,家庭成员!J:J,家庭成员!C:C,""), IF(_xlpm.x=0,"",_xlpm.x))</f>
        <v>父亲</v>
      </c>
      <c r="X192" s="2" t="s">
        <v>2398</v>
      </c>
      <c r="Y192" s="2" t="s">
        <v>34</v>
      </c>
    </row>
    <row r="193" spans="1:25" ht="15.6" x14ac:dyDescent="0.25">
      <c r="A193" s="8" t="s">
        <v>1677</v>
      </c>
      <c r="B193" s="8" t="s">
        <v>1682</v>
      </c>
      <c r="C193" s="2" t="str">
        <f>_xlfn.XLOOKUP(B193,[1]Sheet2!BF:BF, [1]Sheet2!C:C, "")</f>
        <v>男</v>
      </c>
      <c r="D193" s="10" t="s">
        <v>3774</v>
      </c>
      <c r="E193" s="2" t="s">
        <v>27</v>
      </c>
      <c r="F193" s="2" t="s">
        <v>119</v>
      </c>
      <c r="G193" s="2" t="s">
        <v>252</v>
      </c>
      <c r="H193" s="2" t="s">
        <v>29</v>
      </c>
      <c r="I193" s="2" t="s">
        <v>102</v>
      </c>
      <c r="O193" s="2" t="str">
        <f>_xlfn.LET(_xlpm.x, _xlfn.XLOOKUP(B193,Sheet3!N:N,Sheet3!O:O,""), IF(_xlpm.x=0,"",_xlpm.x))</f>
        <v>昆明市公安局五华分局</v>
      </c>
      <c r="P193" s="77" t="s">
        <v>7253</v>
      </c>
      <c r="Q193" s="2" t="s">
        <v>1683</v>
      </c>
      <c r="R193" s="2" t="s">
        <v>33</v>
      </c>
      <c r="S193" s="2">
        <v>13708709425</v>
      </c>
      <c r="T193" s="2" t="s">
        <v>244</v>
      </c>
      <c r="V193" s="2" t="str">
        <f>_xlfn.LET(_xlpm.x, _xlfn.XLOOKUP(X193,家庭成员!J:J,家庭成员!D:D,""), IF(_xlpm.x=0,"",_xlpm.x))</f>
        <v>王芳</v>
      </c>
      <c r="W193" s="2" t="str">
        <f>_xlfn.LET(_xlpm.x, _xlfn.XLOOKUP(X193,家庭成员!J:J,家庭成员!C:C,""), IF(_xlpm.x=0,"",_xlpm.x))</f>
        <v>妻子</v>
      </c>
      <c r="X193" s="2" t="s">
        <v>1687</v>
      </c>
      <c r="Y193" s="2" t="s">
        <v>34</v>
      </c>
    </row>
    <row r="194" spans="1:25" ht="15.6" x14ac:dyDescent="0.25">
      <c r="A194" s="8" t="s">
        <v>1346</v>
      </c>
      <c r="B194" s="8" t="s">
        <v>1356</v>
      </c>
      <c r="C194" s="2" t="str">
        <f>_xlfn.XLOOKUP(B194,[1]Sheet2!BF:BF, [1]Sheet2!C:C, "")</f>
        <v>女</v>
      </c>
      <c r="D194" s="10" t="s">
        <v>3752</v>
      </c>
      <c r="E194" s="2" t="s">
        <v>27</v>
      </c>
      <c r="F194" s="2" t="s">
        <v>272</v>
      </c>
      <c r="G194" s="2" t="s">
        <v>474</v>
      </c>
      <c r="H194" s="2" t="s">
        <v>1349</v>
      </c>
      <c r="I194" s="2" t="s">
        <v>102</v>
      </c>
      <c r="O194" s="2" t="str">
        <f>_xlfn.LET(_xlpm.x, _xlfn.XLOOKUP(B194,Sheet3!N:N,Sheet3!O:O,""), IF(_xlpm.x=0,"",_xlpm.x))</f>
        <v>宣威市公安局</v>
      </c>
      <c r="P194" s="77" t="s">
        <v>730</v>
      </c>
      <c r="Q194" s="2" t="s">
        <v>1357</v>
      </c>
      <c r="R194" s="2" t="s">
        <v>33</v>
      </c>
      <c r="S194" s="2">
        <v>18008745845</v>
      </c>
      <c r="T194" s="2" t="s">
        <v>1347</v>
      </c>
      <c r="V194" s="2" t="str">
        <f>_xlfn.LET(_xlpm.x, _xlfn.XLOOKUP(X194,家庭成员!J:J,家庭成员!D:D,""), IF(_xlpm.x=0,"",_xlpm.x))</f>
        <v>邓道旺</v>
      </c>
      <c r="W194" s="2" t="str">
        <f>_xlfn.LET(_xlpm.x, _xlfn.XLOOKUP(X194,家庭成员!J:J,家庭成员!C:C,""), IF(_xlpm.x=0,"",_xlpm.x))</f>
        <v>父亲</v>
      </c>
      <c r="X194" s="2" t="s">
        <v>1362</v>
      </c>
      <c r="Y194" s="2" t="s">
        <v>34</v>
      </c>
    </row>
    <row r="195" spans="1:25" ht="15.6" x14ac:dyDescent="0.25">
      <c r="A195" s="8" t="s">
        <v>2692</v>
      </c>
      <c r="B195" s="8" t="s">
        <v>2696</v>
      </c>
      <c r="C195" s="2" t="str">
        <f>_xlfn.XLOOKUP(B195,[1]Sheet2!BF:BF, [1]Sheet2!C:C, "")</f>
        <v>男</v>
      </c>
      <c r="D195" s="10" t="s">
        <v>3698</v>
      </c>
      <c r="E195" s="2" t="s">
        <v>27</v>
      </c>
      <c r="F195" s="2" t="s">
        <v>119</v>
      </c>
      <c r="G195" s="2" t="s">
        <v>270</v>
      </c>
      <c r="H195" s="2" t="s">
        <v>253</v>
      </c>
      <c r="I195" s="2" t="s">
        <v>102</v>
      </c>
      <c r="O195" s="2" t="str">
        <f>_xlfn.LET(_xlpm.x, _xlfn.XLOOKUP(B195,Sheet3!N:N,Sheet3!O:O,""), IF(_xlpm.x=0,"",_xlpm.x))</f>
        <v>宣威市公安局</v>
      </c>
      <c r="P195" s="77" t="s">
        <v>7254</v>
      </c>
      <c r="Q195" s="2" t="s">
        <v>2697</v>
      </c>
      <c r="R195" s="2" t="s">
        <v>33</v>
      </c>
      <c r="S195" s="2">
        <v>15877998120</v>
      </c>
      <c r="T195" s="2" t="s">
        <v>244</v>
      </c>
      <c r="V195" s="2" t="str">
        <f>_xlfn.LET(_xlpm.x, _xlfn.XLOOKUP(X195,家庭成员!J:J,家庭成员!D:D,""), IF(_xlpm.x=0,"",_xlpm.x))</f>
        <v>秦本吉</v>
      </c>
      <c r="W195" s="2" t="str">
        <f>_xlfn.LET(_xlpm.x, _xlfn.XLOOKUP(X195,家庭成员!J:J,家庭成员!C:C,""), IF(_xlpm.x=0,"",_xlpm.x))</f>
        <v>父亲</v>
      </c>
      <c r="X195" s="2" t="s">
        <v>2699</v>
      </c>
      <c r="Y195" s="2" t="s">
        <v>34</v>
      </c>
    </row>
    <row r="196" spans="1:25" ht="15.6" x14ac:dyDescent="0.25">
      <c r="A196" s="8" t="s">
        <v>2995</v>
      </c>
      <c r="B196" s="8" t="s">
        <v>3000</v>
      </c>
      <c r="C196" s="2" t="str">
        <f>_xlfn.XLOOKUP(B196,[1]Sheet2!BF:BF, [1]Sheet2!C:C, "")</f>
        <v>男</v>
      </c>
      <c r="D196" s="10" t="s">
        <v>3700</v>
      </c>
      <c r="E196" s="2" t="s">
        <v>27</v>
      </c>
      <c r="F196" s="2" t="s">
        <v>119</v>
      </c>
      <c r="G196" s="2" t="s">
        <v>270</v>
      </c>
      <c r="H196" s="2" t="s">
        <v>29</v>
      </c>
      <c r="I196" s="2" t="s">
        <v>102</v>
      </c>
      <c r="O196" s="2" t="str">
        <f>_xlfn.LET(_xlpm.x, _xlfn.XLOOKUP(B196,Sheet3!N:N,Sheet3!O:O,""), IF(_xlpm.x=0,"",_xlpm.x))</f>
        <v>宣威市公安局</v>
      </c>
      <c r="P196" s="77" t="s">
        <v>7255</v>
      </c>
      <c r="Q196" s="2" t="s">
        <v>3001</v>
      </c>
      <c r="R196" s="2" t="s">
        <v>33</v>
      </c>
      <c r="S196" s="2">
        <v>18388003052</v>
      </c>
      <c r="T196" s="2" t="s">
        <v>244</v>
      </c>
      <c r="V196" s="2" t="str">
        <f>_xlfn.LET(_xlpm.x, _xlfn.XLOOKUP(X196,家庭成员!J:J,家庭成员!D:D,""), IF(_xlpm.x=0,"",_xlpm.x))</f>
        <v>朱启珍</v>
      </c>
      <c r="W196" s="2" t="str">
        <f>_xlfn.LET(_xlpm.x, _xlfn.XLOOKUP(X196,家庭成员!J:J,家庭成员!C:C,""), IF(_xlpm.x=0,"",_xlpm.x))</f>
        <v>父亲</v>
      </c>
      <c r="X196" s="2" t="s">
        <v>3004</v>
      </c>
      <c r="Y196" s="2" t="s">
        <v>34</v>
      </c>
    </row>
    <row r="197" spans="1:25" ht="15.6" x14ac:dyDescent="0.25">
      <c r="A197" s="8" t="s">
        <v>2700</v>
      </c>
      <c r="B197" s="8" t="s">
        <v>2704</v>
      </c>
      <c r="C197" s="2" t="str">
        <f>_xlfn.XLOOKUP(B197,[1]Sheet2!BF:BF, [1]Sheet2!C:C, "")</f>
        <v>男</v>
      </c>
      <c r="D197" s="10" t="s">
        <v>3703</v>
      </c>
      <c r="E197" s="2" t="s">
        <v>27</v>
      </c>
      <c r="F197" s="2" t="s">
        <v>119</v>
      </c>
      <c r="G197" s="2" t="s">
        <v>270</v>
      </c>
      <c r="H197" s="2" t="s">
        <v>253</v>
      </c>
      <c r="I197" s="2" t="s">
        <v>102</v>
      </c>
      <c r="O197" s="2" t="str">
        <f>_xlfn.LET(_xlpm.x, _xlfn.XLOOKUP(B197,Sheet3!N:N,Sheet3!O:O,""), IF(_xlpm.x=0,"",_xlpm.x))</f>
        <v>宣威市公安局</v>
      </c>
      <c r="P197" s="77" t="s">
        <v>7256</v>
      </c>
      <c r="Q197" s="2" t="s">
        <v>2705</v>
      </c>
      <c r="R197" s="2" t="s">
        <v>33</v>
      </c>
      <c r="S197" s="2">
        <v>18788552324</v>
      </c>
      <c r="T197" s="2" t="s">
        <v>244</v>
      </c>
      <c r="V197" s="2" t="str">
        <f>_xlfn.LET(_xlpm.x, _xlfn.XLOOKUP(X197,家庭成员!J:J,家庭成员!D:D,""), IF(_xlpm.x=0,"",_xlpm.x))</f>
        <v/>
      </c>
      <c r="W197" s="2" t="str">
        <f>_xlfn.LET(_xlpm.x, _xlfn.XLOOKUP(X197,家庭成员!J:J,家庭成员!C:C,""), IF(_xlpm.x=0,"",_xlpm.x))</f>
        <v/>
      </c>
      <c r="X197" s="2" t="s">
        <v>244</v>
      </c>
      <c r="Y197" s="2" t="s">
        <v>34</v>
      </c>
    </row>
    <row r="198" spans="1:25" ht="15.6" x14ac:dyDescent="0.25">
      <c r="A198" s="8" t="s">
        <v>2458</v>
      </c>
      <c r="B198" s="8" t="s">
        <v>2462</v>
      </c>
      <c r="C198" s="2" t="str">
        <f>_xlfn.XLOOKUP(B198,[1]Sheet2!BF:BF, [1]Sheet2!C:C, "")</f>
        <v>男</v>
      </c>
      <c r="D198" s="10" t="s">
        <v>3704</v>
      </c>
      <c r="E198" s="2" t="s">
        <v>27</v>
      </c>
      <c r="F198" s="2" t="s">
        <v>119</v>
      </c>
      <c r="G198" s="2" t="s">
        <v>270</v>
      </c>
      <c r="H198" s="2" t="s">
        <v>253</v>
      </c>
      <c r="I198" s="2" t="s">
        <v>102</v>
      </c>
      <c r="O198" s="2" t="str">
        <f>_xlfn.LET(_xlpm.x, _xlfn.XLOOKUP(B198,Sheet3!N:N,Sheet3!O:O,""), IF(_xlpm.x=0,"",_xlpm.x))</f>
        <v>宣威市公安局</v>
      </c>
      <c r="P198" s="77" t="s">
        <v>7257</v>
      </c>
      <c r="Q198" s="2" t="s">
        <v>2463</v>
      </c>
      <c r="R198" s="2" t="s">
        <v>33</v>
      </c>
      <c r="S198" s="2">
        <v>14787854582</v>
      </c>
      <c r="T198" s="2" t="s">
        <v>244</v>
      </c>
      <c r="V198" s="2" t="str">
        <f>_xlfn.LET(_xlpm.x, _xlfn.XLOOKUP(X198,家庭成员!J:J,家庭成员!D:D,""), IF(_xlpm.x=0,"",_xlpm.x))</f>
        <v>代正友</v>
      </c>
      <c r="W198" s="2" t="str">
        <f>_xlfn.LET(_xlpm.x, _xlfn.XLOOKUP(X198,家庭成员!J:J,家庭成员!C:C,""), IF(_xlpm.x=0,"",_xlpm.x))</f>
        <v>父亲</v>
      </c>
      <c r="X198" s="2" t="s">
        <v>2465</v>
      </c>
      <c r="Y198" s="2" t="s">
        <v>34</v>
      </c>
    </row>
    <row r="199" spans="1:25" ht="15.6" x14ac:dyDescent="0.25">
      <c r="A199" s="8" t="s">
        <v>1836</v>
      </c>
      <c r="B199" s="8" t="s">
        <v>1841</v>
      </c>
      <c r="C199" s="2" t="str">
        <f>_xlfn.XLOOKUP(B199,[1]Sheet2!BF:BF, [1]Sheet2!C:C, "")</f>
        <v>男</v>
      </c>
      <c r="D199" s="10" t="s">
        <v>3768</v>
      </c>
      <c r="E199" s="2" t="s">
        <v>27</v>
      </c>
      <c r="F199" s="2" t="s">
        <v>272</v>
      </c>
      <c r="G199" s="2" t="s">
        <v>474</v>
      </c>
      <c r="H199" s="2" t="s">
        <v>29</v>
      </c>
      <c r="I199" s="2" t="s">
        <v>102</v>
      </c>
      <c r="O199" s="2" t="str">
        <f>_xlfn.LET(_xlpm.x, _xlfn.XLOOKUP(B199,Sheet3!N:N,Sheet3!O:O,""), IF(_xlpm.x=0,"",_xlpm.x))</f>
        <v>宣威市公安局</v>
      </c>
      <c r="P199" s="77" t="s">
        <v>7258</v>
      </c>
      <c r="Q199" s="2" t="s">
        <v>1842</v>
      </c>
      <c r="R199" s="2" t="s">
        <v>33</v>
      </c>
      <c r="S199" s="2">
        <v>15812139652</v>
      </c>
      <c r="T199" s="2" t="s">
        <v>244</v>
      </c>
      <c r="V199" s="2" t="str">
        <f>_xlfn.LET(_xlpm.x, _xlfn.XLOOKUP(X199,家庭成员!J:J,家庭成员!D:D,""), IF(_xlpm.x=0,"",_xlpm.x))</f>
        <v/>
      </c>
      <c r="W199" s="2" t="str">
        <f>_xlfn.LET(_xlpm.x, _xlfn.XLOOKUP(X199,家庭成员!J:J,家庭成员!C:C,""), IF(_xlpm.x=0,"",_xlpm.x))</f>
        <v/>
      </c>
      <c r="X199" s="2" t="s">
        <v>244</v>
      </c>
      <c r="Y199" s="2" t="s">
        <v>34</v>
      </c>
    </row>
    <row r="200" spans="1:25" ht="15.6" x14ac:dyDescent="0.25">
      <c r="A200" s="8" t="s">
        <v>2424</v>
      </c>
      <c r="B200" s="8" t="s">
        <v>2428</v>
      </c>
      <c r="C200" s="2" t="str">
        <f>_xlfn.XLOOKUP(B200,[1]Sheet2!BF:BF, [1]Sheet2!C:C, "")</f>
        <v>男</v>
      </c>
      <c r="D200" s="10" t="s">
        <v>3710</v>
      </c>
      <c r="E200" s="2" t="s">
        <v>27</v>
      </c>
      <c r="F200" s="2" t="s">
        <v>272</v>
      </c>
      <c r="G200" s="2" t="s">
        <v>270</v>
      </c>
      <c r="H200" s="2" t="s">
        <v>29</v>
      </c>
      <c r="I200" s="2" t="s">
        <v>102</v>
      </c>
      <c r="O200" s="2" t="str">
        <f>_xlfn.LET(_xlpm.x, _xlfn.XLOOKUP(B200,Sheet3!N:N,Sheet3!O:O,""), IF(_xlpm.x=0,"",_xlpm.x))</f>
        <v>宣威市公安局</v>
      </c>
      <c r="P200" s="77" t="s">
        <v>7259</v>
      </c>
      <c r="Q200" s="2" t="s">
        <v>2429</v>
      </c>
      <c r="R200" s="2" t="s">
        <v>33</v>
      </c>
      <c r="S200" s="2">
        <v>18787156824</v>
      </c>
      <c r="T200" s="2" t="s">
        <v>244</v>
      </c>
      <c r="V200" s="2" t="str">
        <f>_xlfn.LET(_xlpm.x, _xlfn.XLOOKUP(X200,家庭成员!J:J,家庭成员!D:D,""), IF(_xlpm.x=0,"",_xlpm.x))</f>
        <v/>
      </c>
      <c r="W200" s="2" t="str">
        <f>_xlfn.LET(_xlpm.x, _xlfn.XLOOKUP(X200,家庭成员!J:J,家庭成员!C:C,""), IF(_xlpm.x=0,"",_xlpm.x))</f>
        <v/>
      </c>
      <c r="X200" s="2" t="s">
        <v>244</v>
      </c>
      <c r="Y200" s="2" t="s">
        <v>34</v>
      </c>
    </row>
    <row r="201" spans="1:25" ht="15.6" x14ac:dyDescent="0.25">
      <c r="A201" s="8" t="s">
        <v>1829</v>
      </c>
      <c r="B201" s="8" t="s">
        <v>1832</v>
      </c>
      <c r="C201" s="2" t="str">
        <f>_xlfn.XLOOKUP(B201,[1]Sheet2!BF:BF, [1]Sheet2!C:C, "")</f>
        <v>男</v>
      </c>
      <c r="D201" s="10" t="s">
        <v>3775</v>
      </c>
      <c r="E201" s="2" t="s">
        <v>27</v>
      </c>
      <c r="F201" s="2" t="s">
        <v>272</v>
      </c>
      <c r="G201" s="2" t="s">
        <v>270</v>
      </c>
      <c r="H201" s="2" t="s">
        <v>253</v>
      </c>
      <c r="I201" s="2" t="s">
        <v>102</v>
      </c>
      <c r="O201" s="2" t="str">
        <f>_xlfn.LET(_xlpm.x, _xlfn.XLOOKUP(B201,Sheet3!N:N,Sheet3!O:O,""), IF(_xlpm.x=0,"",_xlpm.x))</f>
        <v>宣威市公安局</v>
      </c>
      <c r="P201" s="77" t="s">
        <v>7260</v>
      </c>
      <c r="Q201" s="2" t="s">
        <v>1833</v>
      </c>
      <c r="R201" s="2" t="s">
        <v>33</v>
      </c>
      <c r="S201" s="2">
        <v>18208700152</v>
      </c>
      <c r="T201" s="2" t="s">
        <v>244</v>
      </c>
      <c r="V201" s="2" t="str">
        <f>_xlfn.LET(_xlpm.x, _xlfn.XLOOKUP(X201,家庭成员!J:J,家庭成员!D:D,""), IF(_xlpm.x=0,"",_xlpm.x))</f>
        <v/>
      </c>
      <c r="W201" s="2" t="str">
        <f>_xlfn.LET(_xlpm.x, _xlfn.XLOOKUP(X201,家庭成员!J:J,家庭成员!C:C,""), IF(_xlpm.x=0,"",_xlpm.x))</f>
        <v/>
      </c>
      <c r="X201" s="2" t="s">
        <v>244</v>
      </c>
      <c r="Y201" s="2" t="s">
        <v>34</v>
      </c>
    </row>
    <row r="202" spans="1:25" ht="15.6" x14ac:dyDescent="0.25">
      <c r="A202" s="8" t="s">
        <v>1893</v>
      </c>
      <c r="B202" s="8" t="s">
        <v>1898</v>
      </c>
      <c r="C202" s="2" t="str">
        <f>_xlfn.XLOOKUP(B202,[1]Sheet2!BF:BF, [1]Sheet2!C:C, "")</f>
        <v>男</v>
      </c>
      <c r="D202" s="10" t="s">
        <v>3764</v>
      </c>
      <c r="E202" s="2" t="s">
        <v>27</v>
      </c>
      <c r="F202" s="2" t="s">
        <v>272</v>
      </c>
      <c r="G202" s="2" t="s">
        <v>270</v>
      </c>
      <c r="H202" s="2" t="s">
        <v>29</v>
      </c>
      <c r="I202" s="2" t="s">
        <v>102</v>
      </c>
      <c r="O202" s="2" t="str">
        <f>_xlfn.LET(_xlpm.x, _xlfn.XLOOKUP(B202,Sheet3!N:N,Sheet3!O:O,""), IF(_xlpm.x=0,"",_xlpm.x))</f>
        <v>宣威市公安局</v>
      </c>
      <c r="P202" s="77" t="s">
        <v>7261</v>
      </c>
      <c r="Q202" s="2" t="s">
        <v>1899</v>
      </c>
      <c r="R202" s="2" t="s">
        <v>33</v>
      </c>
      <c r="S202" s="2">
        <v>18314533574</v>
      </c>
      <c r="T202" s="2" t="s">
        <v>1894</v>
      </c>
      <c r="V202" s="2" t="str">
        <f>_xlfn.LET(_xlpm.x, _xlfn.XLOOKUP(X202,家庭成员!J:J,家庭成员!D:D,""), IF(_xlpm.x=0,"",_xlpm.x))</f>
        <v/>
      </c>
      <c r="W202" s="2" t="str">
        <f>_xlfn.LET(_xlpm.x, _xlfn.XLOOKUP(X202,家庭成员!J:J,家庭成员!C:C,""), IF(_xlpm.x=0,"",_xlpm.x))</f>
        <v/>
      </c>
      <c r="X202" s="2" t="s">
        <v>244</v>
      </c>
      <c r="Y202" s="2" t="s">
        <v>34</v>
      </c>
    </row>
    <row r="203" spans="1:25" ht="15.6" x14ac:dyDescent="0.25">
      <c r="A203" s="8" t="s">
        <v>1036</v>
      </c>
      <c r="B203" s="8" t="s">
        <v>1043</v>
      </c>
      <c r="C203" s="2" t="str">
        <f>_xlfn.XLOOKUP(B203,[1]Sheet2!BF:BF, [1]Sheet2!C:C, "")</f>
        <v>女</v>
      </c>
      <c r="D203" s="10" t="s">
        <v>3776</v>
      </c>
      <c r="E203" s="2" t="s">
        <v>27</v>
      </c>
      <c r="F203" s="2" t="s">
        <v>272</v>
      </c>
      <c r="G203" s="2" t="s">
        <v>270</v>
      </c>
      <c r="H203" s="2" t="s">
        <v>253</v>
      </c>
      <c r="I203" s="2" t="s">
        <v>102</v>
      </c>
      <c r="O203" s="2" t="str">
        <f>_xlfn.LET(_xlpm.x, _xlfn.XLOOKUP(B203,Sheet3!N:N,Sheet3!O:O,""), IF(_xlpm.x=0,"",_xlpm.x))</f>
        <v>宣威市公安局</v>
      </c>
      <c r="P203" s="77" t="s">
        <v>7221</v>
      </c>
      <c r="Q203" s="2" t="s">
        <v>1044</v>
      </c>
      <c r="R203" s="2" t="s">
        <v>33</v>
      </c>
      <c r="S203" s="2">
        <v>15287457500</v>
      </c>
      <c r="T203" s="2" t="s">
        <v>1037</v>
      </c>
      <c r="V203" s="2" t="str">
        <f>_xlfn.LET(_xlpm.x, _xlfn.XLOOKUP(X203,家庭成员!J:J,家庭成员!D:D,""), IF(_xlpm.x=0,"",_xlpm.x))</f>
        <v>侯四仙</v>
      </c>
      <c r="W203" s="2" t="str">
        <f>_xlfn.LET(_xlpm.x, _xlfn.XLOOKUP(X203,家庭成员!J:J,家庭成员!C:C,""), IF(_xlpm.x=0,"",_xlpm.x))</f>
        <v>母亲</v>
      </c>
      <c r="X203" s="2" t="s">
        <v>1051</v>
      </c>
      <c r="Y203" s="2" t="s">
        <v>34</v>
      </c>
    </row>
    <row r="204" spans="1:25" ht="15.6" x14ac:dyDescent="0.25">
      <c r="A204" s="8" t="s">
        <v>1183</v>
      </c>
      <c r="B204" s="8" t="s">
        <v>1189</v>
      </c>
      <c r="C204" s="2" t="str">
        <f>_xlfn.XLOOKUP(B204,[1]Sheet2!BF:BF, [1]Sheet2!C:C, "")</f>
        <v>男</v>
      </c>
      <c r="D204" s="10" t="s">
        <v>3777</v>
      </c>
      <c r="E204" s="2" t="s">
        <v>27</v>
      </c>
      <c r="F204" s="2" t="s">
        <v>272</v>
      </c>
      <c r="G204" s="2" t="s">
        <v>293</v>
      </c>
      <c r="H204" s="2" t="s">
        <v>253</v>
      </c>
      <c r="I204" s="2" t="s">
        <v>102</v>
      </c>
      <c r="O204" s="2" t="str">
        <f>_xlfn.LET(_xlpm.x, _xlfn.XLOOKUP(B204,Sheet3!N:N,Sheet3!O:O,""), IF(_xlpm.x=0,"",_xlpm.x))</f>
        <v>宣威市公安局</v>
      </c>
      <c r="P204" s="77" t="s">
        <v>7262</v>
      </c>
      <c r="Q204" s="2" t="s">
        <v>1190</v>
      </c>
      <c r="R204" s="2" t="s">
        <v>33</v>
      </c>
      <c r="S204" s="2">
        <v>15187464325</v>
      </c>
      <c r="T204" s="2" t="s">
        <v>244</v>
      </c>
      <c r="V204" s="2" t="str">
        <f>_xlfn.LET(_xlpm.x, _xlfn.XLOOKUP(X204,家庭成员!J:J,家庭成员!D:D,""), IF(_xlpm.x=0,"",_xlpm.x))</f>
        <v/>
      </c>
      <c r="W204" s="2" t="str">
        <f>_xlfn.LET(_xlpm.x, _xlfn.XLOOKUP(X204,家庭成员!J:J,家庭成员!C:C,""), IF(_xlpm.x=0,"",_xlpm.x))</f>
        <v/>
      </c>
      <c r="X204" s="2" t="s">
        <v>244</v>
      </c>
      <c r="Y204" s="2" t="s">
        <v>34</v>
      </c>
    </row>
    <row r="205" spans="1:25" ht="15.6" x14ac:dyDescent="0.25">
      <c r="A205" s="8" t="s">
        <v>913</v>
      </c>
      <c r="B205" s="8" t="s">
        <v>919</v>
      </c>
      <c r="C205" s="2" t="str">
        <f>_xlfn.XLOOKUP(B205,[1]Sheet2!BF:BF, [1]Sheet2!C:C, "")</f>
        <v>男</v>
      </c>
      <c r="D205" s="10" t="s">
        <v>3778</v>
      </c>
      <c r="E205" s="2" t="s">
        <v>27</v>
      </c>
      <c r="F205" s="2" t="s">
        <v>272</v>
      </c>
      <c r="G205" s="2" t="s">
        <v>270</v>
      </c>
      <c r="H205" s="2" t="s">
        <v>253</v>
      </c>
      <c r="I205" s="2" t="s">
        <v>102</v>
      </c>
      <c r="O205" s="2" t="str">
        <f>_xlfn.LET(_xlpm.x, _xlfn.XLOOKUP(B205,Sheet3!N:N,Sheet3!O:O,""), IF(_xlpm.x=0,"",_xlpm.x))</f>
        <v>宣威市公安局</v>
      </c>
      <c r="P205" s="77" t="s">
        <v>7263</v>
      </c>
      <c r="Q205" s="2" t="s">
        <v>920</v>
      </c>
      <c r="R205" s="2" t="s">
        <v>33</v>
      </c>
      <c r="S205" s="2">
        <v>15887410346</v>
      </c>
      <c r="T205" s="2" t="s">
        <v>914</v>
      </c>
      <c r="V205" s="2" t="str">
        <f>_xlfn.LET(_xlpm.x, _xlfn.XLOOKUP(X205,家庭成员!J:J,家庭成员!D:D,""), IF(_xlpm.x=0,"",_xlpm.x))</f>
        <v>陈加万</v>
      </c>
      <c r="W205" s="2" t="str">
        <f>_xlfn.LET(_xlpm.x, _xlfn.XLOOKUP(X205,家庭成员!J:J,家庭成员!C:C,""), IF(_xlpm.x=0,"",_xlpm.x))</f>
        <v>父亲</v>
      </c>
      <c r="X205" s="2" t="s">
        <v>922</v>
      </c>
      <c r="Y205" s="2" t="s">
        <v>34</v>
      </c>
    </row>
    <row r="206" spans="1:25" ht="15.6" x14ac:dyDescent="0.25">
      <c r="A206" s="8" t="s">
        <v>957</v>
      </c>
      <c r="B206" s="8" t="s">
        <v>960</v>
      </c>
      <c r="C206" s="2" t="str">
        <f>_xlfn.XLOOKUP(B206,[1]Sheet2!BF:BF, [1]Sheet2!C:C, "")</f>
        <v>男</v>
      </c>
      <c r="D206" s="10" t="s">
        <v>3779</v>
      </c>
      <c r="E206" s="2" t="s">
        <v>27</v>
      </c>
      <c r="F206" s="2" t="s">
        <v>119</v>
      </c>
      <c r="G206" s="2" t="s">
        <v>270</v>
      </c>
      <c r="H206" s="2" t="s">
        <v>253</v>
      </c>
      <c r="I206" s="2" t="s">
        <v>102</v>
      </c>
      <c r="O206" s="2" t="str">
        <f>_xlfn.LET(_xlpm.x, _xlfn.XLOOKUP(B206,Sheet3!N:N,Sheet3!O:O,""), IF(_xlpm.x=0,"",_xlpm.x))</f>
        <v>宣威市公安局</v>
      </c>
      <c r="P206" s="77" t="s">
        <v>7264</v>
      </c>
      <c r="Q206" s="2" t="s">
        <v>961</v>
      </c>
      <c r="R206" s="2" t="s">
        <v>33</v>
      </c>
      <c r="S206" s="2">
        <v>19526653165</v>
      </c>
      <c r="T206" s="2" t="s">
        <v>244</v>
      </c>
      <c r="V206" s="2" t="str">
        <f>_xlfn.LET(_xlpm.x, _xlfn.XLOOKUP(X206,家庭成员!J:J,家庭成员!D:D,""), IF(_xlpm.x=0,"",_xlpm.x))</f>
        <v/>
      </c>
      <c r="W206" s="2" t="str">
        <f>_xlfn.LET(_xlpm.x, _xlfn.XLOOKUP(X206,家庭成员!J:J,家庭成员!C:C,""), IF(_xlpm.x=0,"",_xlpm.x))</f>
        <v/>
      </c>
      <c r="X206" s="2" t="s">
        <v>244</v>
      </c>
      <c r="Y206" s="2" t="s">
        <v>34</v>
      </c>
    </row>
    <row r="207" spans="1:25" ht="15.6" x14ac:dyDescent="0.25">
      <c r="A207" s="8" t="s">
        <v>268</v>
      </c>
      <c r="B207" s="8" t="s">
        <v>280</v>
      </c>
      <c r="C207" s="2" t="str">
        <f>_xlfn.XLOOKUP(B207,[1]Sheet2!BF:BF, [1]Sheet2!C:C, "")</f>
        <v>男</v>
      </c>
      <c r="D207" s="10" t="s">
        <v>3779</v>
      </c>
      <c r="E207" s="2" t="s">
        <v>27</v>
      </c>
      <c r="F207" s="2" t="s">
        <v>272</v>
      </c>
      <c r="G207" s="2" t="s">
        <v>270</v>
      </c>
      <c r="H207" s="2" t="s">
        <v>253</v>
      </c>
      <c r="I207" s="2" t="s">
        <v>102</v>
      </c>
      <c r="O207" s="2" t="str">
        <f>_xlfn.LET(_xlpm.x, _xlfn.XLOOKUP(B207,Sheet3!N:N,Sheet3!O:O,""), IF(_xlpm.x=0,"",_xlpm.x))</f>
        <v>宣威市公安局</v>
      </c>
      <c r="P207" s="77" t="s">
        <v>7265</v>
      </c>
      <c r="Q207" s="2" t="s">
        <v>281</v>
      </c>
      <c r="R207" s="2" t="s">
        <v>239</v>
      </c>
      <c r="S207" s="2">
        <v>18213161608</v>
      </c>
      <c r="T207" s="2" t="s">
        <v>269</v>
      </c>
      <c r="V207" s="2" t="str">
        <f>_xlfn.LET(_xlpm.x, _xlfn.XLOOKUP(X207,家庭成员!J:J,家庭成员!D:D,""), IF(_xlpm.x=0,"",_xlpm.x))</f>
        <v/>
      </c>
      <c r="W207" s="2" t="str">
        <f>_xlfn.LET(_xlpm.x, _xlfn.XLOOKUP(X207,家庭成员!J:J,家庭成员!C:C,""), IF(_xlpm.x=0,"",_xlpm.x))</f>
        <v/>
      </c>
      <c r="X207" s="2"/>
      <c r="Y207" s="2" t="s">
        <v>34</v>
      </c>
    </row>
    <row r="208" spans="1:25" ht="15.6" x14ac:dyDescent="0.25">
      <c r="A208" s="8" t="s">
        <v>946</v>
      </c>
      <c r="B208" s="8" t="s">
        <v>950</v>
      </c>
      <c r="C208" s="2" t="str">
        <f>_xlfn.XLOOKUP(B208,[1]Sheet2!BF:BF, [1]Sheet2!C:C, "")</f>
        <v>男</v>
      </c>
      <c r="D208" s="10" t="s">
        <v>3739</v>
      </c>
      <c r="E208" s="2" t="s">
        <v>27</v>
      </c>
      <c r="F208" s="2" t="s">
        <v>272</v>
      </c>
      <c r="G208" s="2" t="s">
        <v>474</v>
      </c>
      <c r="H208" s="2" t="s">
        <v>253</v>
      </c>
      <c r="I208" s="2" t="s">
        <v>102</v>
      </c>
      <c r="O208" s="2" t="str">
        <f>_xlfn.LET(_xlpm.x, _xlfn.XLOOKUP(B208,Sheet3!N:N,Sheet3!O:O,""), IF(_xlpm.x=0,"",_xlpm.x))</f>
        <v>宣威市公安局</v>
      </c>
      <c r="P208" s="77" t="s">
        <v>7266</v>
      </c>
      <c r="Q208" s="2" t="s">
        <v>951</v>
      </c>
      <c r="R208" s="2" t="s">
        <v>33</v>
      </c>
      <c r="S208" s="2">
        <v>15825255676</v>
      </c>
      <c r="T208" s="2" t="s">
        <v>244</v>
      </c>
      <c r="V208" s="2" t="str">
        <f>_xlfn.LET(_xlpm.x, _xlfn.XLOOKUP(X208,家庭成员!J:J,家庭成员!D:D,""), IF(_xlpm.x=0,"",_xlpm.x))</f>
        <v/>
      </c>
      <c r="W208" s="2" t="str">
        <f>_xlfn.LET(_xlpm.x, _xlfn.XLOOKUP(X208,家庭成员!J:J,家庭成员!C:C,""), IF(_xlpm.x=0,"",_xlpm.x))</f>
        <v/>
      </c>
      <c r="X208" s="2" t="s">
        <v>244</v>
      </c>
      <c r="Y208" s="2" t="s">
        <v>34</v>
      </c>
    </row>
    <row r="209" spans="1:25" ht="15.6" x14ac:dyDescent="0.25">
      <c r="A209" s="8" t="s">
        <v>600</v>
      </c>
      <c r="B209" s="8" t="s">
        <v>604</v>
      </c>
      <c r="C209" s="2" t="str">
        <f>_xlfn.XLOOKUP(B209,[1]Sheet2!BF:BF, [1]Sheet2!C:C, "")</f>
        <v>男</v>
      </c>
      <c r="D209" s="10" t="s">
        <v>3780</v>
      </c>
      <c r="E209" s="2" t="s">
        <v>27</v>
      </c>
      <c r="F209" s="2" t="s">
        <v>119</v>
      </c>
      <c r="G209" s="2" t="s">
        <v>270</v>
      </c>
      <c r="H209" s="2" t="s">
        <v>253</v>
      </c>
      <c r="I209" s="2" t="s">
        <v>102</v>
      </c>
      <c r="O209" s="2" t="str">
        <f>_xlfn.LET(_xlpm.x, _xlfn.XLOOKUP(B209,Sheet3!N:N,Sheet3!O:O,""), IF(_xlpm.x=0,"",_xlpm.x))</f>
        <v>宣威市公安局</v>
      </c>
      <c r="P209" s="77" t="s">
        <v>7267</v>
      </c>
      <c r="Q209" s="2" t="s">
        <v>605</v>
      </c>
      <c r="R209" s="2" t="s">
        <v>33</v>
      </c>
      <c r="S209" s="2">
        <v>19869311718</v>
      </c>
      <c r="T209" s="2" t="s">
        <v>244</v>
      </c>
      <c r="V209" s="2" t="str">
        <f>_xlfn.LET(_xlpm.x, _xlfn.XLOOKUP(X209,家庭成员!J:J,家庭成员!D:D,""), IF(_xlpm.x=0,"",_xlpm.x))</f>
        <v/>
      </c>
      <c r="W209" s="2" t="str">
        <f>_xlfn.LET(_xlpm.x, _xlfn.XLOOKUP(X209,家庭成员!J:J,家庭成员!C:C,""), IF(_xlpm.x=0,"",_xlpm.x))</f>
        <v/>
      </c>
      <c r="X209" s="2" t="s">
        <v>244</v>
      </c>
      <c r="Y209" s="2" t="s">
        <v>34</v>
      </c>
    </row>
    <row r="210" spans="1:25" ht="15.6" x14ac:dyDescent="0.25">
      <c r="A210" s="8" t="s">
        <v>486</v>
      </c>
      <c r="B210" s="8" t="s">
        <v>496</v>
      </c>
      <c r="C210" s="2" t="str">
        <f>_xlfn.XLOOKUP(B210,[1]Sheet2!BF:BF, [1]Sheet2!C:C, "")</f>
        <v>男</v>
      </c>
      <c r="D210" s="10" t="s">
        <v>3780</v>
      </c>
      <c r="E210" s="2" t="s">
        <v>27</v>
      </c>
      <c r="F210" s="2" t="s">
        <v>272</v>
      </c>
      <c r="G210" s="2" t="s">
        <v>270</v>
      </c>
      <c r="H210" s="2" t="s">
        <v>253</v>
      </c>
      <c r="I210" s="2" t="s">
        <v>102</v>
      </c>
      <c r="O210" s="2" t="str">
        <f>_xlfn.LET(_xlpm.x, _xlfn.XLOOKUP(B210,Sheet3!N:N,Sheet3!O:O,""), IF(_xlpm.x=0,"",_xlpm.x))</f>
        <v>宣威市公安局</v>
      </c>
      <c r="P210" s="77" t="s">
        <v>7268</v>
      </c>
      <c r="Q210" s="2" t="s">
        <v>497</v>
      </c>
      <c r="R210" s="2" t="s">
        <v>33</v>
      </c>
      <c r="S210" s="2">
        <v>15908774194</v>
      </c>
      <c r="T210" s="2" t="s">
        <v>487</v>
      </c>
      <c r="V210" s="2" t="str">
        <f>_xlfn.LET(_xlpm.x, _xlfn.XLOOKUP(X210,家庭成员!J:J,家庭成员!D:D,""), IF(_xlpm.x=0,"",_xlpm.x))</f>
        <v/>
      </c>
      <c r="W210" s="2" t="str">
        <f>_xlfn.LET(_xlpm.x, _xlfn.XLOOKUP(X210,家庭成员!J:J,家庭成员!C:C,""), IF(_xlpm.x=0,"",_xlpm.x))</f>
        <v/>
      </c>
      <c r="X210" s="2"/>
      <c r="Y210" s="2" t="s">
        <v>34</v>
      </c>
    </row>
    <row r="211" spans="1:25" ht="15.6" x14ac:dyDescent="0.25">
      <c r="A211" s="8" t="s">
        <v>1010</v>
      </c>
      <c r="B211" s="8" t="s">
        <v>1018</v>
      </c>
      <c r="C211" s="2" t="str">
        <f>_xlfn.XLOOKUP(B211,[1]Sheet2!BF:BF, [1]Sheet2!C:C, "")</f>
        <v>男</v>
      </c>
      <c r="D211" s="10" t="s">
        <v>3714</v>
      </c>
      <c r="E211" s="2" t="s">
        <v>27</v>
      </c>
      <c r="F211" s="2" t="s">
        <v>119</v>
      </c>
      <c r="G211" s="2" t="s">
        <v>474</v>
      </c>
      <c r="H211" s="2" t="s">
        <v>253</v>
      </c>
      <c r="I211" s="2" t="s">
        <v>102</v>
      </c>
      <c r="O211" s="2" t="str">
        <f>_xlfn.LET(_xlpm.x, _xlfn.XLOOKUP(B211,Sheet3!N:N,Sheet3!O:O,""), IF(_xlpm.x=0,"",_xlpm.x))</f>
        <v>玉溪市公安局红塔分局</v>
      </c>
      <c r="P211" s="77" t="s">
        <v>7269</v>
      </c>
      <c r="Q211" s="2" t="s">
        <v>1019</v>
      </c>
      <c r="R211" s="2" t="s">
        <v>33</v>
      </c>
      <c r="S211" s="2">
        <v>18581572162</v>
      </c>
      <c r="T211" s="2" t="s">
        <v>1011</v>
      </c>
      <c r="V211" s="2" t="str">
        <f>_xlfn.LET(_xlpm.x, _xlfn.XLOOKUP(X211,家庭成员!J:J,家庭成员!D:D,""), IF(_xlpm.x=0,"",_xlpm.x))</f>
        <v/>
      </c>
      <c r="W211" s="2" t="str">
        <f>_xlfn.LET(_xlpm.x, _xlfn.XLOOKUP(X211,家庭成员!J:J,家庭成员!C:C,""), IF(_xlpm.x=0,"",_xlpm.x))</f>
        <v/>
      </c>
      <c r="X211" s="2"/>
      <c r="Y211" s="2" t="s">
        <v>34</v>
      </c>
    </row>
    <row r="212" spans="1:25" ht="15.6" x14ac:dyDescent="0.25">
      <c r="A212" s="8" t="s">
        <v>1053</v>
      </c>
      <c r="B212" s="8" t="s">
        <v>1060</v>
      </c>
      <c r="C212" s="2" t="str">
        <f>_xlfn.XLOOKUP(B212,[1]Sheet2!BF:BF, [1]Sheet2!C:C, "")</f>
        <v>男</v>
      </c>
      <c r="D212" s="10" t="s">
        <v>3750</v>
      </c>
      <c r="E212" s="2" t="s">
        <v>27</v>
      </c>
      <c r="F212" s="2" t="s">
        <v>272</v>
      </c>
      <c r="G212" s="2" t="s">
        <v>474</v>
      </c>
      <c r="H212" s="2" t="s">
        <v>253</v>
      </c>
      <c r="I212" s="2" t="s">
        <v>102</v>
      </c>
      <c r="O212" s="2" t="str">
        <f>_xlfn.LET(_xlpm.x, _xlfn.XLOOKUP(B212,Sheet3!N:N,Sheet3!O:O,""), IF(_xlpm.x=0,"",_xlpm.x))</f>
        <v>长沙市公安局雨花分局</v>
      </c>
      <c r="P212" s="77" t="s">
        <v>7270</v>
      </c>
      <c r="Q212" s="2" t="s">
        <v>1061</v>
      </c>
      <c r="R212" s="2" t="s">
        <v>33</v>
      </c>
      <c r="S212" s="2">
        <v>18187706276</v>
      </c>
      <c r="T212" s="2" t="s">
        <v>1054</v>
      </c>
      <c r="V212" s="2" t="str">
        <f>_xlfn.LET(_xlpm.x, _xlfn.XLOOKUP(X212,家庭成员!J:J,家庭成员!D:D,""), IF(_xlpm.x=0,"",_xlpm.x))</f>
        <v>苏开俊</v>
      </c>
      <c r="W212" s="2" t="str">
        <f>_xlfn.LET(_xlpm.x, _xlfn.XLOOKUP(X212,家庭成员!J:J,家庭成员!C:C,""), IF(_xlpm.x=0,"",_xlpm.x))</f>
        <v>父亲</v>
      </c>
      <c r="X212" s="2" t="s">
        <v>1065</v>
      </c>
      <c r="Y212" s="2" t="s">
        <v>34</v>
      </c>
    </row>
    <row r="213" spans="1:25" ht="15.6" x14ac:dyDescent="0.25">
      <c r="A213" s="8" t="s">
        <v>3064</v>
      </c>
      <c r="B213" s="8" t="s">
        <v>3068</v>
      </c>
      <c r="C213" s="2" t="str">
        <f>_xlfn.XLOOKUP(B213,[1]Sheet2!BF:BF, [1]Sheet2!C:C, "")</f>
        <v>男</v>
      </c>
      <c r="D213" s="10" t="s">
        <v>3781</v>
      </c>
      <c r="E213" s="2" t="s">
        <v>27</v>
      </c>
      <c r="F213" s="2" t="s">
        <v>119</v>
      </c>
      <c r="G213" s="2" t="s">
        <v>474</v>
      </c>
      <c r="H213" s="2" t="s">
        <v>29</v>
      </c>
      <c r="I213" s="2" t="s">
        <v>102</v>
      </c>
      <c r="O213" s="2" t="str">
        <f>_xlfn.LET(_xlpm.x, _xlfn.XLOOKUP(B213,Sheet3!N:N,Sheet3!O:O,""), IF(_xlpm.x=0,"",_xlpm.x))</f>
        <v>昆明市公安局五华分局</v>
      </c>
      <c r="P213" s="77" t="s">
        <v>7271</v>
      </c>
      <c r="Q213" s="2" t="s">
        <v>3069</v>
      </c>
      <c r="R213" s="2" t="s">
        <v>33</v>
      </c>
      <c r="S213" s="2">
        <v>15887413228</v>
      </c>
      <c r="T213" s="2" t="s">
        <v>244</v>
      </c>
      <c r="V213" s="2" t="str">
        <f>_xlfn.LET(_xlpm.x, _xlfn.XLOOKUP(X213,家庭成员!J:J,家庭成员!D:D,""), IF(_xlpm.x=0,"",_xlpm.x))</f>
        <v>秦中艳</v>
      </c>
      <c r="W213" s="2" t="str">
        <f>_xlfn.LET(_xlpm.x, _xlfn.XLOOKUP(X213,家庭成员!J:J,家庭成员!C:C,""), IF(_xlpm.x=0,"",_xlpm.x))</f>
        <v>妻子</v>
      </c>
      <c r="X213" s="2" t="s">
        <v>3072</v>
      </c>
      <c r="Y213" s="2" t="s">
        <v>34</v>
      </c>
    </row>
    <row r="214" spans="1:25" ht="15.6" x14ac:dyDescent="0.25">
      <c r="A214" s="8" t="s">
        <v>1955</v>
      </c>
      <c r="B214" s="8" t="s">
        <v>1959</v>
      </c>
      <c r="C214" s="2" t="str">
        <f>_xlfn.XLOOKUP(B214,[1]Sheet2!BF:BF, [1]Sheet2!C:C, "")</f>
        <v>男</v>
      </c>
      <c r="D214" s="10" t="s">
        <v>3694</v>
      </c>
      <c r="E214" s="2" t="s">
        <v>27</v>
      </c>
      <c r="F214" s="2" t="s">
        <v>119</v>
      </c>
      <c r="G214" s="2" t="s">
        <v>474</v>
      </c>
      <c r="H214" s="2" t="s">
        <v>29</v>
      </c>
      <c r="I214" s="2" t="s">
        <v>102</v>
      </c>
      <c r="O214" s="2" t="str">
        <f>_xlfn.LET(_xlpm.x, _xlfn.XLOOKUP(B214,Sheet3!N:N,Sheet3!O:O,""), IF(_xlpm.x=0,"",_xlpm.x))</f>
        <v>玉溪市公安局江川分局</v>
      </c>
      <c r="P214" s="77" t="s">
        <v>7272</v>
      </c>
      <c r="Q214" s="2" t="s">
        <v>1960</v>
      </c>
      <c r="R214" s="2" t="s">
        <v>33</v>
      </c>
      <c r="S214" s="2">
        <v>18987725755</v>
      </c>
      <c r="T214" s="2" t="s">
        <v>1956</v>
      </c>
      <c r="V214" s="2" t="str">
        <f>_xlfn.LET(_xlpm.x, _xlfn.XLOOKUP(X214,家庭成员!J:J,家庭成员!D:D,""), IF(_xlpm.x=0,"",_xlpm.x))</f>
        <v/>
      </c>
      <c r="W214" s="2" t="str">
        <f>_xlfn.LET(_xlpm.x, _xlfn.XLOOKUP(X214,家庭成员!J:J,家庭成员!C:C,""), IF(_xlpm.x=0,"",_xlpm.x))</f>
        <v/>
      </c>
      <c r="X214" s="2" t="s">
        <v>244</v>
      </c>
      <c r="Y214" s="2" t="s">
        <v>34</v>
      </c>
    </row>
    <row r="215" spans="1:25" ht="15.6" x14ac:dyDescent="0.25">
      <c r="A215" s="8" t="s">
        <v>1146</v>
      </c>
      <c r="B215" s="8" t="s">
        <v>1153</v>
      </c>
      <c r="C215" s="2" t="str">
        <f>_xlfn.XLOOKUP(B215,[1]Sheet2!BF:BF, [1]Sheet2!C:C, "")</f>
        <v>男</v>
      </c>
      <c r="D215" s="10" t="s">
        <v>3782</v>
      </c>
      <c r="E215" s="2" t="s">
        <v>27</v>
      </c>
      <c r="F215" s="2" t="s">
        <v>119</v>
      </c>
      <c r="G215" s="2" t="s">
        <v>270</v>
      </c>
      <c r="H215" s="2" t="s">
        <v>29</v>
      </c>
      <c r="I215" s="2" t="s">
        <v>102</v>
      </c>
      <c r="O215" s="2" t="str">
        <f>_xlfn.LET(_xlpm.x, _xlfn.XLOOKUP(B215,Sheet3!N:N,Sheet3!O:O,""), IF(_xlpm.x=0,"",_xlpm.x))</f>
        <v>玉溪市公安局江川分局</v>
      </c>
      <c r="P215" s="77" t="s">
        <v>7273</v>
      </c>
      <c r="Q215" s="2" t="s">
        <v>1154</v>
      </c>
      <c r="R215" s="2" t="s">
        <v>33</v>
      </c>
      <c r="S215" s="2">
        <v>15198875935</v>
      </c>
      <c r="T215" s="2" t="s">
        <v>1147</v>
      </c>
      <c r="V215" s="2" t="str">
        <f>_xlfn.LET(_xlpm.x, _xlfn.XLOOKUP(X215,家庭成员!J:J,家庭成员!D:D,""), IF(_xlpm.x=0,"",_xlpm.x))</f>
        <v>宋媛</v>
      </c>
      <c r="W215" s="2" t="str">
        <f>_xlfn.LET(_xlpm.x, _xlfn.XLOOKUP(X215,家庭成员!J:J,家庭成员!C:C,""), IF(_xlpm.x=0,"",_xlpm.x))</f>
        <v>妻子</v>
      </c>
      <c r="X215" s="2" t="s">
        <v>1164</v>
      </c>
      <c r="Y215" s="2" t="s">
        <v>34</v>
      </c>
    </row>
    <row r="216" spans="1:25" ht="15.6" x14ac:dyDescent="0.25">
      <c r="A216" s="8" t="s">
        <v>1491</v>
      </c>
      <c r="B216" s="8" t="s">
        <v>1496</v>
      </c>
      <c r="C216" s="2" t="str">
        <f>_xlfn.XLOOKUP(B216,[1]Sheet2!BF:BF, [1]Sheet2!C:C, "")</f>
        <v>男</v>
      </c>
      <c r="D216" s="10" t="s">
        <v>3783</v>
      </c>
      <c r="E216" s="2" t="s">
        <v>27</v>
      </c>
      <c r="F216" s="2" t="s">
        <v>272</v>
      </c>
      <c r="G216" s="2" t="s">
        <v>474</v>
      </c>
      <c r="H216" s="2" t="s">
        <v>253</v>
      </c>
      <c r="I216" s="2" t="s">
        <v>102</v>
      </c>
      <c r="O216" s="2" t="str">
        <f>_xlfn.LET(_xlpm.x, _xlfn.XLOOKUP(B216,Sheet3!N:N,Sheet3!O:O,""), IF(_xlpm.x=0,"",_xlpm.x))</f>
        <v>澄江县公安局</v>
      </c>
      <c r="P216" s="77" t="s">
        <v>1909</v>
      </c>
      <c r="Q216" s="2" t="s">
        <v>1397</v>
      </c>
      <c r="R216" s="2" t="s">
        <v>33</v>
      </c>
      <c r="S216" s="2">
        <v>15683100151</v>
      </c>
      <c r="T216" s="2" t="s">
        <v>1492</v>
      </c>
      <c r="V216" s="2" t="str">
        <f>_xlfn.LET(_xlpm.x, _xlfn.XLOOKUP(X216,家庭成员!J:J,家庭成员!D:D,""), IF(_xlpm.x=0,"",_xlpm.x))</f>
        <v>田宗林</v>
      </c>
      <c r="W216" s="2" t="str">
        <f>_xlfn.LET(_xlpm.x, _xlfn.XLOOKUP(X216,家庭成员!J:J,家庭成员!C:C,""), IF(_xlpm.x=0,"",_xlpm.x))</f>
        <v>父亲</v>
      </c>
      <c r="X216" s="2" t="s">
        <v>1500</v>
      </c>
      <c r="Y216" s="2" t="s">
        <v>34</v>
      </c>
    </row>
    <row r="217" spans="1:25" ht="15.6" x14ac:dyDescent="0.25">
      <c r="A217" s="8" t="s">
        <v>620</v>
      </c>
      <c r="B217" s="8" t="s">
        <v>624</v>
      </c>
      <c r="C217" s="2" t="str">
        <f>_xlfn.XLOOKUP(B217,[1]Sheet2!BF:BF, [1]Sheet2!C:C, "")</f>
        <v>男</v>
      </c>
      <c r="D217" s="10" t="s">
        <v>3784</v>
      </c>
      <c r="E217" s="2" t="s">
        <v>27</v>
      </c>
      <c r="F217" s="2" t="s">
        <v>119</v>
      </c>
      <c r="G217" s="2" t="s">
        <v>293</v>
      </c>
      <c r="H217" s="2" t="s">
        <v>253</v>
      </c>
      <c r="I217" s="2" t="s">
        <v>102</v>
      </c>
      <c r="O217" s="2" t="str">
        <f>_xlfn.LET(_xlpm.x, _xlfn.XLOOKUP(B217,Sheet3!N:N,Sheet3!O:O,""), IF(_xlpm.x=0,"",_xlpm.x))</f>
        <v>宜良县公安局</v>
      </c>
      <c r="P217" s="77" t="s">
        <v>1527</v>
      </c>
      <c r="Q217" s="2" t="s">
        <v>625</v>
      </c>
      <c r="R217" s="2" t="s">
        <v>33</v>
      </c>
      <c r="S217" s="2">
        <v>17787192081</v>
      </c>
      <c r="T217" s="2" t="s">
        <v>244</v>
      </c>
      <c r="V217" s="2" t="str">
        <f>_xlfn.LET(_xlpm.x, _xlfn.XLOOKUP(X217,家庭成员!J:J,家庭成员!D:D,""), IF(_xlpm.x=0,"",_xlpm.x))</f>
        <v/>
      </c>
      <c r="W217" s="2" t="str">
        <f>_xlfn.LET(_xlpm.x, _xlfn.XLOOKUP(X217,家庭成员!J:J,家庭成员!C:C,""), IF(_xlpm.x=0,"",_xlpm.x))</f>
        <v/>
      </c>
      <c r="X217" s="2" t="s">
        <v>244</v>
      </c>
      <c r="Y217" s="2" t="s">
        <v>34</v>
      </c>
    </row>
    <row r="218" spans="1:25" ht="15.6" x14ac:dyDescent="0.25">
      <c r="A218" s="8" t="s">
        <v>2440</v>
      </c>
      <c r="B218" s="8" t="s">
        <v>2443</v>
      </c>
      <c r="C218" s="2" t="str">
        <f>_xlfn.XLOOKUP(B218,[1]Sheet2!BF:BF, [1]Sheet2!C:C, "")</f>
        <v>男</v>
      </c>
      <c r="D218" s="10" t="s">
        <v>3785</v>
      </c>
      <c r="E218" s="2" t="s">
        <v>27</v>
      </c>
      <c r="F218" s="2" t="s">
        <v>119</v>
      </c>
      <c r="G218" s="2" t="s">
        <v>474</v>
      </c>
      <c r="H218" s="2" t="s">
        <v>29</v>
      </c>
      <c r="I218" s="2" t="s">
        <v>102</v>
      </c>
      <c r="O218" s="2" t="str">
        <f>_xlfn.LET(_xlpm.x, _xlfn.XLOOKUP(B218,Sheet3!N:N,Sheet3!O:O,""), IF(_xlpm.x=0,"",_xlpm.x))</f>
        <v>通海县公安局</v>
      </c>
      <c r="P218" s="77" t="s">
        <v>7274</v>
      </c>
      <c r="Q218" s="2" t="s">
        <v>2444</v>
      </c>
      <c r="R218" s="2" t="s">
        <v>33</v>
      </c>
      <c r="S218" s="2">
        <v>18468064046</v>
      </c>
      <c r="T218" s="2" t="s">
        <v>244</v>
      </c>
      <c r="V218" s="2" t="str">
        <f>_xlfn.LET(_xlpm.x, _xlfn.XLOOKUP(X218,家庭成员!J:J,家庭成员!D:D,""), IF(_xlpm.x=0,"",_xlpm.x))</f>
        <v>苏礼德</v>
      </c>
      <c r="W218" s="2" t="str">
        <f>_xlfn.LET(_xlpm.x, _xlfn.XLOOKUP(X218,家庭成员!J:J,家庭成员!C:C,""), IF(_xlpm.x=0,"",_xlpm.x))</f>
        <v>父亲</v>
      </c>
      <c r="X218" s="2" t="s">
        <v>2446</v>
      </c>
      <c r="Y218" s="2" t="s">
        <v>34</v>
      </c>
    </row>
    <row r="219" spans="1:25" ht="15.6" x14ac:dyDescent="0.25">
      <c r="A219" s="8" t="s">
        <v>1980</v>
      </c>
      <c r="B219" s="8" t="s">
        <v>1984</v>
      </c>
      <c r="C219" s="2" t="str">
        <f>_xlfn.XLOOKUP(B219,[1]Sheet2!BF:BF, [1]Sheet2!C:C, "")</f>
        <v>女</v>
      </c>
      <c r="D219" s="10" t="s">
        <v>3712</v>
      </c>
      <c r="E219" s="2" t="s">
        <v>27</v>
      </c>
      <c r="F219" s="2" t="s">
        <v>272</v>
      </c>
      <c r="G219" s="2" t="s">
        <v>270</v>
      </c>
      <c r="H219" s="2" t="s">
        <v>253</v>
      </c>
      <c r="I219" s="2" t="s">
        <v>102</v>
      </c>
      <c r="O219" s="2" t="str">
        <f>_xlfn.LET(_xlpm.x, _xlfn.XLOOKUP(B219,Sheet3!N:N,Sheet3!O:O,""), IF(_xlpm.x=0,"",_xlpm.x))</f>
        <v>华宁县公安局</v>
      </c>
      <c r="P219" s="77" t="s">
        <v>7275</v>
      </c>
      <c r="Q219" s="2" t="s">
        <v>1985</v>
      </c>
      <c r="R219" s="2" t="s">
        <v>33</v>
      </c>
      <c r="S219" s="2">
        <v>18487131061</v>
      </c>
      <c r="T219" s="2" t="s">
        <v>1981</v>
      </c>
      <c r="V219" s="2" t="str">
        <f>_xlfn.LET(_xlpm.x, _xlfn.XLOOKUP(X219,家庭成员!J:J,家庭成员!D:D,""), IF(_xlpm.x=0,"",_xlpm.x))</f>
        <v/>
      </c>
      <c r="W219" s="2" t="str">
        <f>_xlfn.LET(_xlpm.x, _xlfn.XLOOKUP(X219,家庭成员!J:J,家庭成员!C:C,""), IF(_xlpm.x=0,"",_xlpm.x))</f>
        <v/>
      </c>
      <c r="X219" s="2" t="s">
        <v>244</v>
      </c>
      <c r="Y219" s="2" t="s">
        <v>34</v>
      </c>
    </row>
    <row r="220" spans="1:25" ht="15.6" x14ac:dyDescent="0.25">
      <c r="A220" s="8" t="s">
        <v>1646</v>
      </c>
      <c r="B220" s="8" t="s">
        <v>1649</v>
      </c>
      <c r="C220" s="2" t="str">
        <f>_xlfn.XLOOKUP(B220,[1]Sheet2!BF:BF, [1]Sheet2!C:C, "")</f>
        <v>男</v>
      </c>
      <c r="D220" s="10" t="s">
        <v>3727</v>
      </c>
      <c r="E220" s="2" t="s">
        <v>27</v>
      </c>
      <c r="F220" s="2" t="s">
        <v>119</v>
      </c>
      <c r="G220" s="2" t="s">
        <v>270</v>
      </c>
      <c r="H220" s="2" t="s">
        <v>253</v>
      </c>
      <c r="I220" s="2" t="s">
        <v>102</v>
      </c>
      <c r="O220" s="2" t="str">
        <f>_xlfn.LET(_xlpm.x, _xlfn.XLOOKUP(B220,Sheet3!N:N,Sheet3!O:O,""), IF(_xlpm.x=0,"",_xlpm.x))</f>
        <v>华宁县公安局</v>
      </c>
      <c r="P220" s="77" t="s">
        <v>7276</v>
      </c>
      <c r="Q220" s="2" t="s">
        <v>1650</v>
      </c>
      <c r="R220" s="2" t="s">
        <v>33</v>
      </c>
      <c r="S220" s="2">
        <v>18869702746</v>
      </c>
      <c r="T220" s="2" t="s">
        <v>244</v>
      </c>
      <c r="V220" s="2" t="str">
        <f>_xlfn.LET(_xlpm.x, _xlfn.XLOOKUP(X220,家庭成员!J:J,家庭成员!D:D,""), IF(_xlpm.x=0,"",_xlpm.x))</f>
        <v/>
      </c>
      <c r="W220" s="2" t="str">
        <f>_xlfn.LET(_xlpm.x, _xlfn.XLOOKUP(X220,家庭成员!J:J,家庭成员!C:C,""), IF(_xlpm.x=0,"",_xlpm.x))</f>
        <v/>
      </c>
      <c r="X220" s="2" t="s">
        <v>244</v>
      </c>
      <c r="Y220" s="2" t="s">
        <v>34</v>
      </c>
    </row>
    <row r="221" spans="1:25" ht="15.6" x14ac:dyDescent="0.25">
      <c r="A221" s="8" t="s">
        <v>807</v>
      </c>
      <c r="B221" s="8" t="s">
        <v>812</v>
      </c>
      <c r="C221" s="2" t="str">
        <f>_xlfn.XLOOKUP(B221,[1]Sheet2!BF:BF, [1]Sheet2!C:C, "")</f>
        <v>女</v>
      </c>
      <c r="D221" s="10" t="s">
        <v>3786</v>
      </c>
      <c r="E221" s="2" t="s">
        <v>27</v>
      </c>
      <c r="F221" s="2" t="s">
        <v>272</v>
      </c>
      <c r="G221" s="2" t="s">
        <v>474</v>
      </c>
      <c r="H221" s="2" t="s">
        <v>253</v>
      </c>
      <c r="I221" s="2" t="s">
        <v>102</v>
      </c>
      <c r="O221" s="2" t="str">
        <f>_xlfn.LET(_xlpm.x, _xlfn.XLOOKUP(B221,Sheet3!N:N,Sheet3!O:O,""), IF(_xlpm.x=0,"",_xlpm.x))</f>
        <v>玉溪市公安局红塔分局</v>
      </c>
      <c r="P221" s="77" t="s">
        <v>7277</v>
      </c>
      <c r="Q221" s="2" t="s">
        <v>813</v>
      </c>
      <c r="R221" s="2" t="s">
        <v>33</v>
      </c>
      <c r="S221" s="2">
        <v>13330581351</v>
      </c>
      <c r="T221" s="2" t="s">
        <v>244</v>
      </c>
      <c r="V221" s="2" t="str">
        <f>_xlfn.LET(_xlpm.x, _xlfn.XLOOKUP(X221,家庭成员!J:J,家庭成员!D:D,""), IF(_xlpm.x=0,"",_xlpm.x))</f>
        <v/>
      </c>
      <c r="W221" s="2" t="str">
        <f>_xlfn.LET(_xlpm.x, _xlfn.XLOOKUP(X221,家庭成员!J:J,家庭成员!C:C,""), IF(_xlpm.x=0,"",_xlpm.x))</f>
        <v/>
      </c>
      <c r="X221" s="2" t="s">
        <v>244</v>
      </c>
      <c r="Y221" s="2" t="s">
        <v>34</v>
      </c>
    </row>
    <row r="222" spans="1:25" ht="15.6" x14ac:dyDescent="0.25">
      <c r="A222" s="8" t="s">
        <v>2871</v>
      </c>
      <c r="B222" s="8" t="s">
        <v>2878</v>
      </c>
      <c r="C222" s="2" t="str">
        <f>_xlfn.XLOOKUP(B222,[1]Sheet2!BF:BF, [1]Sheet2!C:C, "")</f>
        <v>男</v>
      </c>
      <c r="D222" s="10" t="s">
        <v>3787</v>
      </c>
      <c r="E222" s="2" t="s">
        <v>27</v>
      </c>
      <c r="F222" s="2" t="s">
        <v>119</v>
      </c>
      <c r="G222" s="2" t="s">
        <v>474</v>
      </c>
      <c r="H222" s="2" t="s">
        <v>253</v>
      </c>
      <c r="I222" s="2" t="s">
        <v>102</v>
      </c>
      <c r="O222" s="2" t="str">
        <f>_xlfn.LET(_xlpm.x, _xlfn.XLOOKUP(B222,Sheet3!N:N,Sheet3!O:O,""), IF(_xlpm.x=0,"",_xlpm.x))</f>
        <v>新平彝族傣族自治县公安局</v>
      </c>
      <c r="P222" s="77" t="s">
        <v>7278</v>
      </c>
      <c r="Q222" s="2" t="s">
        <v>2879</v>
      </c>
      <c r="R222" s="2" t="s">
        <v>33</v>
      </c>
      <c r="S222" s="2">
        <v>13987107003</v>
      </c>
      <c r="T222" s="2" t="s">
        <v>244</v>
      </c>
      <c r="V222" s="2" t="str">
        <f>_xlfn.LET(_xlpm.x, _xlfn.XLOOKUP(X222,家庭成员!J:J,家庭成员!D:D,""), IF(_xlpm.x=0,"",_xlpm.x))</f>
        <v/>
      </c>
      <c r="W222" s="2" t="str">
        <f>_xlfn.LET(_xlpm.x, _xlfn.XLOOKUP(X222,家庭成员!J:J,家庭成员!C:C,""), IF(_xlpm.x=0,"",_xlpm.x))</f>
        <v/>
      </c>
      <c r="X222" s="2" t="s">
        <v>244</v>
      </c>
      <c r="Y222" s="2" t="s">
        <v>34</v>
      </c>
    </row>
    <row r="223" spans="1:25" ht="15.6" x14ac:dyDescent="0.25">
      <c r="A223" s="8" t="s">
        <v>562</v>
      </c>
      <c r="B223" s="8" t="s">
        <v>568</v>
      </c>
      <c r="C223" s="2" t="str">
        <f>_xlfn.XLOOKUP(B223,[1]Sheet2!BF:BF, [1]Sheet2!C:C, "")</f>
        <v>男</v>
      </c>
      <c r="D223" s="10" t="s">
        <v>3788</v>
      </c>
      <c r="E223" s="2" t="s">
        <v>27</v>
      </c>
      <c r="F223" s="2" t="s">
        <v>272</v>
      </c>
      <c r="G223" s="2" t="s">
        <v>270</v>
      </c>
      <c r="H223" s="2" t="s">
        <v>253</v>
      </c>
      <c r="I223" s="2" t="s">
        <v>102</v>
      </c>
      <c r="O223" s="2" t="str">
        <f>_xlfn.LET(_xlpm.x, _xlfn.XLOOKUP(B223,Sheet3!N:N,Sheet3!O:O,""), IF(_xlpm.x=0,"",_xlpm.x))</f>
        <v>昌宁县公安局</v>
      </c>
      <c r="P223" s="77" t="s">
        <v>7279</v>
      </c>
      <c r="Q223" s="2" t="s">
        <v>569</v>
      </c>
      <c r="R223" s="2" t="s">
        <v>33</v>
      </c>
      <c r="S223" s="2">
        <v>14708752902</v>
      </c>
      <c r="T223" s="2" t="s">
        <v>244</v>
      </c>
      <c r="V223" s="2" t="str">
        <f>_xlfn.LET(_xlpm.x, _xlfn.XLOOKUP(X223,家庭成员!J:J,家庭成员!D:D,""), IF(_xlpm.x=0,"",_xlpm.x))</f>
        <v/>
      </c>
      <c r="W223" s="2" t="str">
        <f>_xlfn.LET(_xlpm.x, _xlfn.XLOOKUP(X223,家庭成员!J:J,家庭成员!C:C,""), IF(_xlpm.x=0,"",_xlpm.x))</f>
        <v/>
      </c>
      <c r="X223" s="2" t="s">
        <v>244</v>
      </c>
      <c r="Y223" s="2" t="s">
        <v>34</v>
      </c>
    </row>
    <row r="224" spans="1:25" ht="15.6" x14ac:dyDescent="0.25">
      <c r="A224" s="8" t="s">
        <v>579</v>
      </c>
      <c r="B224" s="8" t="s">
        <v>582</v>
      </c>
      <c r="C224" s="2" t="str">
        <f>_xlfn.XLOOKUP(B224,[1]Sheet2!BF:BF, [1]Sheet2!C:C, "")</f>
        <v>男</v>
      </c>
      <c r="D224" s="10" t="s">
        <v>3762</v>
      </c>
      <c r="E224" s="2" t="s">
        <v>27</v>
      </c>
      <c r="F224" s="2" t="s">
        <v>272</v>
      </c>
      <c r="G224" s="2" t="s">
        <v>270</v>
      </c>
      <c r="H224" s="2" t="s">
        <v>253</v>
      </c>
      <c r="I224" s="2" t="s">
        <v>102</v>
      </c>
      <c r="O224" s="2" t="str">
        <f>_xlfn.LET(_xlpm.x, _xlfn.XLOOKUP(B224,Sheet3!N:N,Sheet3!O:O,""), IF(_xlpm.x=0,"",_xlpm.x))</f>
        <v>镇雄县公安局</v>
      </c>
      <c r="P224" s="77" t="s">
        <v>7280</v>
      </c>
      <c r="Q224" s="2" t="s">
        <v>583</v>
      </c>
      <c r="R224" s="2" t="s">
        <v>33</v>
      </c>
      <c r="S224" s="2">
        <v>19387023362</v>
      </c>
      <c r="T224" s="2" t="s">
        <v>244</v>
      </c>
      <c r="V224" s="2" t="str">
        <f>_xlfn.LET(_xlpm.x, _xlfn.XLOOKUP(X224,家庭成员!J:J,家庭成员!D:D,""), IF(_xlpm.x=0,"",_xlpm.x))</f>
        <v/>
      </c>
      <c r="W224" s="2" t="str">
        <f>_xlfn.LET(_xlpm.x, _xlfn.XLOOKUP(X224,家庭成员!J:J,家庭成员!C:C,""), IF(_xlpm.x=0,"",_xlpm.x))</f>
        <v/>
      </c>
      <c r="X224" s="2" t="s">
        <v>244</v>
      </c>
      <c r="Y224" s="2" t="s">
        <v>34</v>
      </c>
    </row>
    <row r="225" spans="1:25" ht="15.6" x14ac:dyDescent="0.25">
      <c r="A225" s="8" t="s">
        <v>2765</v>
      </c>
      <c r="B225" s="8" t="s">
        <v>2768</v>
      </c>
      <c r="C225" s="2" t="str">
        <f>_xlfn.XLOOKUP(B225,[1]Sheet2!BF:BF, [1]Sheet2!C:C, "")</f>
        <v>男</v>
      </c>
      <c r="D225" s="10" t="s">
        <v>3738</v>
      </c>
      <c r="E225" s="2" t="s">
        <v>27</v>
      </c>
      <c r="F225" s="2" t="s">
        <v>119</v>
      </c>
      <c r="G225" s="2" t="s">
        <v>270</v>
      </c>
      <c r="H225" s="2" t="s">
        <v>29</v>
      </c>
      <c r="I225" s="2" t="s">
        <v>102</v>
      </c>
      <c r="O225" s="2" t="str">
        <f>_xlfn.LET(_xlpm.x, _xlfn.XLOOKUP(B225,Sheet3!N:N,Sheet3!O:O,""), IF(_xlpm.x=0,"",_xlpm.x))</f>
        <v>昭通市公安局昭阳分局</v>
      </c>
      <c r="P225" s="77" t="s">
        <v>7179</v>
      </c>
      <c r="Q225" s="2" t="s">
        <v>2345</v>
      </c>
      <c r="R225" s="2" t="s">
        <v>33</v>
      </c>
      <c r="S225" s="2">
        <v>15287134060</v>
      </c>
      <c r="T225" s="2" t="s">
        <v>244</v>
      </c>
      <c r="V225" s="2" t="str">
        <f>_xlfn.LET(_xlpm.x, _xlfn.XLOOKUP(X225,家庭成员!J:J,家庭成员!D:D,""), IF(_xlpm.x=0,"",_xlpm.x))</f>
        <v>王行锦</v>
      </c>
      <c r="W225" s="2" t="str">
        <f>_xlfn.LET(_xlpm.x, _xlfn.XLOOKUP(X225,家庭成员!J:J,家庭成员!C:C,""), IF(_xlpm.x=0,"",_xlpm.x))</f>
        <v>妻子</v>
      </c>
      <c r="X225" s="2" t="s">
        <v>2771</v>
      </c>
      <c r="Y225" s="2" t="s">
        <v>34</v>
      </c>
    </row>
    <row r="226" spans="1:25" ht="15.6" x14ac:dyDescent="0.25">
      <c r="A226" s="8" t="s">
        <v>2496</v>
      </c>
      <c r="B226" s="8" t="s">
        <v>2500</v>
      </c>
      <c r="C226" s="2" t="str">
        <f>_xlfn.XLOOKUP(B226,[1]Sheet2!BF:BF, [1]Sheet2!C:C, "")</f>
        <v>男</v>
      </c>
      <c r="D226" s="10" t="s">
        <v>3618</v>
      </c>
      <c r="E226" s="2" t="s">
        <v>27</v>
      </c>
      <c r="F226" s="2" t="s">
        <v>119</v>
      </c>
      <c r="G226" s="2" t="s">
        <v>474</v>
      </c>
      <c r="H226" s="2" t="s">
        <v>29</v>
      </c>
      <c r="I226" s="2" t="s">
        <v>102</v>
      </c>
      <c r="O226" s="2" t="str">
        <f>_xlfn.LET(_xlpm.x, _xlfn.XLOOKUP(B226,Sheet3!N:N,Sheet3!O:O,""), IF(_xlpm.x=0,"",_xlpm.x))</f>
        <v>鲁甸县公安局</v>
      </c>
      <c r="P226" s="77" t="s">
        <v>7281</v>
      </c>
      <c r="Q226" s="2" t="s">
        <v>2501</v>
      </c>
      <c r="R226" s="2" t="s">
        <v>33</v>
      </c>
      <c r="S226" s="2">
        <v>13529290631</v>
      </c>
      <c r="T226" s="2" t="s">
        <v>2497</v>
      </c>
      <c r="V226" s="2" t="str">
        <f>_xlfn.LET(_xlpm.x, _xlfn.XLOOKUP(X226,家庭成员!J:J,家庭成员!D:D,""), IF(_xlpm.x=0,"",_xlpm.x))</f>
        <v>王跃德</v>
      </c>
      <c r="W226" s="2" t="str">
        <f>_xlfn.LET(_xlpm.x, _xlfn.XLOOKUP(X226,家庭成员!J:J,家庭成员!C:C,""), IF(_xlpm.x=0,"",_xlpm.x))</f>
        <v>父亲</v>
      </c>
      <c r="X226" s="2" t="s">
        <v>2503</v>
      </c>
      <c r="Y226" s="2" t="s">
        <v>34</v>
      </c>
    </row>
    <row r="227" spans="1:25" ht="15.6" x14ac:dyDescent="0.25">
      <c r="A227" s="8" t="s">
        <v>3544</v>
      </c>
      <c r="B227" s="8" t="s">
        <v>3548</v>
      </c>
      <c r="C227" s="2" t="str">
        <f>_xlfn.XLOOKUP(B227,[1]Sheet2!BF:BF, [1]Sheet2!C:C, "")</f>
        <v>女</v>
      </c>
      <c r="D227" s="10" t="s">
        <v>3631</v>
      </c>
      <c r="E227" s="2" t="s">
        <v>27</v>
      </c>
      <c r="F227" s="2" t="s">
        <v>119</v>
      </c>
      <c r="G227" s="2" t="s">
        <v>270</v>
      </c>
      <c r="H227" s="2" t="s">
        <v>29</v>
      </c>
      <c r="I227" s="2" t="s">
        <v>102</v>
      </c>
      <c r="O227" s="2" t="str">
        <f>_xlfn.LET(_xlpm.x, _xlfn.XLOOKUP(B227,Sheet3!N:N,Sheet3!O:O,""), IF(_xlpm.x=0,"",_xlpm.x))</f>
        <v>巧家县公安局</v>
      </c>
      <c r="P227" s="77" t="s">
        <v>7282</v>
      </c>
      <c r="Q227" s="2" t="s">
        <v>3549</v>
      </c>
      <c r="R227" s="2" t="s">
        <v>33</v>
      </c>
      <c r="S227" s="2">
        <v>13759137889</v>
      </c>
      <c r="T227" s="2" t="s">
        <v>244</v>
      </c>
      <c r="V227" s="2" t="str">
        <f>_xlfn.LET(_xlpm.x, _xlfn.XLOOKUP(X227,家庭成员!J:J,家庭成员!D:D,""), IF(_xlpm.x=0,"",_xlpm.x))</f>
        <v>姚飞</v>
      </c>
      <c r="W227" s="2" t="str">
        <f>_xlfn.LET(_xlpm.x, _xlfn.XLOOKUP(X227,家庭成员!J:J,家庭成员!C:C,""), IF(_xlpm.x=0,"",_xlpm.x))</f>
        <v>丈夫</v>
      </c>
      <c r="X227" s="2" t="s">
        <v>3551</v>
      </c>
      <c r="Y227" s="2" t="s">
        <v>34</v>
      </c>
    </row>
    <row r="228" spans="1:25" ht="15.6" x14ac:dyDescent="0.25">
      <c r="A228" s="8" t="s">
        <v>3285</v>
      </c>
      <c r="B228" s="8" t="s">
        <v>3288</v>
      </c>
      <c r="C228" s="2" t="str">
        <f>_xlfn.XLOOKUP(B228,[1]Sheet2!BF:BF, [1]Sheet2!C:C, "")</f>
        <v>女</v>
      </c>
      <c r="D228" s="10" t="s">
        <v>3789</v>
      </c>
      <c r="E228" s="2" t="s">
        <v>27</v>
      </c>
      <c r="F228" s="2" t="s">
        <v>119</v>
      </c>
      <c r="G228" s="2" t="s">
        <v>293</v>
      </c>
      <c r="H228" s="2" t="s">
        <v>29</v>
      </c>
      <c r="I228" s="2" t="s">
        <v>102</v>
      </c>
      <c r="O228" s="2" t="str">
        <f>_xlfn.LET(_xlpm.x, _xlfn.XLOOKUP(B228,Sheet3!N:N,Sheet3!O:O,""), IF(_xlpm.x=0,"",_xlpm.x))</f>
        <v>富民县公安局</v>
      </c>
      <c r="P228" s="77" t="s">
        <v>7283</v>
      </c>
      <c r="Q228" s="2" t="s">
        <v>3289</v>
      </c>
      <c r="R228" s="2" t="s">
        <v>33</v>
      </c>
      <c r="S228" s="2">
        <v>13618719505</v>
      </c>
      <c r="T228" s="2" t="s">
        <v>244</v>
      </c>
      <c r="V228" s="2" t="str">
        <f>_xlfn.LET(_xlpm.x, _xlfn.XLOOKUP(X228,家庭成员!J:J,家庭成员!D:D,""), IF(_xlpm.x=0,"",_xlpm.x))</f>
        <v>康会忠</v>
      </c>
      <c r="W228" s="2" t="str">
        <f>_xlfn.LET(_xlpm.x, _xlfn.XLOOKUP(X228,家庭成员!J:J,家庭成员!C:C,""), IF(_xlpm.x=0,"",_xlpm.x))</f>
        <v>丈夫</v>
      </c>
      <c r="X228" s="2" t="s">
        <v>3292</v>
      </c>
      <c r="Y228" s="2" t="s">
        <v>34</v>
      </c>
    </row>
    <row r="229" spans="1:25" ht="15.6" x14ac:dyDescent="0.25">
      <c r="A229" s="8" t="s">
        <v>3025</v>
      </c>
      <c r="B229" s="8" t="s">
        <v>3028</v>
      </c>
      <c r="C229" s="2" t="str">
        <f>_xlfn.XLOOKUP(B229,[1]Sheet2!BF:BF, [1]Sheet2!C:C, "")</f>
        <v>女</v>
      </c>
      <c r="D229" s="10" t="s">
        <v>3790</v>
      </c>
      <c r="E229" s="2" t="s">
        <v>27</v>
      </c>
      <c r="F229" s="2" t="s">
        <v>119</v>
      </c>
      <c r="G229" s="2" t="s">
        <v>252</v>
      </c>
      <c r="H229" s="2" t="s">
        <v>29</v>
      </c>
      <c r="I229" s="2" t="s">
        <v>102</v>
      </c>
      <c r="O229" s="2" t="str">
        <f>_xlfn.LET(_xlpm.x, _xlfn.XLOOKUP(B229,Sheet3!N:N,Sheet3!O:O,""), IF(_xlpm.x=0,"",_xlpm.x))</f>
        <v>富民县公安局</v>
      </c>
      <c r="P229" s="77" t="s">
        <v>7284</v>
      </c>
      <c r="Q229" s="2" t="s">
        <v>3029</v>
      </c>
      <c r="R229" s="2" t="s">
        <v>33</v>
      </c>
      <c r="S229" s="2">
        <v>13678707031</v>
      </c>
      <c r="T229" s="2" t="s">
        <v>244</v>
      </c>
      <c r="V229" s="2" t="str">
        <f>_xlfn.LET(_xlpm.x, _xlfn.XLOOKUP(X229,家庭成员!J:J,家庭成员!D:D,""), IF(_xlpm.x=0,"",_xlpm.x))</f>
        <v>赵永</v>
      </c>
      <c r="W229" s="2" t="str">
        <f>_xlfn.LET(_xlpm.x, _xlfn.XLOOKUP(X229,家庭成员!J:J,家庭成员!C:C,""), IF(_xlpm.x=0,"",_xlpm.x))</f>
        <v>丈夫</v>
      </c>
      <c r="X229" s="2" t="s">
        <v>3034</v>
      </c>
      <c r="Y229" s="2" t="s">
        <v>34</v>
      </c>
    </row>
    <row r="230" spans="1:25" ht="15.6" x14ac:dyDescent="0.25">
      <c r="A230" s="8" t="s">
        <v>351</v>
      </c>
      <c r="B230" s="8" t="s">
        <v>363</v>
      </c>
      <c r="C230" s="2" t="str">
        <f>_xlfn.XLOOKUP(B230,[1]Sheet2!BF:BF, [1]Sheet2!C:C, "")</f>
        <v>女</v>
      </c>
      <c r="D230" s="10" t="s">
        <v>3743</v>
      </c>
      <c r="E230" s="2" t="s">
        <v>27</v>
      </c>
      <c r="F230" s="2" t="s">
        <v>272</v>
      </c>
      <c r="G230" s="2" t="s">
        <v>270</v>
      </c>
      <c r="H230" s="2" t="s">
        <v>253</v>
      </c>
      <c r="I230" s="2" t="s">
        <v>102</v>
      </c>
      <c r="O230" s="2" t="str">
        <f>_xlfn.LET(_xlpm.x, _xlfn.XLOOKUP(B230,Sheet3!N:N,Sheet3!O:O,""), IF(_xlpm.x=0,"",_xlpm.x))</f>
        <v>盐津县公安局</v>
      </c>
      <c r="P230" s="77" t="s">
        <v>7285</v>
      </c>
      <c r="Q230" s="2" t="s">
        <v>364</v>
      </c>
      <c r="R230" s="2" t="s">
        <v>33</v>
      </c>
      <c r="S230" s="2">
        <v>15126630791</v>
      </c>
      <c r="T230" s="2" t="s">
        <v>244</v>
      </c>
      <c r="V230" s="2" t="str">
        <f>_xlfn.LET(_xlpm.x, _xlfn.XLOOKUP(X230,家庭成员!J:J,家庭成员!D:D,""), IF(_xlpm.x=0,"",_xlpm.x))</f>
        <v/>
      </c>
      <c r="W230" s="2" t="str">
        <f>_xlfn.LET(_xlpm.x, _xlfn.XLOOKUP(X230,家庭成员!J:J,家庭成员!C:C,""), IF(_xlpm.x=0,"",_xlpm.x))</f>
        <v/>
      </c>
      <c r="X230" s="2"/>
      <c r="Y230" s="2" t="s">
        <v>34</v>
      </c>
    </row>
    <row r="231" spans="1:25" ht="15.6" x14ac:dyDescent="0.25">
      <c r="A231" s="8" t="s">
        <v>2231</v>
      </c>
      <c r="B231" s="8" t="s">
        <v>2235</v>
      </c>
      <c r="C231" s="2" t="str">
        <f>_xlfn.XLOOKUP(B231,[1]Sheet2!BF:BF, [1]Sheet2!C:C, "")</f>
        <v>男</v>
      </c>
      <c r="D231" s="10" t="s">
        <v>3791</v>
      </c>
      <c r="E231" s="2" t="s">
        <v>27</v>
      </c>
      <c r="F231" s="2" t="s">
        <v>28</v>
      </c>
      <c r="G231" s="2" t="s">
        <v>252</v>
      </c>
      <c r="H231" s="2" t="s">
        <v>29</v>
      </c>
      <c r="I231" s="2" t="s">
        <v>102</v>
      </c>
      <c r="O231" s="2" t="str">
        <f>_xlfn.LET(_xlpm.x, _xlfn.XLOOKUP(B231,Sheet3!N:N,Sheet3!O:O,""), IF(_xlpm.x=0,"",_xlpm.x))</f>
        <v>昆明市公安局盘龙分局</v>
      </c>
      <c r="P231" s="77" t="s">
        <v>7243</v>
      </c>
      <c r="Q231" s="2" t="s">
        <v>2236</v>
      </c>
      <c r="R231" s="2" t="s">
        <v>33</v>
      </c>
      <c r="S231" s="2">
        <v>13987139685</v>
      </c>
      <c r="T231" s="2" t="s">
        <v>244</v>
      </c>
      <c r="V231" s="2" t="str">
        <f>_xlfn.LET(_xlpm.x, _xlfn.XLOOKUP(X231,家庭成员!J:J,家庭成员!D:D,""), IF(_xlpm.x=0,"",_xlpm.x))</f>
        <v/>
      </c>
      <c r="W231" s="2" t="str">
        <f>_xlfn.LET(_xlpm.x, _xlfn.XLOOKUP(X231,家庭成员!J:J,家庭成员!C:C,""), IF(_xlpm.x=0,"",_xlpm.x))</f>
        <v/>
      </c>
      <c r="X231" s="2" t="s">
        <v>244</v>
      </c>
      <c r="Y231" s="2" t="s">
        <v>34</v>
      </c>
    </row>
    <row r="232" spans="1:25" ht="15.6" x14ac:dyDescent="0.25">
      <c r="A232" s="8" t="s">
        <v>2880</v>
      </c>
      <c r="B232" s="8" t="s">
        <v>2885</v>
      </c>
      <c r="C232" s="2" t="str">
        <f>_xlfn.XLOOKUP(B232,[1]Sheet2!BF:BF, [1]Sheet2!C:C, "")</f>
        <v>男</v>
      </c>
      <c r="D232" s="10" t="s">
        <v>3792</v>
      </c>
      <c r="E232" s="2" t="s">
        <v>27</v>
      </c>
      <c r="F232" s="2" t="s">
        <v>119</v>
      </c>
      <c r="G232" s="2" t="s">
        <v>270</v>
      </c>
      <c r="H232" s="2" t="s">
        <v>29</v>
      </c>
      <c r="I232" s="2" t="s">
        <v>102</v>
      </c>
      <c r="O232" s="2" t="str">
        <f>_xlfn.LET(_xlpm.x, _xlfn.XLOOKUP(B232,Sheet3!N:N,Sheet3!O:O,""), IF(_xlpm.x=0,"",_xlpm.x))</f>
        <v>大关县公安局</v>
      </c>
      <c r="P232" s="77" t="s">
        <v>7286</v>
      </c>
      <c r="Q232" s="2" t="s">
        <v>2886</v>
      </c>
      <c r="R232" s="2" t="s">
        <v>33</v>
      </c>
      <c r="S232" s="2">
        <v>15987133070</v>
      </c>
      <c r="T232" s="2" t="s">
        <v>244</v>
      </c>
      <c r="V232" s="2" t="str">
        <f>_xlfn.LET(_xlpm.x, _xlfn.XLOOKUP(X232,家庭成员!J:J,家庭成员!D:D,""), IF(_xlpm.x=0,"",_xlpm.x))</f>
        <v>刘照婷</v>
      </c>
      <c r="W232" s="2" t="str">
        <f>_xlfn.LET(_xlpm.x, _xlfn.XLOOKUP(X232,家庭成员!J:J,家庭成员!C:C,""), IF(_xlpm.x=0,"",_xlpm.x))</f>
        <v>妻子</v>
      </c>
      <c r="X232" s="2" t="s">
        <v>2888</v>
      </c>
      <c r="Y232" s="2" t="s">
        <v>34</v>
      </c>
    </row>
    <row r="233" spans="1:25" ht="15.6" x14ac:dyDescent="0.25">
      <c r="A233" s="8" t="s">
        <v>1707</v>
      </c>
      <c r="B233" s="8" t="s">
        <v>1712</v>
      </c>
      <c r="C233" s="2" t="str">
        <f>_xlfn.XLOOKUP(B233,[1]Sheet2!BF:BF, [1]Sheet2!C:C, "")</f>
        <v>男</v>
      </c>
      <c r="D233" s="10" t="s">
        <v>3793</v>
      </c>
      <c r="E233" s="2" t="s">
        <v>27</v>
      </c>
      <c r="F233" s="2" t="s">
        <v>119</v>
      </c>
      <c r="G233" s="2" t="s">
        <v>252</v>
      </c>
      <c r="H233" s="2" t="s">
        <v>29</v>
      </c>
      <c r="I233" s="2" t="s">
        <v>102</v>
      </c>
      <c r="O233" s="2" t="str">
        <f>_xlfn.LET(_xlpm.x, _xlfn.XLOOKUP(B233,Sheet3!N:N,Sheet3!O:O,""), IF(_xlpm.x=0,"",_xlpm.x))</f>
        <v>昆明市公安局五华分局</v>
      </c>
      <c r="P233" s="77" t="s">
        <v>1932</v>
      </c>
      <c r="Q233" s="2" t="s">
        <v>1713</v>
      </c>
      <c r="R233" s="2" t="s">
        <v>33</v>
      </c>
      <c r="S233" s="2">
        <v>18669017035</v>
      </c>
      <c r="T233" s="2" t="s">
        <v>244</v>
      </c>
      <c r="V233" s="2" t="str">
        <f>_xlfn.LET(_xlpm.x, _xlfn.XLOOKUP(X233,家庭成员!J:J,家庭成员!D:D,""), IF(_xlpm.x=0,"",_xlpm.x))</f>
        <v/>
      </c>
      <c r="W233" s="2" t="str">
        <f>_xlfn.LET(_xlpm.x, _xlfn.XLOOKUP(X233,家庭成员!J:J,家庭成员!C:C,""), IF(_xlpm.x=0,"",_xlpm.x))</f>
        <v/>
      </c>
      <c r="X233" s="2" t="s">
        <v>244</v>
      </c>
      <c r="Y233" s="2" t="s">
        <v>34</v>
      </c>
    </row>
    <row r="234" spans="1:25" ht="15.6" x14ac:dyDescent="0.25">
      <c r="A234" s="8" t="s">
        <v>1870</v>
      </c>
      <c r="B234" s="8" t="s">
        <v>1874</v>
      </c>
      <c r="C234" s="2" t="str">
        <f>_xlfn.XLOOKUP(B234,[1]Sheet2!BF:BF, [1]Sheet2!C:C, "")</f>
        <v>男</v>
      </c>
      <c r="D234" s="10" t="s">
        <v>3753</v>
      </c>
      <c r="E234" s="2" t="s">
        <v>27</v>
      </c>
      <c r="F234" s="2" t="s">
        <v>119</v>
      </c>
      <c r="G234" s="2" t="s">
        <v>474</v>
      </c>
      <c r="H234" s="2" t="s">
        <v>29</v>
      </c>
      <c r="I234" s="2" t="s">
        <v>102</v>
      </c>
      <c r="O234" s="2" t="str">
        <f>_xlfn.LET(_xlpm.x, _xlfn.XLOOKUP(B234,Sheet3!N:N,Sheet3!O:O,""), IF(_xlpm.x=0,"",_xlpm.x))</f>
        <v>襄阳市公安局樊城分局</v>
      </c>
      <c r="P234" s="77" t="s">
        <v>7287</v>
      </c>
      <c r="Q234" s="2" t="s">
        <v>1875</v>
      </c>
      <c r="R234" s="2" t="s">
        <v>33</v>
      </c>
      <c r="S234" s="2">
        <v>18725170232</v>
      </c>
      <c r="T234" s="2" t="s">
        <v>244</v>
      </c>
      <c r="V234" s="2" t="str">
        <f>_xlfn.LET(_xlpm.x, _xlfn.XLOOKUP(X234,家庭成员!J:J,家庭成员!D:D,""), IF(_xlpm.x=0,"",_xlpm.x))</f>
        <v/>
      </c>
      <c r="W234" s="2" t="str">
        <f>_xlfn.LET(_xlpm.x, _xlfn.XLOOKUP(X234,家庭成员!J:J,家庭成员!C:C,""), IF(_xlpm.x=0,"",_xlpm.x))</f>
        <v/>
      </c>
      <c r="X234" s="2" t="s">
        <v>244</v>
      </c>
      <c r="Y234" s="2" t="s">
        <v>34</v>
      </c>
    </row>
    <row r="235" spans="1:25" ht="15.6" x14ac:dyDescent="0.25">
      <c r="A235" s="8" t="s">
        <v>2399</v>
      </c>
      <c r="B235" s="8" t="s">
        <v>2404</v>
      </c>
      <c r="C235" s="2" t="str">
        <f>_xlfn.XLOOKUP(B235,[1]Sheet2!BF:BF, [1]Sheet2!C:C, "")</f>
        <v>男</v>
      </c>
      <c r="D235" s="10" t="s">
        <v>3703</v>
      </c>
      <c r="E235" s="2" t="s">
        <v>27</v>
      </c>
      <c r="F235" s="2" t="s">
        <v>119</v>
      </c>
      <c r="G235" s="2" t="s">
        <v>270</v>
      </c>
      <c r="H235" s="2" t="s">
        <v>29</v>
      </c>
      <c r="I235" s="2" t="s">
        <v>102</v>
      </c>
      <c r="O235" s="2" t="str">
        <f>_xlfn.LET(_xlpm.x, _xlfn.XLOOKUP(B235,Sheet3!N:N,Sheet3!O:O,""), IF(_xlpm.x=0,"",_xlpm.x))</f>
        <v>永善县公安局</v>
      </c>
      <c r="P235" s="77" t="s">
        <v>7288</v>
      </c>
      <c r="Q235" s="2" t="s">
        <v>2405</v>
      </c>
      <c r="R235" s="2" t="s">
        <v>33</v>
      </c>
      <c r="S235" s="2">
        <v>13354620129</v>
      </c>
      <c r="T235" s="2" t="s">
        <v>2400</v>
      </c>
      <c r="V235" s="2" t="str">
        <f>_xlfn.LET(_xlpm.x, _xlfn.XLOOKUP(X235,家庭成员!J:J,家庭成员!D:D,""), IF(_xlpm.x=0,"",_xlpm.x))</f>
        <v>赵华</v>
      </c>
      <c r="W235" s="2" t="str">
        <f>_xlfn.LET(_xlpm.x, _xlfn.XLOOKUP(X235,家庭成员!J:J,家庭成员!C:C,""), IF(_xlpm.x=0,"",_xlpm.x))</f>
        <v>父亲</v>
      </c>
      <c r="X235" s="2" t="s">
        <v>2407</v>
      </c>
      <c r="Y235" s="2" t="s">
        <v>34</v>
      </c>
    </row>
    <row r="236" spans="1:25" ht="15.6" x14ac:dyDescent="0.25">
      <c r="A236" s="8" t="s">
        <v>2545</v>
      </c>
      <c r="B236" s="8" t="s">
        <v>2550</v>
      </c>
      <c r="C236" s="2" t="str">
        <f>_xlfn.XLOOKUP(B236,[1]Sheet2!BF:BF, [1]Sheet2!C:C, "")</f>
        <v>女</v>
      </c>
      <c r="D236" s="10" t="s">
        <v>3794</v>
      </c>
      <c r="E236" s="2" t="s">
        <v>27</v>
      </c>
      <c r="F236" s="2" t="s">
        <v>119</v>
      </c>
      <c r="G236" s="2" t="s">
        <v>474</v>
      </c>
      <c r="H236" s="2" t="s">
        <v>29</v>
      </c>
      <c r="I236" s="2" t="s">
        <v>102</v>
      </c>
      <c r="O236" s="2" t="str">
        <f>_xlfn.LET(_xlpm.x, _xlfn.XLOOKUP(B236,Sheet3!N:N,Sheet3!O:O,""), IF(_xlpm.x=0,"",_xlpm.x))</f>
        <v>富民县公安局</v>
      </c>
      <c r="P236" s="77" t="s">
        <v>7289</v>
      </c>
      <c r="Q236" s="2" t="s">
        <v>2551</v>
      </c>
      <c r="R236" s="2" t="s">
        <v>33</v>
      </c>
      <c r="S236" s="2">
        <v>13508805232</v>
      </c>
      <c r="T236" s="2" t="s">
        <v>2546</v>
      </c>
      <c r="V236" s="2" t="str">
        <f>_xlfn.LET(_xlpm.x, _xlfn.XLOOKUP(X236,家庭成员!J:J,家庭成员!D:D,""), IF(_xlpm.x=0,"",_xlpm.x))</f>
        <v>陈跃</v>
      </c>
      <c r="W236" s="2" t="str">
        <f>_xlfn.LET(_xlpm.x, _xlfn.XLOOKUP(X236,家庭成员!J:J,家庭成员!C:C,""), IF(_xlpm.x=0,"",_xlpm.x))</f>
        <v>丈夫</v>
      </c>
      <c r="X236" s="2" t="s">
        <v>2553</v>
      </c>
      <c r="Y236" s="2" t="s">
        <v>34</v>
      </c>
    </row>
    <row r="237" spans="1:25" ht="15.6" x14ac:dyDescent="0.25">
      <c r="A237" s="8" t="s">
        <v>2953</v>
      </c>
      <c r="B237" s="8" t="s">
        <v>2957</v>
      </c>
      <c r="C237" s="2" t="str">
        <f>_xlfn.XLOOKUP(B237,[1]Sheet2!BF:BF, [1]Sheet2!C:C, "")</f>
        <v>男</v>
      </c>
      <c r="D237" s="10" t="s">
        <v>3795</v>
      </c>
      <c r="E237" s="2" t="s">
        <v>27</v>
      </c>
      <c r="F237" s="2" t="s">
        <v>119</v>
      </c>
      <c r="G237" s="2" t="s">
        <v>474</v>
      </c>
      <c r="H237" s="2" t="s">
        <v>29</v>
      </c>
      <c r="I237" s="2" t="s">
        <v>102</v>
      </c>
      <c r="O237" s="2" t="str">
        <f>_xlfn.LET(_xlpm.x, _xlfn.XLOOKUP(B237,Sheet3!N:N,Sheet3!O:O,""), IF(_xlpm.x=0,"",_xlpm.x))</f>
        <v>昆明市公安局五华分局</v>
      </c>
      <c r="P237" s="77" t="s">
        <v>7290</v>
      </c>
      <c r="Q237" s="2" t="s">
        <v>2958</v>
      </c>
      <c r="R237" s="2" t="s">
        <v>33</v>
      </c>
      <c r="S237" s="2">
        <v>13708708639</v>
      </c>
      <c r="T237" s="2" t="s">
        <v>244</v>
      </c>
      <c r="V237" s="2" t="str">
        <f>_xlfn.LET(_xlpm.x, _xlfn.XLOOKUP(X237,家庭成员!J:J,家庭成员!D:D,""), IF(_xlpm.x=0,"",_xlpm.x))</f>
        <v>张光富</v>
      </c>
      <c r="W237" s="2" t="str">
        <f>_xlfn.LET(_xlpm.x, _xlfn.XLOOKUP(X237,家庭成员!J:J,家庭成员!C:C,""), IF(_xlpm.x=0,"",_xlpm.x))</f>
        <v>父亲</v>
      </c>
      <c r="X237" s="2" t="s">
        <v>2961</v>
      </c>
      <c r="Y237" s="2" t="s">
        <v>34</v>
      </c>
    </row>
    <row r="238" spans="1:25" ht="15.6" x14ac:dyDescent="0.25">
      <c r="A238" s="8" t="s">
        <v>2133</v>
      </c>
      <c r="B238" s="8" t="s">
        <v>2138</v>
      </c>
      <c r="C238" s="2" t="str">
        <f>_xlfn.XLOOKUP(B238,[1]Sheet2!BF:BF, [1]Sheet2!C:C, "")</f>
        <v>男</v>
      </c>
      <c r="D238" s="10" t="s">
        <v>3794</v>
      </c>
      <c r="E238" s="2" t="s">
        <v>27</v>
      </c>
      <c r="F238" s="2" t="s">
        <v>119</v>
      </c>
      <c r="G238" s="2" t="s">
        <v>270</v>
      </c>
      <c r="H238" s="2" t="s">
        <v>253</v>
      </c>
      <c r="I238" s="2" t="s">
        <v>102</v>
      </c>
      <c r="O238" s="2" t="str">
        <f>_xlfn.LET(_xlpm.x, _xlfn.XLOOKUP(B238,Sheet3!N:N,Sheet3!O:O,""), IF(_xlpm.x=0,"",_xlpm.x))</f>
        <v>镇雄县公安局</v>
      </c>
      <c r="P238" s="77" t="s">
        <v>7291</v>
      </c>
      <c r="Q238" s="2" t="s">
        <v>2139</v>
      </c>
      <c r="R238" s="2" t="s">
        <v>33</v>
      </c>
      <c r="S238" s="2">
        <v>15208702687</v>
      </c>
      <c r="T238" s="2" t="s">
        <v>2134</v>
      </c>
      <c r="V238" s="2" t="str">
        <f>_xlfn.LET(_xlpm.x, _xlfn.XLOOKUP(X238,家庭成员!J:J,家庭成员!D:D,""), IF(_xlpm.x=0,"",_xlpm.x))</f>
        <v/>
      </c>
      <c r="W238" s="2" t="str">
        <f>_xlfn.LET(_xlpm.x, _xlfn.XLOOKUP(X238,家庭成员!J:J,家庭成员!C:C,""), IF(_xlpm.x=0,"",_xlpm.x))</f>
        <v/>
      </c>
      <c r="X238" s="2" t="s">
        <v>244</v>
      </c>
      <c r="Y238" s="2" t="s">
        <v>34</v>
      </c>
    </row>
    <row r="239" spans="1:25" ht="15.6" x14ac:dyDescent="0.25">
      <c r="A239" s="8" t="s">
        <v>1218</v>
      </c>
      <c r="B239" s="8" t="s">
        <v>2990</v>
      </c>
      <c r="C239" s="2" t="str">
        <f>_xlfn.XLOOKUP(B239,[1]Sheet2!BF:BF, [1]Sheet2!C:C, "")</f>
        <v>男</v>
      </c>
      <c r="D239" s="10" t="s">
        <v>3796</v>
      </c>
      <c r="E239" s="2" t="s">
        <v>27</v>
      </c>
      <c r="F239" s="2" t="s">
        <v>119</v>
      </c>
      <c r="G239" s="2" t="s">
        <v>252</v>
      </c>
      <c r="H239" s="2" t="s">
        <v>29</v>
      </c>
      <c r="I239" s="2" t="s">
        <v>102</v>
      </c>
      <c r="O239" s="2" t="str">
        <f>_xlfn.LET(_xlpm.x, _xlfn.XLOOKUP(B239,Sheet3!N:N,Sheet3!O:O,""), IF(_xlpm.x=0,"",_xlpm.x))</f>
        <v>富民县公安局</v>
      </c>
      <c r="P239" s="77" t="s">
        <v>7292</v>
      </c>
      <c r="Q239" s="2" t="s">
        <v>2991</v>
      </c>
      <c r="R239" s="2" t="s">
        <v>33</v>
      </c>
      <c r="S239" s="2">
        <v>15908841063</v>
      </c>
      <c r="T239" s="2" t="s">
        <v>2985</v>
      </c>
      <c r="V239" s="2" t="str">
        <f>_xlfn.LET(_xlpm.x, _xlfn.XLOOKUP(X239,家庭成员!J:J,家庭成员!D:D,""), IF(_xlpm.x=0,"",_xlpm.x))</f>
        <v>刘邦禄</v>
      </c>
      <c r="W239" s="2" t="str">
        <f>_xlfn.LET(_xlpm.x, _xlfn.XLOOKUP(X239,家庭成员!J:J,家庭成员!C:C,""), IF(_xlpm.x=0,"",_xlpm.x))</f>
        <v>父亲</v>
      </c>
      <c r="X239" s="2" t="s">
        <v>2994</v>
      </c>
      <c r="Y239" s="2" t="s">
        <v>34</v>
      </c>
    </row>
    <row r="240" spans="1:25" ht="15.6" x14ac:dyDescent="0.25">
      <c r="A240" s="8" t="s">
        <v>2294</v>
      </c>
      <c r="B240" s="8" t="s">
        <v>2298</v>
      </c>
      <c r="C240" s="2" t="str">
        <f>_xlfn.XLOOKUP(B240,[1]Sheet2!BF:BF, [1]Sheet2!C:C, "")</f>
        <v>男</v>
      </c>
      <c r="D240" s="10" t="s">
        <v>3752</v>
      </c>
      <c r="E240" s="2" t="s">
        <v>27</v>
      </c>
      <c r="F240" s="2" t="s">
        <v>119</v>
      </c>
      <c r="G240" s="2" t="s">
        <v>270</v>
      </c>
      <c r="H240" s="2" t="s">
        <v>29</v>
      </c>
      <c r="I240" s="2" t="s">
        <v>102</v>
      </c>
      <c r="O240" s="2" t="str">
        <f>_xlfn.LET(_xlpm.x, _xlfn.XLOOKUP(B240,Sheet3!N:N,Sheet3!O:O,""), IF(_xlpm.x=0,"",_xlpm.x))</f>
        <v>镇雄县公安局</v>
      </c>
      <c r="P240" s="77" t="s">
        <v>7293</v>
      </c>
      <c r="Q240" s="2" t="s">
        <v>2299</v>
      </c>
      <c r="R240" s="2" t="s">
        <v>33</v>
      </c>
      <c r="S240" s="2">
        <v>15087048490</v>
      </c>
      <c r="T240" s="2" t="s">
        <v>2295</v>
      </c>
      <c r="V240" s="2" t="str">
        <f>_xlfn.LET(_xlpm.x, _xlfn.XLOOKUP(X240,家庭成员!J:J,家庭成员!D:D,""), IF(_xlpm.x=0,"",_xlpm.x))</f>
        <v/>
      </c>
      <c r="W240" s="2" t="str">
        <f>_xlfn.LET(_xlpm.x, _xlfn.XLOOKUP(X240,家庭成员!J:J,家庭成员!C:C,""), IF(_xlpm.x=0,"",_xlpm.x))</f>
        <v/>
      </c>
      <c r="X240" s="2" t="s">
        <v>244</v>
      </c>
      <c r="Y240" s="2" t="s">
        <v>34</v>
      </c>
    </row>
    <row r="241" spans="1:25" ht="15.6" x14ac:dyDescent="0.25">
      <c r="A241" s="8" t="s">
        <v>2384</v>
      </c>
      <c r="B241" s="8" t="s">
        <v>2388</v>
      </c>
      <c r="C241" s="2" t="str">
        <f>_xlfn.XLOOKUP(B241,[1]Sheet2!BF:BF, [1]Sheet2!C:C, "")</f>
        <v>男</v>
      </c>
      <c r="D241" s="10" t="s">
        <v>3763</v>
      </c>
      <c r="E241" s="2" t="s">
        <v>27</v>
      </c>
      <c r="F241" s="2" t="s">
        <v>119</v>
      </c>
      <c r="G241" s="2" t="s">
        <v>270</v>
      </c>
      <c r="H241" s="2" t="s">
        <v>253</v>
      </c>
      <c r="I241" s="2" t="s">
        <v>102</v>
      </c>
      <c r="O241" s="2" t="str">
        <f>_xlfn.LET(_xlpm.x, _xlfn.XLOOKUP(B241,Sheet3!N:N,Sheet3!O:O,""), IF(_xlpm.x=0,"",_xlpm.x))</f>
        <v>镇雄县公安局</v>
      </c>
      <c r="P241" s="77" t="s">
        <v>7294</v>
      </c>
      <c r="Q241" s="2" t="s">
        <v>7368</v>
      </c>
      <c r="R241" s="2" t="s">
        <v>33</v>
      </c>
      <c r="S241" s="2">
        <v>15825281364</v>
      </c>
      <c r="T241" s="2" t="s">
        <v>244</v>
      </c>
      <c r="V241" s="2" t="str">
        <f>_xlfn.LET(_xlpm.x, _xlfn.XLOOKUP(X241,家庭成员!J:J,家庭成员!D:D,""), IF(_xlpm.x=0,"",_xlpm.x))</f>
        <v>魏怀田</v>
      </c>
      <c r="W241" s="2" t="str">
        <f>_xlfn.LET(_xlpm.x, _xlfn.XLOOKUP(X241,家庭成员!J:J,家庭成员!C:C,""), IF(_xlpm.x=0,"",_xlpm.x))</f>
        <v>父亲</v>
      </c>
      <c r="X241" s="2" t="s">
        <v>2390</v>
      </c>
      <c r="Y241" s="2" t="s">
        <v>34</v>
      </c>
    </row>
    <row r="242" spans="1:25" ht="15.6" x14ac:dyDescent="0.25">
      <c r="A242" s="8" t="s">
        <v>1468</v>
      </c>
      <c r="B242" s="8" t="s">
        <v>1473</v>
      </c>
      <c r="C242" s="2" t="str">
        <f>_xlfn.XLOOKUP(B242,[1]Sheet2!BF:BF, [1]Sheet2!C:C, "")</f>
        <v>男</v>
      </c>
      <c r="D242" s="10" t="s">
        <v>3722</v>
      </c>
      <c r="E242" s="2" t="s">
        <v>27</v>
      </c>
      <c r="F242" s="2" t="s">
        <v>28</v>
      </c>
      <c r="G242" s="2" t="s">
        <v>270</v>
      </c>
      <c r="H242" s="2" t="s">
        <v>29</v>
      </c>
      <c r="I242" s="2" t="s">
        <v>102</v>
      </c>
      <c r="O242" s="2" t="str">
        <f>_xlfn.LET(_xlpm.x, _xlfn.XLOOKUP(B242,Sheet3!N:N,Sheet3!O:O,""), IF(_xlpm.x=0,"",_xlpm.x))</f>
        <v>镇雄县公安局</v>
      </c>
      <c r="P242" s="77" t="s">
        <v>7295</v>
      </c>
      <c r="Q242" s="2" t="s">
        <v>1474</v>
      </c>
      <c r="R242" s="2" t="s">
        <v>33</v>
      </c>
      <c r="S242" s="2">
        <v>18324735316</v>
      </c>
      <c r="T242" s="2" t="s">
        <v>1469</v>
      </c>
      <c r="V242" s="2" t="str">
        <f>_xlfn.LET(_xlpm.x, _xlfn.XLOOKUP(X242,家庭成员!J:J,家庭成员!D:D,""), IF(_xlpm.x=0,"",_xlpm.x))</f>
        <v>罗代志</v>
      </c>
      <c r="W242" s="2" t="str">
        <f>_xlfn.LET(_xlpm.x, _xlfn.XLOOKUP(X242,家庭成员!J:J,家庭成员!C:C,""), IF(_xlpm.x=0,"",_xlpm.x))</f>
        <v>父亲</v>
      </c>
      <c r="X242" s="2" t="s">
        <v>1477</v>
      </c>
      <c r="Y242" s="2" t="s">
        <v>34</v>
      </c>
    </row>
    <row r="243" spans="1:25" ht="15.6" x14ac:dyDescent="0.25">
      <c r="A243" s="8" t="s">
        <v>2359</v>
      </c>
      <c r="B243" s="8" t="s">
        <v>2363</v>
      </c>
      <c r="C243" s="2" t="str">
        <f>_xlfn.XLOOKUP(B243,[1]Sheet2!BF:BF, [1]Sheet2!C:C, "")</f>
        <v>女</v>
      </c>
      <c r="D243" s="10" t="s">
        <v>3785</v>
      </c>
      <c r="E243" s="2" t="s">
        <v>27</v>
      </c>
      <c r="F243" s="2" t="s">
        <v>119</v>
      </c>
      <c r="G243" s="2" t="s">
        <v>270</v>
      </c>
      <c r="H243" s="2" t="s">
        <v>29</v>
      </c>
      <c r="I243" s="2" t="s">
        <v>102</v>
      </c>
      <c r="O243" s="2" t="str">
        <f>_xlfn.LET(_xlpm.x, _xlfn.XLOOKUP(B243,Sheet3!N:N,Sheet3!O:O,""), IF(_xlpm.x=0,"",_xlpm.x))</f>
        <v>曲靖市公安局沾益分局</v>
      </c>
      <c r="P243" s="77" t="s">
        <v>7021</v>
      </c>
      <c r="Q243" s="2" t="s">
        <v>2364</v>
      </c>
      <c r="R243" s="2" t="s">
        <v>33</v>
      </c>
      <c r="S243" s="2">
        <v>18213432341</v>
      </c>
      <c r="T243" s="2" t="s">
        <v>244</v>
      </c>
      <c r="V243" s="2" t="str">
        <f>_xlfn.LET(_xlpm.x, _xlfn.XLOOKUP(X243,家庭成员!J:J,家庭成员!D:D,""), IF(_xlpm.x=0,"",_xlpm.x))</f>
        <v>雷邦雨</v>
      </c>
      <c r="W243" s="2" t="str">
        <f>_xlfn.LET(_xlpm.x, _xlfn.XLOOKUP(X243,家庭成员!J:J,家庭成员!C:C,""), IF(_xlpm.x=0,"",_xlpm.x))</f>
        <v>父亲</v>
      </c>
      <c r="X243" s="2" t="s">
        <v>2366</v>
      </c>
      <c r="Y243" s="2" t="s">
        <v>34</v>
      </c>
    </row>
    <row r="244" spans="1:25" ht="15.6" x14ac:dyDescent="0.25">
      <c r="A244" s="8" t="s">
        <v>1941</v>
      </c>
      <c r="B244" s="8" t="s">
        <v>1944</v>
      </c>
      <c r="C244" s="2" t="str">
        <f>_xlfn.XLOOKUP(B244,[1]Sheet2!BF:BF, [1]Sheet2!C:C, "")</f>
        <v>男</v>
      </c>
      <c r="D244" s="10" t="s">
        <v>3644</v>
      </c>
      <c r="E244" s="2" t="s">
        <v>27</v>
      </c>
      <c r="F244" s="2" t="s">
        <v>119</v>
      </c>
      <c r="G244" s="2" t="s">
        <v>270</v>
      </c>
      <c r="H244" s="2" t="s">
        <v>29</v>
      </c>
      <c r="I244" s="2" t="s">
        <v>102</v>
      </c>
      <c r="O244" s="2" t="str">
        <f>_xlfn.LET(_xlpm.x, _xlfn.XLOOKUP(B244,Sheet3!N:N,Sheet3!O:O,""), IF(_xlpm.x=0,"",_xlpm.x))</f>
        <v>威信县公安局</v>
      </c>
      <c r="P244" s="77" t="s">
        <v>7296</v>
      </c>
      <c r="Q244" s="2" t="s">
        <v>1945</v>
      </c>
      <c r="R244" s="2" t="s">
        <v>33</v>
      </c>
      <c r="S244" s="2">
        <v>15887840448</v>
      </c>
      <c r="T244" s="2" t="s">
        <v>244</v>
      </c>
      <c r="V244" s="2" t="str">
        <f>_xlfn.LET(_xlpm.x, _xlfn.XLOOKUP(X244,家庭成员!J:J,家庭成员!D:D,""), IF(_xlpm.x=0,"",_xlpm.x))</f>
        <v/>
      </c>
      <c r="W244" s="2" t="str">
        <f>_xlfn.LET(_xlpm.x, _xlfn.XLOOKUP(X244,家庭成员!J:J,家庭成员!C:C,""), IF(_xlpm.x=0,"",_xlpm.x))</f>
        <v/>
      </c>
      <c r="X244" s="2" t="s">
        <v>244</v>
      </c>
      <c r="Y244" s="2" t="s">
        <v>34</v>
      </c>
    </row>
    <row r="245" spans="1:25" ht="15.6" x14ac:dyDescent="0.25">
      <c r="A245" s="8" t="s">
        <v>971</v>
      </c>
      <c r="B245" s="8" t="s">
        <v>978</v>
      </c>
      <c r="C245" s="2" t="str">
        <f>_xlfn.XLOOKUP(B245,[1]Sheet2!BF:BF, [1]Sheet2!C:C, "")</f>
        <v>女</v>
      </c>
      <c r="D245" s="10" t="s">
        <v>3797</v>
      </c>
      <c r="E245" s="2" t="s">
        <v>973</v>
      </c>
      <c r="F245" s="2" t="s">
        <v>119</v>
      </c>
      <c r="G245" s="2" t="s">
        <v>270</v>
      </c>
      <c r="H245" s="2" t="s">
        <v>253</v>
      </c>
      <c r="I245" s="2" t="s">
        <v>102</v>
      </c>
      <c r="O245" s="2" t="str">
        <f>_xlfn.LET(_xlpm.x, _xlfn.XLOOKUP(B245,Sheet3!N:N,Sheet3!O:O,""), IF(_xlpm.x=0,"",_xlpm.x))</f>
        <v>威信县公安局</v>
      </c>
      <c r="P245" s="77" t="s">
        <v>7297</v>
      </c>
      <c r="Q245" s="2" t="s">
        <v>979</v>
      </c>
      <c r="R245" s="2" t="s">
        <v>33</v>
      </c>
      <c r="S245" s="2">
        <v>15187000768</v>
      </c>
      <c r="T245" s="2" t="s">
        <v>244</v>
      </c>
      <c r="V245" s="2" t="str">
        <f>_xlfn.LET(_xlpm.x, _xlfn.XLOOKUP(X245,家庭成员!J:J,家庭成员!D:D,""), IF(_xlpm.x=0,"",_xlpm.x))</f>
        <v/>
      </c>
      <c r="W245" s="2" t="str">
        <f>_xlfn.LET(_xlpm.x, _xlfn.XLOOKUP(X245,家庭成员!J:J,家庭成员!C:C,""), IF(_xlpm.x=0,"",_xlpm.x))</f>
        <v/>
      </c>
      <c r="X245" s="2" t="s">
        <v>244</v>
      </c>
      <c r="Y245" s="2" t="s">
        <v>34</v>
      </c>
    </row>
    <row r="246" spans="1:25" ht="15.6" x14ac:dyDescent="0.25">
      <c r="A246" s="8" t="s">
        <v>3047</v>
      </c>
      <c r="B246" s="8" t="s">
        <v>3052</v>
      </c>
      <c r="C246" s="2" t="str">
        <f>_xlfn.XLOOKUP(B246,[1]Sheet2!BF:BF, [1]Sheet2!C:C, "")</f>
        <v>男</v>
      </c>
      <c r="D246" s="10" t="s">
        <v>3798</v>
      </c>
      <c r="E246" s="2" t="s">
        <v>27</v>
      </c>
      <c r="F246" s="2" t="s">
        <v>119</v>
      </c>
      <c r="G246" s="2" t="s">
        <v>270</v>
      </c>
      <c r="H246" s="2" t="s">
        <v>29</v>
      </c>
      <c r="I246" s="2" t="s">
        <v>102</v>
      </c>
      <c r="O246" s="2" t="str">
        <f>_xlfn.LET(_xlpm.x, _xlfn.XLOOKUP(B246,Sheet3!N:N,Sheet3!O:O,""), IF(_xlpm.x=0,"",_xlpm.x))</f>
        <v>宣威市公安局</v>
      </c>
      <c r="P246" s="77" t="s">
        <v>7298</v>
      </c>
      <c r="Q246" s="2" t="s">
        <v>3053</v>
      </c>
      <c r="R246" s="2" t="s">
        <v>33</v>
      </c>
      <c r="S246" s="2">
        <v>18987470038</v>
      </c>
      <c r="T246" s="2" t="s">
        <v>244</v>
      </c>
      <c r="V246" s="2" t="str">
        <f>_xlfn.LET(_xlpm.x, _xlfn.XLOOKUP(X246,家庭成员!J:J,家庭成员!D:D,""), IF(_xlpm.x=0,"",_xlpm.x))</f>
        <v/>
      </c>
      <c r="W246" s="2" t="str">
        <f>_xlfn.LET(_xlpm.x, _xlfn.XLOOKUP(X246,家庭成员!J:J,家庭成员!C:C,""), IF(_xlpm.x=0,"",_xlpm.x))</f>
        <v/>
      </c>
      <c r="X246" s="2" t="s">
        <v>244</v>
      </c>
      <c r="Y246" s="2" t="s">
        <v>34</v>
      </c>
    </row>
    <row r="247" spans="1:25" ht="15.6" x14ac:dyDescent="0.25">
      <c r="A247" s="8" t="s">
        <v>719</v>
      </c>
      <c r="B247" s="8" t="s">
        <v>727</v>
      </c>
      <c r="C247" s="2" t="str">
        <f>_xlfn.XLOOKUP(B247,[1]Sheet2!BF:BF, [1]Sheet2!C:C, "")</f>
        <v>男</v>
      </c>
      <c r="D247" s="10" t="s">
        <v>3799</v>
      </c>
      <c r="E247" s="2" t="s">
        <v>27</v>
      </c>
      <c r="F247" s="2" t="s">
        <v>272</v>
      </c>
      <c r="G247" s="2" t="s">
        <v>474</v>
      </c>
      <c r="H247" s="2" t="s">
        <v>253</v>
      </c>
      <c r="I247" s="2" t="s">
        <v>102</v>
      </c>
      <c r="O247" s="2" t="str">
        <f>_xlfn.LET(_xlpm.x, _xlfn.XLOOKUP(B247,Sheet3!N:N,Sheet3!O:O,""), IF(_xlpm.x=0,"",_xlpm.x))</f>
        <v>师宗县公安局</v>
      </c>
      <c r="P247" s="77" t="s">
        <v>7299</v>
      </c>
      <c r="Q247" s="2" t="s">
        <v>728</v>
      </c>
      <c r="R247" s="2" t="s">
        <v>33</v>
      </c>
      <c r="S247" s="2">
        <v>18235105613</v>
      </c>
      <c r="T247" s="2" t="s">
        <v>720</v>
      </c>
      <c r="V247" s="2" t="str">
        <f>_xlfn.LET(_xlpm.x, _xlfn.XLOOKUP(X247,家庭成员!J:J,家庭成员!D:D,""), IF(_xlpm.x=0,"",_xlpm.x))</f>
        <v>付乔发</v>
      </c>
      <c r="W247" s="2" t="str">
        <f>_xlfn.LET(_xlpm.x, _xlfn.XLOOKUP(X247,家庭成员!J:J,家庭成员!C:C,""), IF(_xlpm.x=0,"",_xlpm.x))</f>
        <v>父亲</v>
      </c>
      <c r="X247" s="2" t="s">
        <v>737</v>
      </c>
      <c r="Y247" s="2" t="s">
        <v>34</v>
      </c>
    </row>
    <row r="248" spans="1:25" ht="15.6" x14ac:dyDescent="0.25">
      <c r="A248" s="8" t="s">
        <v>3491</v>
      </c>
      <c r="B248" s="8" t="s">
        <v>3496</v>
      </c>
      <c r="C248" s="2" t="str">
        <f>_xlfn.XLOOKUP(B248,[1]Sheet2!BF:BF, [1]Sheet2!C:C, "")</f>
        <v>男</v>
      </c>
      <c r="D248" s="10" t="s">
        <v>3800</v>
      </c>
      <c r="E248" s="2" t="s">
        <v>27</v>
      </c>
      <c r="F248" s="2" t="s">
        <v>119</v>
      </c>
      <c r="G248" s="2" t="s">
        <v>252</v>
      </c>
      <c r="H248" s="2" t="s">
        <v>29</v>
      </c>
      <c r="I248" s="2" t="s">
        <v>102</v>
      </c>
      <c r="O248" s="2" t="str">
        <f>_xlfn.LET(_xlpm.x, _xlfn.XLOOKUP(B248,Sheet3!N:N,Sheet3!O:O,""), IF(_xlpm.x=0,"",_xlpm.x))</f>
        <v>昆明市公安局五华分局</v>
      </c>
      <c r="P248" s="77" t="s">
        <v>7300</v>
      </c>
      <c r="Q248" s="2" t="s">
        <v>3497</v>
      </c>
      <c r="R248" s="2" t="s">
        <v>33</v>
      </c>
      <c r="S248" s="2">
        <v>13108854351</v>
      </c>
      <c r="T248" s="2" t="s">
        <v>244</v>
      </c>
      <c r="V248" s="2" t="str">
        <f>_xlfn.LET(_xlpm.x, _xlfn.XLOOKUP(X248,家庭成员!J:J,家庭成员!D:D,""), IF(_xlpm.x=0,"",_xlpm.x))</f>
        <v>李艳萍</v>
      </c>
      <c r="W248" s="2" t="str">
        <f>_xlfn.LET(_xlpm.x, _xlfn.XLOOKUP(X248,家庭成员!J:J,家庭成员!C:C,""), IF(_xlpm.x=0,"",_xlpm.x))</f>
        <v>妻子</v>
      </c>
      <c r="X248" s="2" t="s">
        <v>3502</v>
      </c>
      <c r="Y248" s="2" t="s">
        <v>34</v>
      </c>
    </row>
    <row r="249" spans="1:25" ht="15.6" x14ac:dyDescent="0.25">
      <c r="A249" s="8" t="s">
        <v>3395</v>
      </c>
      <c r="B249" s="8" t="s">
        <v>3398</v>
      </c>
      <c r="C249" s="2" t="str">
        <f>_xlfn.XLOOKUP(B249,[1]Sheet2!BF:BF, [1]Sheet2!C:C, "")</f>
        <v>男</v>
      </c>
      <c r="D249" s="10" t="s">
        <v>3673</v>
      </c>
      <c r="E249" s="2" t="s">
        <v>27</v>
      </c>
      <c r="F249" s="2" t="s">
        <v>119</v>
      </c>
      <c r="G249" s="2" t="s">
        <v>474</v>
      </c>
      <c r="H249" s="2" t="s">
        <v>29</v>
      </c>
      <c r="I249" s="2" t="s">
        <v>102</v>
      </c>
      <c r="O249" s="2" t="str">
        <f>_xlfn.LET(_xlpm.x, _xlfn.XLOOKUP(B249,Sheet3!N:N,Sheet3!O:O,""), IF(_xlpm.x=0,"",_xlpm.x))</f>
        <v>楚雄市公安局</v>
      </c>
      <c r="P249" s="77" t="s">
        <v>7301</v>
      </c>
      <c r="Q249" s="2" t="s">
        <v>3399</v>
      </c>
      <c r="R249" s="2" t="s">
        <v>33</v>
      </c>
      <c r="S249" s="2">
        <v>13888426784</v>
      </c>
      <c r="T249" s="2" t="s">
        <v>244</v>
      </c>
      <c r="V249" s="2" t="str">
        <f>_xlfn.LET(_xlpm.x, _xlfn.XLOOKUP(X249,家庭成员!J:J,家庭成员!D:D,""), IF(_xlpm.x=0,"",_xlpm.x))</f>
        <v>舒红琼</v>
      </c>
      <c r="W249" s="2" t="str">
        <f>_xlfn.LET(_xlpm.x, _xlfn.XLOOKUP(X249,家庭成员!J:J,家庭成员!C:C,""), IF(_xlpm.x=0,"",_xlpm.x))</f>
        <v>妻子</v>
      </c>
      <c r="X249" s="2" t="s">
        <v>3403</v>
      </c>
      <c r="Y249" s="2" t="s">
        <v>34</v>
      </c>
    </row>
    <row r="250" spans="1:25" ht="15.6" x14ac:dyDescent="0.25">
      <c r="A250" s="8" t="s">
        <v>2727</v>
      </c>
      <c r="B250" s="8" t="s">
        <v>2730</v>
      </c>
      <c r="C250" s="2" t="str">
        <f>_xlfn.XLOOKUP(B250,[1]Sheet2!BF:BF, [1]Sheet2!C:C, "")</f>
        <v>男</v>
      </c>
      <c r="D250" s="10" t="s">
        <v>3801</v>
      </c>
      <c r="E250" s="2" t="s">
        <v>27</v>
      </c>
      <c r="F250" s="2" t="s">
        <v>119</v>
      </c>
      <c r="G250" s="2" t="s">
        <v>270</v>
      </c>
      <c r="H250" s="2" t="s">
        <v>29</v>
      </c>
      <c r="I250" s="2" t="s">
        <v>102</v>
      </c>
      <c r="O250" s="2" t="str">
        <f>_xlfn.LET(_xlpm.x, _xlfn.XLOOKUP(B250,Sheet3!N:N,Sheet3!O:O,""), IF(_xlpm.x=0,"",_xlpm.x))</f>
        <v>双柏县公安局</v>
      </c>
      <c r="P250" s="77" t="s">
        <v>7302</v>
      </c>
      <c r="Q250" s="2" t="s">
        <v>2731</v>
      </c>
      <c r="R250" s="2" t="s">
        <v>33</v>
      </c>
      <c r="S250" s="2">
        <v>18788558131</v>
      </c>
      <c r="T250" s="2" t="s">
        <v>244</v>
      </c>
      <c r="V250" s="2" t="str">
        <f>_xlfn.LET(_xlpm.x, _xlfn.XLOOKUP(X250,家庭成员!J:J,家庭成员!D:D,""), IF(_xlpm.x=0,"",_xlpm.x))</f>
        <v/>
      </c>
      <c r="W250" s="2" t="str">
        <f>_xlfn.LET(_xlpm.x, _xlfn.XLOOKUP(X250,家庭成员!J:J,家庭成员!C:C,""), IF(_xlpm.x=0,"",_xlpm.x))</f>
        <v/>
      </c>
      <c r="X250" s="2" t="s">
        <v>244</v>
      </c>
      <c r="Y250" s="2" t="s">
        <v>34</v>
      </c>
    </row>
    <row r="251" spans="1:25" ht="15.6" x14ac:dyDescent="0.25">
      <c r="A251" s="8" t="s">
        <v>2253</v>
      </c>
      <c r="B251" s="8" t="s">
        <v>2257</v>
      </c>
      <c r="C251" s="2" t="str">
        <f>_xlfn.XLOOKUP(B251,[1]Sheet2!BF:BF, [1]Sheet2!C:C, "")</f>
        <v>女</v>
      </c>
      <c r="D251" s="10" t="s">
        <v>3802</v>
      </c>
      <c r="E251" s="2" t="s">
        <v>27</v>
      </c>
      <c r="F251" s="2" t="s">
        <v>119</v>
      </c>
      <c r="G251" s="2" t="s">
        <v>270</v>
      </c>
      <c r="H251" s="2" t="s">
        <v>253</v>
      </c>
      <c r="I251" s="2" t="s">
        <v>102</v>
      </c>
      <c r="O251" s="2" t="str">
        <f>_xlfn.LET(_xlpm.x, _xlfn.XLOOKUP(B251,Sheet3!N:N,Sheet3!O:O,""), IF(_xlpm.x=0,"",_xlpm.x))</f>
        <v>牟定县公安局</v>
      </c>
      <c r="P251" s="77" t="s">
        <v>7303</v>
      </c>
      <c r="Q251" s="2" t="s">
        <v>2258</v>
      </c>
      <c r="R251" s="2" t="s">
        <v>33</v>
      </c>
      <c r="S251" s="2">
        <v>18314438990</v>
      </c>
      <c r="T251" s="2" t="s">
        <v>244</v>
      </c>
      <c r="V251" s="2" t="str">
        <f>_xlfn.LET(_xlpm.x, _xlfn.XLOOKUP(X251,家庭成员!J:J,家庭成员!D:D,""), IF(_xlpm.x=0,"",_xlpm.x))</f>
        <v/>
      </c>
      <c r="W251" s="2" t="str">
        <f>_xlfn.LET(_xlpm.x, _xlfn.XLOOKUP(X251,家庭成员!J:J,家庭成员!C:C,""), IF(_xlpm.x=0,"",_xlpm.x))</f>
        <v/>
      </c>
      <c r="X251" s="2" t="s">
        <v>244</v>
      </c>
      <c r="Y251" s="2" t="s">
        <v>34</v>
      </c>
    </row>
    <row r="252" spans="1:25" ht="15.6" x14ac:dyDescent="0.25">
      <c r="A252" s="8" t="s">
        <v>652</v>
      </c>
      <c r="B252" s="8" t="s">
        <v>658</v>
      </c>
      <c r="C252" s="2" t="str">
        <f>_xlfn.XLOOKUP(B252,[1]Sheet2!BF:BF, [1]Sheet2!C:C, "")</f>
        <v>男</v>
      </c>
      <c r="D252" s="10" t="s">
        <v>3725</v>
      </c>
      <c r="E252" s="2" t="s">
        <v>27</v>
      </c>
      <c r="F252" s="2" t="s">
        <v>119</v>
      </c>
      <c r="G252" s="2" t="s">
        <v>270</v>
      </c>
      <c r="H252" s="2" t="s">
        <v>253</v>
      </c>
      <c r="I252" s="2" t="s">
        <v>102</v>
      </c>
      <c r="O252" s="2" t="str">
        <f>_xlfn.LET(_xlpm.x, _xlfn.XLOOKUP(B252,Sheet3!N:N,Sheet3!O:O,""), IF(_xlpm.x=0,"",_xlpm.x))</f>
        <v>牟定县公安局</v>
      </c>
      <c r="P252" s="77" t="s">
        <v>2413</v>
      </c>
      <c r="Q252" s="2" t="s">
        <v>659</v>
      </c>
      <c r="R252" s="2" t="s">
        <v>33</v>
      </c>
      <c r="S252" s="2">
        <v>18308782151</v>
      </c>
      <c r="T252" s="2" t="s">
        <v>244</v>
      </c>
      <c r="V252" s="2" t="str">
        <f>_xlfn.LET(_xlpm.x, _xlfn.XLOOKUP(X252,家庭成员!J:J,家庭成员!D:D,""), IF(_xlpm.x=0,"",_xlpm.x))</f>
        <v/>
      </c>
      <c r="W252" s="2" t="str">
        <f>_xlfn.LET(_xlpm.x, _xlfn.XLOOKUP(X252,家庭成员!J:J,家庭成员!C:C,""), IF(_xlpm.x=0,"",_xlpm.x))</f>
        <v/>
      </c>
      <c r="X252" s="2" t="s">
        <v>244</v>
      </c>
      <c r="Y252" s="2" t="s">
        <v>34</v>
      </c>
    </row>
    <row r="253" spans="1:25" ht="15.6" x14ac:dyDescent="0.25">
      <c r="A253" s="8" t="s">
        <v>548</v>
      </c>
      <c r="B253" s="8" t="s">
        <v>557</v>
      </c>
      <c r="C253" s="2" t="str">
        <f>_xlfn.XLOOKUP(B253,[1]Sheet2!BF:BF, [1]Sheet2!C:C, "")</f>
        <v>男</v>
      </c>
      <c r="D253" s="10" t="s">
        <v>3803</v>
      </c>
      <c r="E253" s="2" t="s">
        <v>251</v>
      </c>
      <c r="F253" s="2" t="s">
        <v>119</v>
      </c>
      <c r="G253" s="2" t="s">
        <v>270</v>
      </c>
      <c r="H253" s="2" t="s">
        <v>253</v>
      </c>
      <c r="I253" s="2" t="s">
        <v>102</v>
      </c>
      <c r="O253" s="2" t="str">
        <f>_xlfn.LET(_xlpm.x, _xlfn.XLOOKUP(B253,Sheet3!N:N,Sheet3!O:O,""), IF(_xlpm.x=0,"",_xlpm.x))</f>
        <v>牟定县公安局</v>
      </c>
      <c r="P253" s="77" t="s">
        <v>7304</v>
      </c>
      <c r="Q253" s="2" t="s">
        <v>558</v>
      </c>
      <c r="R253" s="2" t="s">
        <v>33</v>
      </c>
      <c r="S253" s="2">
        <v>13013426531</v>
      </c>
      <c r="T253" s="2" t="s">
        <v>244</v>
      </c>
      <c r="V253" s="2" t="str">
        <f>_xlfn.LET(_xlpm.x, _xlfn.XLOOKUP(X253,家庭成员!J:J,家庭成员!D:D,""), IF(_xlpm.x=0,"",_xlpm.x))</f>
        <v/>
      </c>
      <c r="W253" s="2" t="str">
        <f>_xlfn.LET(_xlpm.x, _xlfn.XLOOKUP(X253,家庭成员!J:J,家庭成员!C:C,""), IF(_xlpm.x=0,"",_xlpm.x))</f>
        <v/>
      </c>
      <c r="X253" s="2" t="s">
        <v>244</v>
      </c>
      <c r="Y253" s="2" t="s">
        <v>34</v>
      </c>
    </row>
    <row r="254" spans="1:25" ht="15.6" x14ac:dyDescent="0.25">
      <c r="A254" s="8" t="s">
        <v>3387</v>
      </c>
      <c r="B254" s="8" t="s">
        <v>3392</v>
      </c>
      <c r="C254" s="2" t="str">
        <f>_xlfn.XLOOKUP(B254,[1]Sheet2!BF:BF, [1]Sheet2!C:C, "")</f>
        <v>男</v>
      </c>
      <c r="D254" s="10" t="s">
        <v>3804</v>
      </c>
      <c r="E254" s="2" t="s">
        <v>27</v>
      </c>
      <c r="F254" s="2" t="s">
        <v>119</v>
      </c>
      <c r="G254" s="2" t="s">
        <v>252</v>
      </c>
      <c r="H254" s="2" t="s">
        <v>29</v>
      </c>
      <c r="I254" s="2" t="s">
        <v>102</v>
      </c>
      <c r="O254" s="2" t="str">
        <f>_xlfn.LET(_xlpm.x, _xlfn.XLOOKUP(B254,Sheet3!N:N,Sheet3!O:O,""), IF(_xlpm.x=0,"",_xlpm.x))</f>
        <v>昆明市公安局五华分局</v>
      </c>
      <c r="P254" s="77" t="s">
        <v>7305</v>
      </c>
      <c r="Q254" s="2" t="s">
        <v>3983</v>
      </c>
      <c r="R254" s="2" t="s">
        <v>33</v>
      </c>
      <c r="S254" s="2">
        <v>13888614515</v>
      </c>
      <c r="T254" s="2" t="s">
        <v>244</v>
      </c>
      <c r="V254" s="2" t="str">
        <f>_xlfn.LET(_xlpm.x, _xlfn.XLOOKUP(X254,家庭成员!J:J,家庭成员!D:D,""), IF(_xlpm.x=0,"",_xlpm.x))</f>
        <v/>
      </c>
      <c r="W254" s="2" t="str">
        <f>_xlfn.LET(_xlpm.x, _xlfn.XLOOKUP(X254,家庭成员!J:J,家庭成员!C:C,""), IF(_xlpm.x=0,"",_xlpm.x))</f>
        <v/>
      </c>
      <c r="X254" s="2" t="s">
        <v>244</v>
      </c>
      <c r="Y254" s="2" t="s">
        <v>34</v>
      </c>
    </row>
    <row r="255" spans="1:25" ht="15.6" x14ac:dyDescent="0.25">
      <c r="A255" s="8" t="s">
        <v>2962</v>
      </c>
      <c r="B255" s="8" t="s">
        <v>2966</v>
      </c>
      <c r="C255" s="2" t="str">
        <f>_xlfn.XLOOKUP(B255,[1]Sheet2!BF:BF, [1]Sheet2!C:C, "")</f>
        <v>男</v>
      </c>
      <c r="D255" s="10" t="s">
        <v>3691</v>
      </c>
      <c r="E255" s="2" t="s">
        <v>251</v>
      </c>
      <c r="F255" s="2" t="s">
        <v>119</v>
      </c>
      <c r="G255" s="2" t="s">
        <v>270</v>
      </c>
      <c r="H255" s="2" t="s">
        <v>29</v>
      </c>
      <c r="I255" s="2" t="s">
        <v>102</v>
      </c>
      <c r="O255" s="2" t="str">
        <f>_xlfn.LET(_xlpm.x, _xlfn.XLOOKUP(B255,Sheet3!N:N,Sheet3!O:O,""), IF(_xlpm.x=0,"",_xlpm.x))</f>
        <v>姚安县公安局</v>
      </c>
      <c r="P255" s="77" t="s">
        <v>7306</v>
      </c>
      <c r="Q255" s="2" t="s">
        <v>2967</v>
      </c>
      <c r="R255" s="2" t="s">
        <v>33</v>
      </c>
      <c r="S255" s="2">
        <v>13608872145</v>
      </c>
      <c r="T255" s="2" t="s">
        <v>244</v>
      </c>
      <c r="V255" s="2" t="str">
        <f>_xlfn.LET(_xlpm.x, _xlfn.XLOOKUP(X255,家庭成员!J:J,家庭成员!D:D,""), IF(_xlpm.x=0,"",_xlpm.x))</f>
        <v>李国兰</v>
      </c>
      <c r="W255" s="2" t="str">
        <f>_xlfn.LET(_xlpm.x, _xlfn.XLOOKUP(X255,家庭成员!J:J,家庭成员!C:C,""), IF(_xlpm.x=0,"",_xlpm.x))</f>
        <v>妻子</v>
      </c>
      <c r="X255" s="2" t="s">
        <v>2971</v>
      </c>
      <c r="Y255" s="2" t="s">
        <v>34</v>
      </c>
    </row>
    <row r="256" spans="1:25" ht="15.6" x14ac:dyDescent="0.25">
      <c r="A256" s="8" t="s">
        <v>2050</v>
      </c>
      <c r="B256" s="8" t="s">
        <v>2055</v>
      </c>
      <c r="C256" s="2" t="str">
        <f>_xlfn.XLOOKUP(B256,[1]Sheet2!BF:BF, [1]Sheet2!C:C, "")</f>
        <v>男</v>
      </c>
      <c r="D256" s="10" t="s">
        <v>3667</v>
      </c>
      <c r="E256" s="2" t="s">
        <v>27</v>
      </c>
      <c r="F256" s="2" t="s">
        <v>272</v>
      </c>
      <c r="G256" s="2" t="s">
        <v>270</v>
      </c>
      <c r="H256" s="2" t="s">
        <v>29</v>
      </c>
      <c r="I256" s="2" t="s">
        <v>102</v>
      </c>
      <c r="O256" s="2" t="str">
        <f>_xlfn.LET(_xlpm.x, _xlfn.XLOOKUP(B256,Sheet3!N:N,Sheet3!O:O,""), IF(_xlpm.x=0,"",_xlpm.x))</f>
        <v>姚安县公安局</v>
      </c>
      <c r="P256" s="77" t="s">
        <v>7307</v>
      </c>
      <c r="Q256" s="2" t="s">
        <v>2056</v>
      </c>
      <c r="R256" s="2" t="s">
        <v>33</v>
      </c>
      <c r="S256" s="2">
        <v>15288496672</v>
      </c>
      <c r="T256" s="2" t="s">
        <v>2051</v>
      </c>
      <c r="V256" s="2" t="str">
        <f>_xlfn.LET(_xlpm.x, _xlfn.XLOOKUP(X256,家庭成员!J:J,家庭成员!D:D,""), IF(_xlpm.x=0,"",_xlpm.x))</f>
        <v>张文飞</v>
      </c>
      <c r="W256" s="2" t="str">
        <f>_xlfn.LET(_xlpm.x, _xlfn.XLOOKUP(X256,家庭成员!J:J,家庭成员!C:C,""), IF(_xlpm.x=0,"",_xlpm.x))</f>
        <v>父亲</v>
      </c>
      <c r="X256" s="2" t="s">
        <v>2059</v>
      </c>
      <c r="Y256" s="2" t="s">
        <v>34</v>
      </c>
    </row>
    <row r="257" spans="1:25" ht="15.6" x14ac:dyDescent="0.25">
      <c r="A257" s="8" t="s">
        <v>873</v>
      </c>
      <c r="B257" s="8" t="s">
        <v>884</v>
      </c>
      <c r="C257" s="2" t="str">
        <f>_xlfn.XLOOKUP(B257,[1]Sheet2!BF:BF, [1]Sheet2!C:C, "")</f>
        <v>男</v>
      </c>
      <c r="D257" s="10" t="s">
        <v>3765</v>
      </c>
      <c r="E257" s="2" t="s">
        <v>251</v>
      </c>
      <c r="F257" s="2" t="s">
        <v>272</v>
      </c>
      <c r="G257" s="2" t="s">
        <v>270</v>
      </c>
      <c r="H257" s="2" t="s">
        <v>253</v>
      </c>
      <c r="I257" s="2" t="s">
        <v>102</v>
      </c>
      <c r="O257" s="2" t="str">
        <f>_xlfn.LET(_xlpm.x, _xlfn.XLOOKUP(B257,Sheet3!N:N,Sheet3!O:O,""), IF(_xlpm.x=0,"",_xlpm.x))</f>
        <v>姚安县公安局</v>
      </c>
      <c r="P257" s="77" t="s">
        <v>7308</v>
      </c>
      <c r="Q257" s="2" t="s">
        <v>885</v>
      </c>
      <c r="R257" s="2" t="s">
        <v>33</v>
      </c>
      <c r="S257" s="2">
        <v>15987862520</v>
      </c>
      <c r="T257" s="2" t="s">
        <v>874</v>
      </c>
      <c r="V257" s="2" t="str">
        <f>_xlfn.LET(_xlpm.x, _xlfn.XLOOKUP(X257,家庭成员!J:J,家庭成员!D:D,""), IF(_xlpm.x=0,"",_xlpm.x))</f>
        <v/>
      </c>
      <c r="W257" s="2" t="str">
        <f>_xlfn.LET(_xlpm.x, _xlfn.XLOOKUP(X257,家庭成员!J:J,家庭成员!C:C,""), IF(_xlpm.x=0,"",_xlpm.x))</f>
        <v/>
      </c>
      <c r="X257" s="2"/>
      <c r="Y257" s="2" t="s">
        <v>34</v>
      </c>
    </row>
    <row r="258" spans="1:25" ht="15.6" x14ac:dyDescent="0.25">
      <c r="A258" s="8" t="s">
        <v>1501</v>
      </c>
      <c r="B258" s="8" t="s">
        <v>1506</v>
      </c>
      <c r="C258" s="2" t="str">
        <f>_xlfn.XLOOKUP(B258,[1]Sheet2!BF:BF, [1]Sheet2!C:C, "")</f>
        <v>男</v>
      </c>
      <c r="D258" s="10" t="s">
        <v>3805</v>
      </c>
      <c r="E258" s="2" t="s">
        <v>251</v>
      </c>
      <c r="F258" s="2" t="s">
        <v>272</v>
      </c>
      <c r="G258" s="2" t="s">
        <v>270</v>
      </c>
      <c r="H258" s="2" t="s">
        <v>29</v>
      </c>
      <c r="I258" s="2" t="s">
        <v>102</v>
      </c>
      <c r="O258" s="2" t="str">
        <f>_xlfn.LET(_xlpm.x, _xlfn.XLOOKUP(B258,Sheet3!N:N,Sheet3!O:O,""), IF(_xlpm.x=0,"",_xlpm.x))</f>
        <v>永仁县公安局</v>
      </c>
      <c r="P258" s="77" t="s">
        <v>7309</v>
      </c>
      <c r="Q258" s="2" t="s">
        <v>1507</v>
      </c>
      <c r="R258" s="2" t="s">
        <v>33</v>
      </c>
      <c r="S258" s="2">
        <v>15877995491</v>
      </c>
      <c r="T258" s="2" t="s">
        <v>1502</v>
      </c>
      <c r="V258" s="2" t="str">
        <f>_xlfn.LET(_xlpm.x, _xlfn.XLOOKUP(X258,家庭成员!J:J,家庭成员!D:D,""), IF(_xlpm.x=0,"",_xlpm.x))</f>
        <v>何正兵</v>
      </c>
      <c r="W258" s="2" t="str">
        <f>_xlfn.LET(_xlpm.x, _xlfn.XLOOKUP(X258,家庭成员!J:J,家庭成员!C:C,""), IF(_xlpm.x=0,"",_xlpm.x))</f>
        <v>父亲</v>
      </c>
      <c r="X258" s="2" t="s">
        <v>1510</v>
      </c>
      <c r="Y258" s="2" t="s">
        <v>34</v>
      </c>
    </row>
    <row r="259" spans="1:25" ht="15.6" x14ac:dyDescent="0.25">
      <c r="A259" s="8" t="s">
        <v>2889</v>
      </c>
      <c r="B259" s="8" t="s">
        <v>2894</v>
      </c>
      <c r="C259" s="2" t="str">
        <f>_xlfn.XLOOKUP(B259,[1]Sheet2!BF:BF, [1]Sheet2!C:C, "")</f>
        <v>男</v>
      </c>
      <c r="D259" s="10" t="s">
        <v>3619</v>
      </c>
      <c r="E259" s="2" t="s">
        <v>2890</v>
      </c>
      <c r="F259" s="2" t="s">
        <v>119</v>
      </c>
      <c r="G259" s="2" t="s">
        <v>270</v>
      </c>
      <c r="H259" s="2" t="s">
        <v>29</v>
      </c>
      <c r="I259" s="2" t="s">
        <v>102</v>
      </c>
      <c r="O259" s="2" t="str">
        <f>_xlfn.LET(_xlpm.x, _xlfn.XLOOKUP(B259,Sheet3!N:N,Sheet3!O:O,""), IF(_xlpm.x=0,"",_xlpm.x))</f>
        <v>武定县公安局</v>
      </c>
      <c r="P259" s="77" t="s">
        <v>7207</v>
      </c>
      <c r="Q259" s="2" t="s">
        <v>2895</v>
      </c>
      <c r="R259" s="2" t="s">
        <v>33</v>
      </c>
      <c r="S259" s="2">
        <v>18183858960</v>
      </c>
      <c r="T259" s="2" t="s">
        <v>244</v>
      </c>
      <c r="V259" s="2" t="str">
        <f>_xlfn.LET(_xlpm.x, _xlfn.XLOOKUP(X259,家庭成员!J:J,家庭成员!D:D,""), IF(_xlpm.x=0,"",_xlpm.x))</f>
        <v>左菊芬</v>
      </c>
      <c r="W259" s="2" t="str">
        <f>_xlfn.LET(_xlpm.x, _xlfn.XLOOKUP(X259,家庭成员!J:J,家庭成员!C:C,""), IF(_xlpm.x=0,"",_xlpm.x))</f>
        <v>姐姐</v>
      </c>
      <c r="X259" s="2" t="s">
        <v>2898</v>
      </c>
      <c r="Y259" s="2" t="s">
        <v>34</v>
      </c>
    </row>
    <row r="260" spans="1:25" ht="15.6" x14ac:dyDescent="0.25">
      <c r="A260" s="8" t="s">
        <v>2193</v>
      </c>
      <c r="B260" s="8" t="s">
        <v>2199</v>
      </c>
      <c r="C260" s="2" t="str">
        <f>_xlfn.XLOOKUP(B260,[1]Sheet2!BF:BF, [1]Sheet2!C:C, "")</f>
        <v>女</v>
      </c>
      <c r="D260" s="10" t="s">
        <v>3806</v>
      </c>
      <c r="E260" s="2" t="s">
        <v>251</v>
      </c>
      <c r="F260" s="2" t="s">
        <v>504</v>
      </c>
      <c r="G260" s="2" t="s">
        <v>270</v>
      </c>
      <c r="H260" s="2" t="s">
        <v>29</v>
      </c>
      <c r="I260" s="2" t="s">
        <v>102</v>
      </c>
      <c r="O260" s="2" t="str">
        <f>_xlfn.LET(_xlpm.x, _xlfn.XLOOKUP(B260,Sheet3!N:N,Sheet3!O:O,""), IF(_xlpm.x=0,"",_xlpm.x))</f>
        <v>武定县公安局</v>
      </c>
      <c r="P260" s="77" t="s">
        <v>7310</v>
      </c>
      <c r="Q260" s="2" t="s">
        <v>2200</v>
      </c>
      <c r="R260" s="2" t="s">
        <v>33</v>
      </c>
      <c r="S260" s="2">
        <v>13638761712</v>
      </c>
      <c r="T260" s="2" t="s">
        <v>244</v>
      </c>
      <c r="V260" s="2" t="str">
        <f>_xlfn.LET(_xlpm.x, _xlfn.XLOOKUP(X260,家庭成员!J:J,家庭成员!D:D,""), IF(_xlpm.x=0,"",_xlpm.x))</f>
        <v/>
      </c>
      <c r="W260" s="2" t="str">
        <f>_xlfn.LET(_xlpm.x, _xlfn.XLOOKUP(X260,家庭成员!J:J,家庭成员!C:C,""), IF(_xlpm.x=0,"",_xlpm.x))</f>
        <v/>
      </c>
      <c r="X260" s="2" t="s">
        <v>244</v>
      </c>
      <c r="Y260" s="2" t="s">
        <v>34</v>
      </c>
    </row>
    <row r="261" spans="1:25" ht="15.6" x14ac:dyDescent="0.25">
      <c r="A261" s="8" t="s">
        <v>315</v>
      </c>
      <c r="B261" s="8" t="s">
        <v>326</v>
      </c>
      <c r="C261" s="2" t="str">
        <f>_xlfn.XLOOKUP(B261,[1]Sheet2!BF:BF, [1]Sheet2!C:C, "")</f>
        <v>男</v>
      </c>
      <c r="D261" s="10" t="s">
        <v>3779</v>
      </c>
      <c r="E261" s="2" t="s">
        <v>27</v>
      </c>
      <c r="F261" s="2" t="s">
        <v>272</v>
      </c>
      <c r="G261" s="2" t="s">
        <v>293</v>
      </c>
      <c r="H261" s="2" t="s">
        <v>253</v>
      </c>
      <c r="I261" s="2" t="s">
        <v>102</v>
      </c>
      <c r="O261" s="2" t="str">
        <f>_xlfn.LET(_xlpm.x, _xlfn.XLOOKUP(B261,Sheet3!N:N,Sheet3!O:O,""), IF(_xlpm.x=0,"",_xlpm.x))</f>
        <v>武定县公安局</v>
      </c>
      <c r="P261" s="77" t="s">
        <v>7311</v>
      </c>
      <c r="Q261" s="2" t="s">
        <v>7369</v>
      </c>
      <c r="R261" s="2" t="s">
        <v>33</v>
      </c>
      <c r="S261" s="2">
        <v>18669110354</v>
      </c>
      <c r="T261" s="2" t="s">
        <v>316</v>
      </c>
      <c r="V261" s="2" t="str">
        <f>_xlfn.LET(_xlpm.x, _xlfn.XLOOKUP(X261,家庭成员!J:J,家庭成员!D:D,""), IF(_xlpm.x=0,"",_xlpm.x))</f>
        <v>王智超</v>
      </c>
      <c r="W261" s="2" t="str">
        <f>_xlfn.LET(_xlpm.x, _xlfn.XLOOKUP(X261,家庭成员!J:J,家庭成员!C:C,""), IF(_xlpm.x=0,"",_xlpm.x))</f>
        <v>哥哥</v>
      </c>
      <c r="X261" s="2" t="s">
        <v>336</v>
      </c>
      <c r="Y261" s="2" t="s">
        <v>34</v>
      </c>
    </row>
    <row r="262" spans="1:25" ht="15.6" x14ac:dyDescent="0.25">
      <c r="A262" s="8" t="s">
        <v>2620</v>
      </c>
      <c r="B262" s="8" t="s">
        <v>2626</v>
      </c>
      <c r="C262" s="2" t="str">
        <f>_xlfn.XLOOKUP(B262,[1]Sheet2!BF:BF, [1]Sheet2!C:C, "")</f>
        <v>男</v>
      </c>
      <c r="D262" s="10" t="s">
        <v>3807</v>
      </c>
      <c r="E262" s="2" t="s">
        <v>251</v>
      </c>
      <c r="F262" s="2" t="s">
        <v>119</v>
      </c>
      <c r="G262" s="2" t="s">
        <v>270</v>
      </c>
      <c r="H262" s="2" t="s">
        <v>29</v>
      </c>
      <c r="I262" s="2" t="s">
        <v>102</v>
      </c>
      <c r="O262" s="2" t="str">
        <f>_xlfn.LET(_xlpm.x, _xlfn.XLOOKUP(B262,Sheet3!N:N,Sheet3!O:O,""), IF(_xlpm.x=0,"",_xlpm.x))</f>
        <v>禄丰县公安局</v>
      </c>
      <c r="P262" s="77" t="s">
        <v>7312</v>
      </c>
      <c r="Q262" s="2" t="s">
        <v>2627</v>
      </c>
      <c r="R262" s="2" t="s">
        <v>33</v>
      </c>
      <c r="S262" s="2">
        <v>13759514165</v>
      </c>
      <c r="T262" s="2" t="s">
        <v>244</v>
      </c>
      <c r="V262" s="2" t="str">
        <f>_xlfn.LET(_xlpm.x, _xlfn.XLOOKUP(X262,家庭成员!J:J,家庭成员!D:D,""), IF(_xlpm.x=0,"",_xlpm.x))</f>
        <v>高丽梅</v>
      </c>
      <c r="W262" s="2" t="str">
        <f>_xlfn.LET(_xlpm.x, _xlfn.XLOOKUP(X262,家庭成员!J:J,家庭成员!C:C,""), IF(_xlpm.x=0,"",_xlpm.x))</f>
        <v>妻子</v>
      </c>
      <c r="X262" s="2" t="s">
        <v>2631</v>
      </c>
      <c r="Y262" s="2" t="s">
        <v>34</v>
      </c>
    </row>
    <row r="263" spans="1:25" ht="15.6" x14ac:dyDescent="0.25">
      <c r="A263" s="8" t="s">
        <v>1697</v>
      </c>
      <c r="B263" s="8" t="s">
        <v>1703</v>
      </c>
      <c r="C263" s="2" t="str">
        <f>_xlfn.XLOOKUP(B263,[1]Sheet2!BF:BF, [1]Sheet2!C:C, "")</f>
        <v>男</v>
      </c>
      <c r="D263" s="10" t="s">
        <v>3808</v>
      </c>
      <c r="E263" s="2" t="s">
        <v>251</v>
      </c>
      <c r="F263" s="2" t="s">
        <v>119</v>
      </c>
      <c r="G263" s="2" t="s">
        <v>270</v>
      </c>
      <c r="H263" s="2" t="s">
        <v>253</v>
      </c>
      <c r="I263" s="2" t="s">
        <v>102</v>
      </c>
      <c r="O263" s="2" t="str">
        <f>_xlfn.LET(_xlpm.x, _xlfn.XLOOKUP(B263,Sheet3!N:N,Sheet3!O:O,""), IF(_xlpm.x=0,"",_xlpm.x))</f>
        <v>禄丰县公安局</v>
      </c>
      <c r="P263" s="77" t="s">
        <v>1729</v>
      </c>
      <c r="Q263" s="2" t="s">
        <v>1704</v>
      </c>
      <c r="R263" s="2" t="s">
        <v>33</v>
      </c>
      <c r="S263" s="2">
        <v>18589378281</v>
      </c>
      <c r="T263" s="2" t="s">
        <v>244</v>
      </c>
      <c r="V263" s="2" t="str">
        <f>_xlfn.LET(_xlpm.x, _xlfn.XLOOKUP(X263,家庭成员!J:J,家庭成员!D:D,""), IF(_xlpm.x=0,"",_xlpm.x))</f>
        <v/>
      </c>
      <c r="W263" s="2" t="str">
        <f>_xlfn.LET(_xlpm.x, _xlfn.XLOOKUP(X263,家庭成员!J:J,家庭成员!C:C,""), IF(_xlpm.x=0,"",_xlpm.x))</f>
        <v/>
      </c>
      <c r="X263" s="2" t="s">
        <v>244</v>
      </c>
      <c r="Y263" s="2" t="s">
        <v>34</v>
      </c>
    </row>
    <row r="264" spans="1:25" ht="15.6" x14ac:dyDescent="0.25">
      <c r="A264" s="8" t="s">
        <v>2679</v>
      </c>
      <c r="B264" s="8" t="s">
        <v>2682</v>
      </c>
      <c r="C264" s="2" t="str">
        <f>_xlfn.XLOOKUP(B264,[1]Sheet2!BF:BF, [1]Sheet2!C:C, "")</f>
        <v>男</v>
      </c>
      <c r="D264" s="10" t="s">
        <v>3703</v>
      </c>
      <c r="E264" s="2" t="s">
        <v>251</v>
      </c>
      <c r="F264" s="2" t="s">
        <v>119</v>
      </c>
      <c r="G264" s="2" t="s">
        <v>474</v>
      </c>
      <c r="H264" s="2" t="s">
        <v>253</v>
      </c>
      <c r="I264" s="2" t="s">
        <v>102</v>
      </c>
      <c r="O264" s="2" t="str">
        <f>_xlfn.LET(_xlpm.x, _xlfn.XLOOKUP(B264,Sheet3!N:N,Sheet3!O:O,""), IF(_xlpm.x=0,"",_xlpm.x))</f>
        <v>禄丰县公安局</v>
      </c>
      <c r="P264" s="77" t="s">
        <v>682</v>
      </c>
      <c r="Q264" s="2" t="s">
        <v>2683</v>
      </c>
      <c r="R264" s="2" t="s">
        <v>33</v>
      </c>
      <c r="S264" s="2">
        <v>18788503414</v>
      </c>
      <c r="T264" s="2" t="s">
        <v>244</v>
      </c>
      <c r="V264" s="2" t="str">
        <f>_xlfn.LET(_xlpm.x, _xlfn.XLOOKUP(X264,家庭成员!J:J,家庭成员!D:D,""), IF(_xlpm.x=0,"",_xlpm.x))</f>
        <v/>
      </c>
      <c r="W264" s="2" t="str">
        <f>_xlfn.LET(_xlpm.x, _xlfn.XLOOKUP(X264,家庭成员!J:J,家庭成员!C:C,""), IF(_xlpm.x=0,"",_xlpm.x))</f>
        <v/>
      </c>
      <c r="X264" s="2" t="s">
        <v>244</v>
      </c>
      <c r="Y264" s="2" t="s">
        <v>34</v>
      </c>
    </row>
    <row r="265" spans="1:25" ht="15.6" x14ac:dyDescent="0.25">
      <c r="A265" s="8" t="s">
        <v>2375</v>
      </c>
      <c r="B265" s="8" t="s">
        <v>2379</v>
      </c>
      <c r="C265" s="2" t="str">
        <f>_xlfn.XLOOKUP(B265,[1]Sheet2!BF:BF, [1]Sheet2!C:C, "")</f>
        <v>男</v>
      </c>
      <c r="D265" s="10" t="s">
        <v>3809</v>
      </c>
      <c r="E265" s="2" t="s">
        <v>27</v>
      </c>
      <c r="F265" s="2" t="s">
        <v>119</v>
      </c>
      <c r="G265" s="2" t="s">
        <v>270</v>
      </c>
      <c r="H265" s="2" t="s">
        <v>253</v>
      </c>
      <c r="I265" s="2" t="s">
        <v>102</v>
      </c>
      <c r="O265" s="2" t="str">
        <f>_xlfn.LET(_xlpm.x, _xlfn.XLOOKUP(B265,Sheet3!N:N,Sheet3!O:O,""), IF(_xlpm.x=0,"",_xlpm.x))</f>
        <v>禄丰县公安局</v>
      </c>
      <c r="P265" s="77" t="s">
        <v>7313</v>
      </c>
      <c r="Q265" s="2" t="s">
        <v>2380</v>
      </c>
      <c r="R265" s="2" t="s">
        <v>33</v>
      </c>
      <c r="S265" s="2">
        <v>18314166250</v>
      </c>
      <c r="T265" s="2" t="s">
        <v>244</v>
      </c>
      <c r="V265" s="2" t="str">
        <f>_xlfn.LET(_xlpm.x, _xlfn.XLOOKUP(X265,家庭成员!J:J,家庭成员!D:D,""), IF(_xlpm.x=0,"",_xlpm.x))</f>
        <v>丁绍兵</v>
      </c>
      <c r="W265" s="2" t="str">
        <f>_xlfn.LET(_xlpm.x, _xlfn.XLOOKUP(X265,家庭成员!J:J,家庭成员!C:C,""), IF(_xlpm.x=0,"",_xlpm.x))</f>
        <v>父亲</v>
      </c>
      <c r="X265" s="2" t="s">
        <v>2383</v>
      </c>
      <c r="Y265" s="2" t="s">
        <v>34</v>
      </c>
    </row>
    <row r="266" spans="1:25" ht="15.6" x14ac:dyDescent="0.25">
      <c r="A266" s="8" t="s">
        <v>391</v>
      </c>
      <c r="B266" s="8" t="s">
        <v>401</v>
      </c>
      <c r="C266" s="2" t="str">
        <f>_xlfn.XLOOKUP(B266,[1]Sheet2!BF:BF, [1]Sheet2!C:C, "")</f>
        <v>男</v>
      </c>
      <c r="D266" s="10" t="s">
        <v>3810</v>
      </c>
      <c r="E266" s="2" t="s">
        <v>251</v>
      </c>
      <c r="F266" s="2" t="s">
        <v>272</v>
      </c>
      <c r="G266" s="2" t="s">
        <v>293</v>
      </c>
      <c r="H266" s="2" t="s">
        <v>253</v>
      </c>
      <c r="I266" s="2" t="s">
        <v>102</v>
      </c>
      <c r="O266" s="2" t="str">
        <f>_xlfn.LET(_xlpm.x, _xlfn.XLOOKUP(B266,Sheet3!N:N,Sheet3!O:O,""), IF(_xlpm.x=0,"",_xlpm.x))</f>
        <v>禄丰县公安局</v>
      </c>
      <c r="P266" s="77" t="s">
        <v>1614</v>
      </c>
      <c r="Q266" s="2" t="s">
        <v>402</v>
      </c>
      <c r="R266" s="2" t="s">
        <v>33</v>
      </c>
      <c r="S266" s="2">
        <v>17860828785</v>
      </c>
      <c r="T266" s="2" t="s">
        <v>392</v>
      </c>
      <c r="V266" s="2" t="str">
        <f>_xlfn.LET(_xlpm.x, _xlfn.XLOOKUP(X266,家庭成员!J:J,家庭成员!D:D,""), IF(_xlpm.x=0,"",_xlpm.x))</f>
        <v/>
      </c>
      <c r="W266" s="2" t="str">
        <f>_xlfn.LET(_xlpm.x, _xlfn.XLOOKUP(X266,家庭成员!J:J,家庭成员!C:C,""), IF(_xlpm.x=0,"",_xlpm.x))</f>
        <v/>
      </c>
      <c r="X266" s="2"/>
      <c r="Y266" s="2" t="s">
        <v>34</v>
      </c>
    </row>
    <row r="267" spans="1:25" ht="15.6" x14ac:dyDescent="0.25">
      <c r="A267" s="8" t="s">
        <v>3380</v>
      </c>
      <c r="B267" s="8" t="s">
        <v>3384</v>
      </c>
      <c r="C267" s="2" t="str">
        <f>_xlfn.XLOOKUP(B267,[1]Sheet2!BF:BF, [1]Sheet2!C:C, "")</f>
        <v>男</v>
      </c>
      <c r="D267" s="10" t="s">
        <v>3811</v>
      </c>
      <c r="E267" s="2" t="s">
        <v>27</v>
      </c>
      <c r="F267" s="2" t="s">
        <v>119</v>
      </c>
      <c r="G267" s="2" t="s">
        <v>270</v>
      </c>
      <c r="H267" s="2" t="s">
        <v>29</v>
      </c>
      <c r="I267" s="2" t="s">
        <v>102</v>
      </c>
      <c r="O267" s="2" t="str">
        <f>_xlfn.LET(_xlpm.x, _xlfn.XLOOKUP(B267,Sheet3!N:N,Sheet3!O:O,""), IF(_xlpm.x=0,"",_xlpm.x))</f>
        <v>江川县公安局</v>
      </c>
      <c r="P267" s="77" t="s">
        <v>7314</v>
      </c>
      <c r="Q267" s="2" t="s">
        <v>519</v>
      </c>
      <c r="R267" s="2" t="s">
        <v>33</v>
      </c>
      <c r="S267" s="2">
        <v>15911692695</v>
      </c>
      <c r="T267" s="2" t="s">
        <v>244</v>
      </c>
      <c r="V267" s="2" t="str">
        <f>_xlfn.LET(_xlpm.x, _xlfn.XLOOKUP(X267,家庭成员!J:J,家庭成员!D:D,""), IF(_xlpm.x=0,"",_xlpm.x))</f>
        <v>张明兰</v>
      </c>
      <c r="W267" s="2" t="str">
        <f>_xlfn.LET(_xlpm.x, _xlfn.XLOOKUP(X267,家庭成员!J:J,家庭成员!C:C,""), IF(_xlpm.x=0,"",_xlpm.x))</f>
        <v>妻子</v>
      </c>
      <c r="X267" s="2" t="s">
        <v>3386</v>
      </c>
      <c r="Y267" s="2" t="s">
        <v>34</v>
      </c>
    </row>
    <row r="268" spans="1:25" ht="15.6" x14ac:dyDescent="0.25">
      <c r="A268" s="8" t="s">
        <v>3562</v>
      </c>
      <c r="B268" s="8" t="s">
        <v>3566</v>
      </c>
      <c r="C268" s="2" t="str">
        <f>_xlfn.XLOOKUP(B268,[1]Sheet2!BF:BF, [1]Sheet2!C:C, "")</f>
        <v>男</v>
      </c>
      <c r="D268" s="10" t="s">
        <v>3812</v>
      </c>
      <c r="E268" s="2" t="s">
        <v>27</v>
      </c>
      <c r="F268" s="2" t="s">
        <v>119</v>
      </c>
      <c r="G268" s="2" t="s">
        <v>293</v>
      </c>
      <c r="H268" s="2" t="s">
        <v>29</v>
      </c>
      <c r="I268" s="2" t="s">
        <v>102</v>
      </c>
      <c r="O268" s="2" t="str">
        <f>_xlfn.LET(_xlpm.x, _xlfn.XLOOKUP(B268,Sheet3!N:N,Sheet3!O:O,""), IF(_xlpm.x=0,"",_xlpm.x))</f>
        <v>昆明市公安局盘龙分局</v>
      </c>
      <c r="P268" s="77" t="s">
        <v>7315</v>
      </c>
      <c r="Q268" s="2" t="s">
        <v>3983</v>
      </c>
      <c r="R268" s="2" t="s">
        <v>33</v>
      </c>
      <c r="S268" s="2">
        <v>15887299917</v>
      </c>
      <c r="T268" s="2" t="s">
        <v>244</v>
      </c>
      <c r="V268" s="2" t="str">
        <f>_xlfn.LET(_xlpm.x, _xlfn.XLOOKUP(X268,家庭成员!J:J,家庭成员!D:D,""), IF(_xlpm.x=0,"",_xlpm.x))</f>
        <v>李文莉</v>
      </c>
      <c r="W268" s="2" t="str">
        <f>_xlfn.LET(_xlpm.x, _xlfn.XLOOKUP(X268,家庭成员!J:J,家庭成员!C:C,""), IF(_xlpm.x=0,"",_xlpm.x))</f>
        <v>妻子</v>
      </c>
      <c r="X268" s="2" t="s">
        <v>3571</v>
      </c>
      <c r="Y268" s="2" t="s">
        <v>34</v>
      </c>
    </row>
    <row r="269" spans="1:25" ht="15.6" x14ac:dyDescent="0.25">
      <c r="A269" s="8" t="s">
        <v>3523</v>
      </c>
      <c r="B269" s="8" t="s">
        <v>3529</v>
      </c>
      <c r="C269" s="2" t="str">
        <f>_xlfn.XLOOKUP(B269,[1]Sheet2!BF:BF, [1]Sheet2!C:C, "")</f>
        <v>男</v>
      </c>
      <c r="D269" s="10" t="s">
        <v>3654</v>
      </c>
      <c r="E269" s="2" t="s">
        <v>27</v>
      </c>
      <c r="F269" s="2" t="s">
        <v>119</v>
      </c>
      <c r="G269" s="2" t="s">
        <v>252</v>
      </c>
      <c r="H269" s="2" t="s">
        <v>29</v>
      </c>
      <c r="I269" s="2" t="s">
        <v>102</v>
      </c>
      <c r="O269" s="2" t="str">
        <f>_xlfn.LET(_xlpm.x, _xlfn.XLOOKUP(B269,Sheet3!N:N,Sheet3!O:O,""), IF(_xlpm.x=0,"",_xlpm.x))</f>
        <v>昆明市公安局盘龙分局</v>
      </c>
      <c r="P269" s="77" t="s">
        <v>7316</v>
      </c>
      <c r="Q269" s="2" t="s">
        <v>3530</v>
      </c>
      <c r="R269" s="2" t="s">
        <v>33</v>
      </c>
      <c r="S269" s="2">
        <v>13888308180</v>
      </c>
      <c r="T269" s="2" t="s">
        <v>244</v>
      </c>
      <c r="V269" s="2" t="str">
        <f>_xlfn.LET(_xlpm.x, _xlfn.XLOOKUP(X269,家庭成员!J:J,家庭成员!D:D,""), IF(_xlpm.x=0,"",_xlpm.x))</f>
        <v>孔黎</v>
      </c>
      <c r="W269" s="2" t="str">
        <f>_xlfn.LET(_xlpm.x, _xlfn.XLOOKUP(X269,家庭成员!J:J,家庭成员!C:C,""), IF(_xlpm.x=0,"",_xlpm.x))</f>
        <v>妻子</v>
      </c>
      <c r="X269" s="2" t="s">
        <v>3534</v>
      </c>
      <c r="Y269" s="2" t="s">
        <v>34</v>
      </c>
    </row>
    <row r="270" spans="1:25" ht="15.6" x14ac:dyDescent="0.25">
      <c r="A270" s="8" t="s">
        <v>2907</v>
      </c>
      <c r="B270" s="8" t="s">
        <v>2910</v>
      </c>
      <c r="C270" s="2" t="str">
        <f>_xlfn.XLOOKUP(B270,[1]Sheet2!BF:BF, [1]Sheet2!C:C, "")</f>
        <v>女</v>
      </c>
      <c r="D270" s="10" t="s">
        <v>3625</v>
      </c>
      <c r="E270" s="2" t="s">
        <v>27</v>
      </c>
      <c r="F270" s="2" t="s">
        <v>119</v>
      </c>
      <c r="G270" s="2" t="s">
        <v>270</v>
      </c>
      <c r="H270" s="2" t="s">
        <v>253</v>
      </c>
      <c r="I270" s="2" t="s">
        <v>102</v>
      </c>
      <c r="O270" s="2" t="str">
        <f>_xlfn.LET(_xlpm.x, _xlfn.XLOOKUP(B270,Sheet3!N:N,Sheet3!O:O,""), IF(_xlpm.x=0,"",_xlpm.x))</f>
        <v>昆明市公安局五华分局</v>
      </c>
      <c r="P270" s="77" t="s">
        <v>7317</v>
      </c>
      <c r="Q270" s="2" t="s">
        <v>2911</v>
      </c>
      <c r="R270" s="2" t="s">
        <v>33</v>
      </c>
      <c r="S270" s="2">
        <v>18669083435</v>
      </c>
      <c r="T270" s="2" t="s">
        <v>244</v>
      </c>
      <c r="V270" s="2" t="str">
        <f>_xlfn.LET(_xlpm.x, _xlfn.XLOOKUP(X270,家庭成员!J:J,家庭成员!D:D,""), IF(_xlpm.x=0,"",_xlpm.x))</f>
        <v>张玉清</v>
      </c>
      <c r="W270" s="2" t="str">
        <f>_xlfn.LET(_xlpm.x, _xlfn.XLOOKUP(X270,家庭成员!J:J,家庭成员!C:C,""), IF(_xlpm.x=0,"",_xlpm.x))</f>
        <v>父亲</v>
      </c>
      <c r="X270" s="2" t="s">
        <v>2914</v>
      </c>
      <c r="Y270" s="2" t="s">
        <v>34</v>
      </c>
    </row>
    <row r="271" spans="1:25" ht="15.6" x14ac:dyDescent="0.25">
      <c r="A271" s="8" t="s">
        <v>3073</v>
      </c>
      <c r="B271" s="8" t="s">
        <v>3077</v>
      </c>
      <c r="C271" s="2" t="str">
        <f>_xlfn.XLOOKUP(B271,[1]Sheet2!BF:BF, [1]Sheet2!C:C, "")</f>
        <v>男</v>
      </c>
      <c r="D271" s="10" t="s">
        <v>3704</v>
      </c>
      <c r="E271" s="2" t="s">
        <v>27</v>
      </c>
      <c r="F271" s="2" t="s">
        <v>119</v>
      </c>
      <c r="G271" s="2" t="s">
        <v>474</v>
      </c>
      <c r="H271" s="2" t="s">
        <v>253</v>
      </c>
      <c r="I271" s="2" t="s">
        <v>102</v>
      </c>
      <c r="O271" s="2" t="str">
        <f>_xlfn.LET(_xlpm.x, _xlfn.XLOOKUP(B271,Sheet3!N:N,Sheet3!O:O,""), IF(_xlpm.x=0,"",_xlpm.x))</f>
        <v>个旧市公安局</v>
      </c>
      <c r="P271" s="77" t="s">
        <v>7179</v>
      </c>
      <c r="Q271" s="2" t="s">
        <v>2345</v>
      </c>
      <c r="R271" s="2" t="s">
        <v>33</v>
      </c>
      <c r="S271" s="2">
        <v>17387336171</v>
      </c>
      <c r="T271" s="2" t="s">
        <v>244</v>
      </c>
      <c r="V271" s="2" t="str">
        <f>_xlfn.LET(_xlpm.x, _xlfn.XLOOKUP(X271,家庭成员!J:J,家庭成员!D:D,""), IF(_xlpm.x=0,"",_xlpm.x))</f>
        <v>梁金艳</v>
      </c>
      <c r="W271" s="2" t="str">
        <f>_xlfn.LET(_xlpm.x, _xlfn.XLOOKUP(X271,家庭成员!J:J,家庭成员!C:C,""), IF(_xlpm.x=0,"",_xlpm.x))</f>
        <v>母亲</v>
      </c>
      <c r="X271" s="2" t="s">
        <v>3080</v>
      </c>
      <c r="Y271" s="2" t="s">
        <v>34</v>
      </c>
    </row>
    <row r="272" spans="1:25" ht="15.6" x14ac:dyDescent="0.25">
      <c r="A272" s="8" t="s">
        <v>3229</v>
      </c>
      <c r="B272" s="8" t="s">
        <v>3234</v>
      </c>
      <c r="C272" s="2" t="str">
        <f>_xlfn.XLOOKUP(B272,[1]Sheet2!BF:BF, [1]Sheet2!C:C, "")</f>
        <v>男</v>
      </c>
      <c r="D272" s="10" t="s">
        <v>3688</v>
      </c>
      <c r="E272" s="2" t="s">
        <v>27</v>
      </c>
      <c r="F272" s="2" t="s">
        <v>119</v>
      </c>
      <c r="G272" s="2" t="s">
        <v>252</v>
      </c>
      <c r="H272" s="2" t="s">
        <v>29</v>
      </c>
      <c r="I272" s="2" t="s">
        <v>102</v>
      </c>
      <c r="O272" s="2" t="str">
        <f>_xlfn.LET(_xlpm.x, _xlfn.XLOOKUP(B272,Sheet3!N:N,Sheet3!O:O,""), IF(_xlpm.x=0,"",_xlpm.x))</f>
        <v>昆明市公安局五华分局</v>
      </c>
      <c r="P272" s="77" t="s">
        <v>7318</v>
      </c>
      <c r="Q272" s="2" t="s">
        <v>3235</v>
      </c>
      <c r="R272" s="2" t="s">
        <v>33</v>
      </c>
      <c r="S272" s="2">
        <v>13987623110</v>
      </c>
      <c r="T272" s="2" t="s">
        <v>244</v>
      </c>
      <c r="V272" s="2" t="str">
        <f>_xlfn.LET(_xlpm.x, _xlfn.XLOOKUP(X272,家庭成员!J:J,家庭成员!D:D,""), IF(_xlpm.x=0,"",_xlpm.x))</f>
        <v>段林江</v>
      </c>
      <c r="W272" s="2" t="str">
        <f>_xlfn.LET(_xlpm.x, _xlfn.XLOOKUP(X272,家庭成员!J:J,家庭成员!C:C,""), IF(_xlpm.x=0,"",_xlpm.x))</f>
        <v>妻子</v>
      </c>
      <c r="X272" s="2" t="s">
        <v>3237</v>
      </c>
      <c r="Y272" s="2" t="s">
        <v>34</v>
      </c>
    </row>
    <row r="273" spans="1:25" ht="15.6" x14ac:dyDescent="0.25">
      <c r="A273" s="8" t="s">
        <v>3119</v>
      </c>
      <c r="B273" s="8" t="s">
        <v>3124</v>
      </c>
      <c r="C273" s="2" t="str">
        <f>_xlfn.XLOOKUP(B273,[1]Sheet2!BF:BF, [1]Sheet2!C:C, "")</f>
        <v>男</v>
      </c>
      <c r="D273" s="10" t="s">
        <v>3813</v>
      </c>
      <c r="E273" s="2" t="s">
        <v>27</v>
      </c>
      <c r="F273" s="2" t="s">
        <v>119</v>
      </c>
      <c r="G273" s="2" t="s">
        <v>270</v>
      </c>
      <c r="H273" s="2" t="s">
        <v>29</v>
      </c>
      <c r="I273" s="2" t="s">
        <v>102</v>
      </c>
      <c r="O273" s="2" t="str">
        <f>_xlfn.LET(_xlpm.x, _xlfn.XLOOKUP(B273,Sheet3!N:N,Sheet3!O:O,""), IF(_xlpm.x=0,"",_xlpm.x))</f>
        <v>弥勒市公安局</v>
      </c>
      <c r="P273" s="77" t="s">
        <v>7319</v>
      </c>
      <c r="Q273" s="2" t="s">
        <v>3125</v>
      </c>
      <c r="R273" s="2" t="s">
        <v>33</v>
      </c>
      <c r="S273" s="2">
        <v>13888839076</v>
      </c>
      <c r="T273" s="2" t="s">
        <v>244</v>
      </c>
      <c r="V273" s="2" t="str">
        <f>_xlfn.LET(_xlpm.x, _xlfn.XLOOKUP(X273,家庭成员!J:J,家庭成员!D:D,""), IF(_xlpm.x=0,"",_xlpm.x))</f>
        <v>黄梅</v>
      </c>
      <c r="W273" s="2" t="str">
        <f>_xlfn.LET(_xlpm.x, _xlfn.XLOOKUP(X273,家庭成员!J:J,家庭成员!C:C,""), IF(_xlpm.x=0,"",_xlpm.x))</f>
        <v>妻子</v>
      </c>
      <c r="X273" s="2" t="s">
        <v>3127</v>
      </c>
      <c r="Y273" s="2" t="s">
        <v>34</v>
      </c>
    </row>
    <row r="274" spans="1:25" ht="15.6" x14ac:dyDescent="0.25">
      <c r="A274" s="8" t="s">
        <v>2060</v>
      </c>
      <c r="B274" s="8" t="s">
        <v>2065</v>
      </c>
      <c r="C274" s="2" t="str">
        <f>_xlfn.XLOOKUP(B274,[1]Sheet2!BF:BF, [1]Sheet2!C:C, "")</f>
        <v>男</v>
      </c>
      <c r="D274" s="10" t="s">
        <v>3814</v>
      </c>
      <c r="E274" s="2" t="s">
        <v>27</v>
      </c>
      <c r="F274" s="2" t="s">
        <v>272</v>
      </c>
      <c r="G274" s="2" t="s">
        <v>270</v>
      </c>
      <c r="H274" s="2" t="s">
        <v>29</v>
      </c>
      <c r="I274" s="2" t="s">
        <v>102</v>
      </c>
      <c r="O274" s="2" t="str">
        <f>_xlfn.LET(_xlpm.x, _xlfn.XLOOKUP(B274,Sheet3!N:N,Sheet3!O:O,""), IF(_xlpm.x=0,"",_xlpm.x))</f>
        <v>弥勒市公安局</v>
      </c>
      <c r="P274" s="77" t="s">
        <v>7320</v>
      </c>
      <c r="Q274" s="2" t="s">
        <v>2066</v>
      </c>
      <c r="R274" s="2" t="s">
        <v>33</v>
      </c>
      <c r="S274" s="2">
        <v>18208804757</v>
      </c>
      <c r="T274" s="2" t="s">
        <v>2061</v>
      </c>
      <c r="V274" s="2" t="str">
        <f>_xlfn.LET(_xlpm.x, _xlfn.XLOOKUP(X274,家庭成员!J:J,家庭成员!D:D,""), IF(_xlpm.x=0,"",_xlpm.x))</f>
        <v>乐平生</v>
      </c>
      <c r="W274" s="2" t="str">
        <f>_xlfn.LET(_xlpm.x, _xlfn.XLOOKUP(X274,家庭成员!J:J,家庭成员!C:C,""), IF(_xlpm.x=0,"",_xlpm.x))</f>
        <v>父亲</v>
      </c>
      <c r="X274" s="2" t="s">
        <v>2069</v>
      </c>
      <c r="Y274" s="2" t="s">
        <v>34</v>
      </c>
    </row>
    <row r="275" spans="1:25" ht="15.6" x14ac:dyDescent="0.25">
      <c r="A275" s="8" t="s">
        <v>2260</v>
      </c>
      <c r="B275" s="8" t="s">
        <v>2265</v>
      </c>
      <c r="C275" s="2" t="str">
        <f>_xlfn.XLOOKUP(B275,[1]Sheet2!BF:BF, [1]Sheet2!C:C, "")</f>
        <v>男</v>
      </c>
      <c r="D275" s="10" t="s">
        <v>3714</v>
      </c>
      <c r="E275" s="2" t="s">
        <v>27</v>
      </c>
      <c r="F275" s="2" t="s">
        <v>119</v>
      </c>
      <c r="G275" s="2" t="s">
        <v>270</v>
      </c>
      <c r="H275" s="2" t="s">
        <v>253</v>
      </c>
      <c r="I275" s="2" t="s">
        <v>102</v>
      </c>
      <c r="O275" s="2" t="str">
        <f>_xlfn.LET(_xlpm.x, _xlfn.XLOOKUP(B275,Sheet3!N:N,Sheet3!O:O,""), IF(_xlpm.x=0,"",_xlpm.x))</f>
        <v>弥勒市公安局</v>
      </c>
      <c r="P275" s="77" t="s">
        <v>7321</v>
      </c>
      <c r="Q275" s="2" t="s">
        <v>2266</v>
      </c>
      <c r="R275" s="2" t="s">
        <v>33</v>
      </c>
      <c r="S275" s="2">
        <v>15752012996</v>
      </c>
      <c r="T275" s="2" t="s">
        <v>244</v>
      </c>
      <c r="V275" s="2" t="str">
        <f>_xlfn.LET(_xlpm.x, _xlfn.XLOOKUP(X275,家庭成员!J:J,家庭成员!D:D,""), IF(_xlpm.x=0,"",_xlpm.x))</f>
        <v/>
      </c>
      <c r="W275" s="2" t="str">
        <f>_xlfn.LET(_xlpm.x, _xlfn.XLOOKUP(X275,家庭成员!J:J,家庭成员!C:C,""), IF(_xlpm.x=0,"",_xlpm.x))</f>
        <v/>
      </c>
      <c r="X275" s="2" t="s">
        <v>244</v>
      </c>
      <c r="Y275" s="2" t="s">
        <v>34</v>
      </c>
    </row>
    <row r="276" spans="1:25" ht="15.6" x14ac:dyDescent="0.25">
      <c r="A276" s="8" t="s">
        <v>1456</v>
      </c>
      <c r="B276" s="8" t="s">
        <v>1463</v>
      </c>
      <c r="C276" s="2" t="str">
        <f>_xlfn.XLOOKUP(B276,[1]Sheet2!BF:BF, [1]Sheet2!C:C, "")</f>
        <v>男</v>
      </c>
      <c r="D276" s="10" t="s">
        <v>3799</v>
      </c>
      <c r="E276" s="2" t="s">
        <v>27</v>
      </c>
      <c r="F276" s="2" t="s">
        <v>272</v>
      </c>
      <c r="G276" s="2" t="s">
        <v>270</v>
      </c>
      <c r="H276" s="2" t="s">
        <v>253</v>
      </c>
      <c r="I276" s="2" t="s">
        <v>102</v>
      </c>
      <c r="O276" s="2" t="str">
        <f>_xlfn.LET(_xlpm.x, _xlfn.XLOOKUP(B276,Sheet3!N:N,Sheet3!O:O,""), IF(_xlpm.x=0,"",_xlpm.x))</f>
        <v>弥勒市公安局</v>
      </c>
      <c r="P276" s="77" t="s">
        <v>7247</v>
      </c>
      <c r="Q276" s="2" t="s">
        <v>826</v>
      </c>
      <c r="R276" s="2" t="s">
        <v>33</v>
      </c>
      <c r="S276" s="2">
        <v>18398631201</v>
      </c>
      <c r="T276" s="2" t="s">
        <v>1457</v>
      </c>
      <c r="V276" s="2" t="str">
        <f>_xlfn.LET(_xlpm.x, _xlfn.XLOOKUP(X276,家庭成员!J:J,家庭成员!D:D,""), IF(_xlpm.x=0,"",_xlpm.x))</f>
        <v>赵红瑞</v>
      </c>
      <c r="W276" s="2" t="str">
        <f>_xlfn.LET(_xlpm.x, _xlfn.XLOOKUP(X276,家庭成员!J:J,家庭成员!C:C,""), IF(_xlpm.x=0,"",_xlpm.x))</f>
        <v>父亲</v>
      </c>
      <c r="X276" s="2" t="s">
        <v>1467</v>
      </c>
      <c r="Y276" s="2" t="s">
        <v>34</v>
      </c>
    </row>
    <row r="277" spans="1:25" ht="15.6" x14ac:dyDescent="0.25">
      <c r="A277" s="8" t="s">
        <v>1777</v>
      </c>
      <c r="B277" s="8" t="s">
        <v>1780</v>
      </c>
      <c r="C277" s="2" t="str">
        <f>_xlfn.XLOOKUP(B277,[1]Sheet2!BF:BF, [1]Sheet2!C:C, "")</f>
        <v>男</v>
      </c>
      <c r="D277" s="10" t="s">
        <v>3724</v>
      </c>
      <c r="E277" s="2" t="s">
        <v>27</v>
      </c>
      <c r="F277" s="2" t="s">
        <v>272</v>
      </c>
      <c r="G277" s="2" t="s">
        <v>270</v>
      </c>
      <c r="H277" s="2" t="s">
        <v>253</v>
      </c>
      <c r="I277" s="2" t="s">
        <v>102</v>
      </c>
      <c r="O277" s="2" t="str">
        <f>_xlfn.LET(_xlpm.x, _xlfn.XLOOKUP(B277,Sheet3!N:N,Sheet3!O:O,""), IF(_xlpm.x=0,"",_xlpm.x))</f>
        <v>弥勒市公安局</v>
      </c>
      <c r="P277" s="77" t="s">
        <v>7196</v>
      </c>
      <c r="Q277" s="2" t="s">
        <v>1540</v>
      </c>
      <c r="R277" s="2" t="s">
        <v>33</v>
      </c>
      <c r="S277" s="2">
        <v>18214377518</v>
      </c>
      <c r="T277" s="2" t="s">
        <v>244</v>
      </c>
      <c r="V277" s="2" t="str">
        <f>_xlfn.LET(_xlpm.x, _xlfn.XLOOKUP(X277,家庭成员!J:J,家庭成员!D:D,""), IF(_xlpm.x=0,"",_xlpm.x))</f>
        <v/>
      </c>
      <c r="W277" s="2" t="str">
        <f>_xlfn.LET(_xlpm.x, _xlfn.XLOOKUP(X277,家庭成员!J:J,家庭成员!C:C,""), IF(_xlpm.x=0,"",_xlpm.x))</f>
        <v/>
      </c>
      <c r="X277" s="2" t="s">
        <v>244</v>
      </c>
      <c r="Y277" s="2" t="s">
        <v>34</v>
      </c>
    </row>
    <row r="278" spans="1:25" ht="15.6" x14ac:dyDescent="0.25">
      <c r="A278" s="8" t="s">
        <v>2945</v>
      </c>
      <c r="B278" s="8" t="s">
        <v>2950</v>
      </c>
      <c r="C278" s="2" t="str">
        <f>_xlfn.XLOOKUP(B278,[1]Sheet2!BF:BF, [1]Sheet2!C:C, "")</f>
        <v>男</v>
      </c>
      <c r="D278" s="10" t="s">
        <v>3791</v>
      </c>
      <c r="E278" s="2" t="s">
        <v>27</v>
      </c>
      <c r="F278" s="2" t="s">
        <v>119</v>
      </c>
      <c r="G278" s="2" t="s">
        <v>474</v>
      </c>
      <c r="H278" s="2" t="s">
        <v>253</v>
      </c>
      <c r="I278" s="2" t="s">
        <v>102</v>
      </c>
      <c r="O278" s="2" t="str">
        <f>_xlfn.LET(_xlpm.x, _xlfn.XLOOKUP(B278,Sheet3!N:N,Sheet3!O:O,""), IF(_xlpm.x=0,"",_xlpm.x))</f>
        <v>泸西县公安局</v>
      </c>
      <c r="P278" s="77" t="s">
        <v>7322</v>
      </c>
      <c r="Q278" s="2" t="s">
        <v>2951</v>
      </c>
      <c r="R278" s="2" t="s">
        <v>33</v>
      </c>
      <c r="S278" s="2">
        <v>15587176100</v>
      </c>
      <c r="T278" s="2" t="s">
        <v>244</v>
      </c>
      <c r="V278" s="2" t="str">
        <f>_xlfn.LET(_xlpm.x, _xlfn.XLOOKUP(X278,家庭成员!J:J,家庭成员!D:D,""), IF(_xlpm.x=0,"",_xlpm.x))</f>
        <v/>
      </c>
      <c r="W278" s="2" t="str">
        <f>_xlfn.LET(_xlpm.x, _xlfn.XLOOKUP(X278,家庭成员!J:J,家庭成员!C:C,""), IF(_xlpm.x=0,"",_xlpm.x))</f>
        <v/>
      </c>
      <c r="X278" s="2" t="s">
        <v>244</v>
      </c>
      <c r="Y278" s="2" t="s">
        <v>34</v>
      </c>
    </row>
    <row r="279" spans="1:25" ht="15.6" x14ac:dyDescent="0.25">
      <c r="A279" s="8" t="s">
        <v>3110</v>
      </c>
      <c r="B279" s="8" t="s">
        <v>3114</v>
      </c>
      <c r="C279" s="2" t="str">
        <f>_xlfn.XLOOKUP(B279,[1]Sheet2!BF:BF, [1]Sheet2!C:C, "")</f>
        <v>男</v>
      </c>
      <c r="D279" s="10" t="s">
        <v>3738</v>
      </c>
      <c r="E279" s="2" t="s">
        <v>27</v>
      </c>
      <c r="F279" s="2" t="s">
        <v>119</v>
      </c>
      <c r="G279" s="2" t="s">
        <v>252</v>
      </c>
      <c r="H279" s="2" t="s">
        <v>29</v>
      </c>
      <c r="I279" s="2" t="s">
        <v>102</v>
      </c>
      <c r="O279" s="2" t="str">
        <f>_xlfn.LET(_xlpm.x, _xlfn.XLOOKUP(B279,Sheet3!N:N,Sheet3!O:O,""), IF(_xlpm.x=0,"",_xlpm.x))</f>
        <v>昆明市公安局五华分局</v>
      </c>
      <c r="P279" s="77" t="s">
        <v>7323</v>
      </c>
      <c r="Q279" s="2" t="s">
        <v>3115</v>
      </c>
      <c r="R279" s="2" t="s">
        <v>33</v>
      </c>
      <c r="S279" s="2">
        <v>15969576601</v>
      </c>
      <c r="T279" s="2" t="s">
        <v>244</v>
      </c>
      <c r="V279" s="2" t="str">
        <f>_xlfn.LET(_xlpm.x, _xlfn.XLOOKUP(X279,家庭成员!J:J,家庭成员!D:D,""), IF(_xlpm.x=0,"",_xlpm.x))</f>
        <v>陈小海</v>
      </c>
      <c r="W279" s="2" t="str">
        <f>_xlfn.LET(_xlpm.x, _xlfn.XLOOKUP(X279,家庭成员!J:J,家庭成员!C:C,""), IF(_xlpm.x=0,"",_xlpm.x))</f>
        <v>父亲</v>
      </c>
      <c r="X279" s="2" t="s">
        <v>3118</v>
      </c>
      <c r="Y279" s="2" t="s">
        <v>34</v>
      </c>
    </row>
    <row r="280" spans="1:25" ht="15.6" x14ac:dyDescent="0.25">
      <c r="A280" s="8" t="s">
        <v>2528</v>
      </c>
      <c r="B280" s="8" t="s">
        <v>2533</v>
      </c>
      <c r="C280" s="2" t="str">
        <f>_xlfn.XLOOKUP(B280,[1]Sheet2!BF:BF, [1]Sheet2!C:C, "")</f>
        <v>男</v>
      </c>
      <c r="D280" s="10" t="s">
        <v>3691</v>
      </c>
      <c r="E280" s="2" t="s">
        <v>27</v>
      </c>
      <c r="F280" s="2" t="s">
        <v>119</v>
      </c>
      <c r="G280" s="2" t="s">
        <v>252</v>
      </c>
      <c r="H280" s="2" t="s">
        <v>29</v>
      </c>
      <c r="I280" s="2" t="s">
        <v>102</v>
      </c>
      <c r="O280" s="2" t="str">
        <f>_xlfn.LET(_xlpm.x, _xlfn.XLOOKUP(B280,Sheet3!N:N,Sheet3!O:O,""), IF(_xlpm.x=0,"",_xlpm.x))</f>
        <v>富民县公安局</v>
      </c>
      <c r="P280" s="77" t="s">
        <v>7324</v>
      </c>
      <c r="Q280" s="2" t="s">
        <v>2534</v>
      </c>
      <c r="R280" s="2" t="s">
        <v>33</v>
      </c>
      <c r="S280" s="2">
        <v>15125913625</v>
      </c>
      <c r="T280" s="2" t="s">
        <v>2529</v>
      </c>
      <c r="V280" s="2" t="str">
        <f>_xlfn.LET(_xlpm.x, _xlfn.XLOOKUP(X280,家庭成员!J:J,家庭成员!D:D,""), IF(_xlpm.x=0,"",_xlpm.x))</f>
        <v/>
      </c>
      <c r="W280" s="2" t="str">
        <f>_xlfn.LET(_xlpm.x, _xlfn.XLOOKUP(X280,家庭成员!J:J,家庭成员!C:C,""), IF(_xlpm.x=0,"",_xlpm.x))</f>
        <v/>
      </c>
      <c r="X280" s="2" t="s">
        <v>244</v>
      </c>
      <c r="Y280" s="2" t="s">
        <v>34</v>
      </c>
    </row>
    <row r="281" spans="1:25" ht="15.6" x14ac:dyDescent="0.25">
      <c r="A281" s="8" t="s">
        <v>2477</v>
      </c>
      <c r="B281" s="8" t="s">
        <v>2482</v>
      </c>
      <c r="C281" s="2" t="str">
        <f>_xlfn.XLOOKUP(B281,[1]Sheet2!BF:BF, [1]Sheet2!C:C, "")</f>
        <v>女</v>
      </c>
      <c r="D281" s="10" t="s">
        <v>3699</v>
      </c>
      <c r="E281" s="2" t="s">
        <v>27</v>
      </c>
      <c r="F281" s="2" t="s">
        <v>119</v>
      </c>
      <c r="G281" s="2" t="s">
        <v>474</v>
      </c>
      <c r="H281" s="2" t="s">
        <v>29</v>
      </c>
      <c r="I281" s="2" t="s">
        <v>102</v>
      </c>
      <c r="O281" s="2" t="str">
        <f>_xlfn.LET(_xlpm.x, _xlfn.XLOOKUP(B281,Sheet3!N:N,Sheet3!O:O,""), IF(_xlpm.x=0,"",_xlpm.x))</f>
        <v>沪西县公安局</v>
      </c>
      <c r="P281" s="77" t="s">
        <v>7325</v>
      </c>
      <c r="Q281" s="2" t="s">
        <v>2483</v>
      </c>
      <c r="R281" s="2" t="s">
        <v>33</v>
      </c>
      <c r="S281" s="2">
        <v>15198787239</v>
      </c>
      <c r="T281" s="2" t="s">
        <v>2478</v>
      </c>
      <c r="V281" s="2" t="str">
        <f>_xlfn.LET(_xlpm.x, _xlfn.XLOOKUP(X281,家庭成员!J:J,家庭成员!D:D,""), IF(_xlpm.x=0,"",_xlpm.x))</f>
        <v>邢双才</v>
      </c>
      <c r="W281" s="2" t="str">
        <f>_xlfn.LET(_xlpm.x, _xlfn.XLOOKUP(X281,家庭成员!J:J,家庭成员!C:C,""), IF(_xlpm.x=0,"",_xlpm.x))</f>
        <v>父亲</v>
      </c>
      <c r="X281" s="2" t="s">
        <v>2485</v>
      </c>
      <c r="Y281" s="2" t="s">
        <v>34</v>
      </c>
    </row>
    <row r="282" spans="1:25" ht="15.6" x14ac:dyDescent="0.25">
      <c r="A282" s="8" t="s">
        <v>1523</v>
      </c>
      <c r="B282" s="8" t="s">
        <v>1529</v>
      </c>
      <c r="C282" s="2" t="str">
        <f>_xlfn.XLOOKUP(B282,[1]Sheet2!BF:BF, [1]Sheet2!C:C, "")</f>
        <v>女</v>
      </c>
      <c r="D282" s="10" t="s">
        <v>3718</v>
      </c>
      <c r="E282" s="2" t="s">
        <v>27</v>
      </c>
      <c r="F282" s="2" t="s">
        <v>272</v>
      </c>
      <c r="G282" s="2" t="s">
        <v>270</v>
      </c>
      <c r="H282" s="2" t="s">
        <v>29</v>
      </c>
      <c r="I282" s="2" t="s">
        <v>102</v>
      </c>
      <c r="O282" s="2" t="str">
        <f>_xlfn.LET(_xlpm.x, _xlfn.XLOOKUP(B282,Sheet3!N:N,Sheet3!O:O,""), IF(_xlpm.x=0,"",_xlpm.x))</f>
        <v>泸西县公安局</v>
      </c>
      <c r="P282" s="77" t="s">
        <v>7326</v>
      </c>
      <c r="Q282" s="2" t="s">
        <v>1530</v>
      </c>
      <c r="R282" s="2" t="s">
        <v>33</v>
      </c>
      <c r="S282" s="2">
        <v>15126188306</v>
      </c>
      <c r="T282" s="2" t="s">
        <v>1524</v>
      </c>
      <c r="V282" s="2" t="str">
        <f>_xlfn.LET(_xlpm.x, _xlfn.XLOOKUP(X282,家庭成员!J:J,家庭成员!D:D,""), IF(_xlpm.x=0,"",_xlpm.x))</f>
        <v>杜老绕</v>
      </c>
      <c r="W282" s="2" t="str">
        <f>_xlfn.LET(_xlpm.x, _xlfn.XLOOKUP(X282,家庭成员!J:J,家庭成员!C:C,""), IF(_xlpm.x=0,"",_xlpm.x))</f>
        <v>父亲</v>
      </c>
      <c r="X282" s="2" t="s">
        <v>1533</v>
      </c>
      <c r="Y282" s="2" t="s">
        <v>34</v>
      </c>
    </row>
    <row r="283" spans="1:25" ht="15.6" x14ac:dyDescent="0.25">
      <c r="A283" s="8" t="s">
        <v>1607</v>
      </c>
      <c r="B283" s="8" t="s">
        <v>1612</v>
      </c>
      <c r="C283" s="2" t="str">
        <f>_xlfn.XLOOKUP(B283,[1]Sheet2!BF:BF, [1]Sheet2!C:C, "")</f>
        <v>男</v>
      </c>
      <c r="D283" s="10" t="s">
        <v>3815</v>
      </c>
      <c r="E283" s="2" t="s">
        <v>27</v>
      </c>
      <c r="F283" s="2" t="s">
        <v>272</v>
      </c>
      <c r="G283" s="2" t="s">
        <v>270</v>
      </c>
      <c r="H283" s="2" t="s">
        <v>29</v>
      </c>
      <c r="I283" s="2" t="s">
        <v>102</v>
      </c>
      <c r="O283" s="2" t="str">
        <f>_xlfn.LET(_xlpm.x, _xlfn.XLOOKUP(B283,Sheet3!N:N,Sheet3!O:O,""), IF(_xlpm.x=0,"",_xlpm.x))</f>
        <v>元阳县公安局</v>
      </c>
      <c r="P283" s="77" t="s">
        <v>7327</v>
      </c>
      <c r="Q283" s="2" t="s">
        <v>1613</v>
      </c>
      <c r="R283" s="2" t="s">
        <v>33</v>
      </c>
      <c r="S283" s="2">
        <v>15798739275</v>
      </c>
      <c r="T283" s="2" t="s">
        <v>244</v>
      </c>
      <c r="V283" s="2" t="str">
        <f>_xlfn.LET(_xlpm.x, _xlfn.XLOOKUP(X283,家庭成员!J:J,家庭成员!D:D,""), IF(_xlpm.x=0,"",_xlpm.x))</f>
        <v/>
      </c>
      <c r="W283" s="2" t="str">
        <f>_xlfn.LET(_xlpm.x, _xlfn.XLOOKUP(X283,家庭成员!J:J,家庭成员!C:C,""), IF(_xlpm.x=0,"",_xlpm.x))</f>
        <v/>
      </c>
      <c r="X283" s="2" t="s">
        <v>244</v>
      </c>
      <c r="Y283" s="2" t="s">
        <v>34</v>
      </c>
    </row>
    <row r="284" spans="1:25" ht="15.6" x14ac:dyDescent="0.25">
      <c r="A284" s="8" t="s">
        <v>835</v>
      </c>
      <c r="B284" s="8" t="s">
        <v>846</v>
      </c>
      <c r="C284" s="2" t="str">
        <f>_xlfn.XLOOKUP(B284,[1]Sheet2!BF:BF, [1]Sheet2!C:C, "")</f>
        <v>男</v>
      </c>
      <c r="D284" s="10" t="s">
        <v>3667</v>
      </c>
      <c r="E284" s="2" t="s">
        <v>838</v>
      </c>
      <c r="F284" s="2" t="s">
        <v>272</v>
      </c>
      <c r="G284" s="2" t="s">
        <v>270</v>
      </c>
      <c r="H284" s="2" t="s">
        <v>253</v>
      </c>
      <c r="I284" s="2" t="s">
        <v>102</v>
      </c>
      <c r="O284" s="2" t="str">
        <f>_xlfn.LET(_xlpm.x, _xlfn.XLOOKUP(B284,Sheet3!N:N,Sheet3!O:O,""), IF(_xlpm.x=0,"",_xlpm.x))</f>
        <v>砚山县公安局</v>
      </c>
      <c r="P284" s="77" t="s">
        <v>7328</v>
      </c>
      <c r="Q284" s="2" t="s">
        <v>847</v>
      </c>
      <c r="R284" s="2" t="s">
        <v>33</v>
      </c>
      <c r="S284" s="2">
        <v>18314452550</v>
      </c>
      <c r="T284" s="2" t="s">
        <v>836</v>
      </c>
      <c r="V284" s="2" t="str">
        <f>_xlfn.LET(_xlpm.x, _xlfn.XLOOKUP(X284,家庭成员!J:J,家庭成员!D:D,""), IF(_xlpm.x=0,"",_xlpm.x))</f>
        <v/>
      </c>
      <c r="W284" s="2" t="str">
        <f>_xlfn.LET(_xlpm.x, _xlfn.XLOOKUP(X284,家庭成员!J:J,家庭成员!C:C,""), IF(_xlpm.x=0,"",_xlpm.x))</f>
        <v/>
      </c>
      <c r="X284" s="2"/>
      <c r="Y284" s="2" t="s">
        <v>34</v>
      </c>
    </row>
    <row r="285" spans="1:25" ht="15.6" x14ac:dyDescent="0.25">
      <c r="A285" s="8" t="s">
        <v>2750</v>
      </c>
      <c r="B285" s="8" t="s">
        <v>2754</v>
      </c>
      <c r="C285" s="2" t="str">
        <f>_xlfn.XLOOKUP(B285,[1]Sheet2!BF:BF, [1]Sheet2!C:C, "")</f>
        <v>男</v>
      </c>
      <c r="D285" s="10" t="s">
        <v>3752</v>
      </c>
      <c r="E285" s="2" t="s">
        <v>27</v>
      </c>
      <c r="F285" s="2" t="s">
        <v>28</v>
      </c>
      <c r="G285" s="2" t="s">
        <v>270</v>
      </c>
      <c r="H285" s="2" t="s">
        <v>29</v>
      </c>
      <c r="I285" s="2" t="s">
        <v>102</v>
      </c>
      <c r="O285" s="2" t="str">
        <f>_xlfn.LET(_xlpm.x, _xlfn.XLOOKUP(B285,Sheet3!N:N,Sheet3!O:O,""), IF(_xlpm.x=0,"",_xlpm.x))</f>
        <v>西畴县公安局</v>
      </c>
      <c r="P285" s="77" t="s">
        <v>7329</v>
      </c>
      <c r="Q285" s="2" t="s">
        <v>2755</v>
      </c>
      <c r="R285" s="2" t="s">
        <v>33</v>
      </c>
      <c r="S285" s="2">
        <v>18787074470</v>
      </c>
      <c r="T285" s="2" t="s">
        <v>244</v>
      </c>
      <c r="V285" s="2" t="str">
        <f>_xlfn.LET(_xlpm.x, _xlfn.XLOOKUP(X285,家庭成员!J:J,家庭成员!D:D,""), IF(_xlpm.x=0,"",_xlpm.x))</f>
        <v/>
      </c>
      <c r="W285" s="2" t="str">
        <f>_xlfn.LET(_xlpm.x, _xlfn.XLOOKUP(X285,家庭成员!J:J,家庭成员!C:C,""), IF(_xlpm.x=0,"",_xlpm.x))</f>
        <v/>
      </c>
      <c r="X285" s="2" t="s">
        <v>244</v>
      </c>
      <c r="Y285" s="2" t="s">
        <v>34</v>
      </c>
    </row>
    <row r="286" spans="1:25" ht="15.6" x14ac:dyDescent="0.25">
      <c r="A286" s="8" t="s">
        <v>2936</v>
      </c>
      <c r="B286" s="8" t="s">
        <v>2941</v>
      </c>
      <c r="C286" s="2" t="str">
        <f>_xlfn.XLOOKUP(B286,[1]Sheet2!BF:BF, [1]Sheet2!C:C, "")</f>
        <v>男</v>
      </c>
      <c r="D286" s="10" t="s">
        <v>3816</v>
      </c>
      <c r="E286" s="2" t="s">
        <v>27</v>
      </c>
      <c r="F286" s="2" t="s">
        <v>119</v>
      </c>
      <c r="G286" s="2" t="s">
        <v>474</v>
      </c>
      <c r="H286" s="2" t="s">
        <v>253</v>
      </c>
      <c r="I286" s="2" t="s">
        <v>102</v>
      </c>
      <c r="O286" s="2" t="str">
        <f>_xlfn.LET(_xlpm.x, _xlfn.XLOOKUP(B286,Sheet3!N:N,Sheet3!O:O,""), IF(_xlpm.x=0,"",_xlpm.x))</f>
        <v>马关县公安局</v>
      </c>
      <c r="P286" s="77" t="s">
        <v>7330</v>
      </c>
      <c r="Q286" s="2" t="s">
        <v>2942</v>
      </c>
      <c r="R286" s="2" t="s">
        <v>33</v>
      </c>
      <c r="S286" s="2">
        <v>13759543028</v>
      </c>
      <c r="T286" s="2" t="s">
        <v>244</v>
      </c>
      <c r="V286" s="2" t="str">
        <f>_xlfn.LET(_xlpm.x, _xlfn.XLOOKUP(X286,家庭成员!J:J,家庭成员!D:D,""), IF(_xlpm.x=0,"",_xlpm.x))</f>
        <v>余文荣</v>
      </c>
      <c r="W286" s="2" t="str">
        <f>_xlfn.LET(_xlpm.x, _xlfn.XLOOKUP(X286,家庭成员!J:J,家庭成员!C:C,""), IF(_xlpm.x=0,"",_xlpm.x))</f>
        <v>父亲</v>
      </c>
      <c r="X286" s="2" t="s">
        <v>2944</v>
      </c>
      <c r="Y286" s="2" t="s">
        <v>34</v>
      </c>
    </row>
    <row r="287" spans="1:25" ht="15.6" x14ac:dyDescent="0.25">
      <c r="A287" s="8" t="s">
        <v>1596</v>
      </c>
      <c r="B287" s="8" t="s">
        <v>1601</v>
      </c>
      <c r="C287" s="2" t="str">
        <f>_xlfn.XLOOKUP(B287,[1]Sheet2!BF:BF, [1]Sheet2!C:C, "")</f>
        <v>女</v>
      </c>
      <c r="D287" s="10" t="s">
        <v>3817</v>
      </c>
      <c r="E287" s="2" t="s">
        <v>27</v>
      </c>
      <c r="F287" s="2" t="s">
        <v>119</v>
      </c>
      <c r="G287" s="2" t="s">
        <v>252</v>
      </c>
      <c r="H287" s="2" t="s">
        <v>29</v>
      </c>
      <c r="I287" s="2" t="s">
        <v>102</v>
      </c>
      <c r="O287" s="2" t="str">
        <f>_xlfn.LET(_xlpm.x, _xlfn.XLOOKUP(B287,Sheet3!N:N,Sheet3!O:O,""), IF(_xlpm.x=0,"",_xlpm.x))</f>
        <v>昆明市公安局官渡分局</v>
      </c>
      <c r="P287" s="77" t="s">
        <v>7331</v>
      </c>
      <c r="Q287" s="2" t="s">
        <v>1602</v>
      </c>
      <c r="R287" s="2" t="s">
        <v>33</v>
      </c>
      <c r="S287" s="2">
        <v>13708807976</v>
      </c>
      <c r="T287" s="2" t="s">
        <v>244</v>
      </c>
      <c r="V287" s="2" t="str">
        <f>_xlfn.LET(_xlpm.x, _xlfn.XLOOKUP(X287,家庭成员!J:J,家庭成员!D:D,""), IF(_xlpm.x=0,"",_xlpm.x))</f>
        <v/>
      </c>
      <c r="W287" s="2" t="str">
        <f>_xlfn.LET(_xlpm.x, _xlfn.XLOOKUP(X287,家庭成员!J:J,家庭成员!C:C,""), IF(_xlpm.x=0,"",_xlpm.x))</f>
        <v/>
      </c>
      <c r="X287" s="2" t="s">
        <v>244</v>
      </c>
      <c r="Y287" s="2" t="s">
        <v>34</v>
      </c>
    </row>
    <row r="288" spans="1:25" ht="15.6" x14ac:dyDescent="0.25">
      <c r="A288" s="8" t="s">
        <v>3536</v>
      </c>
      <c r="B288" s="8" t="s">
        <v>3540</v>
      </c>
      <c r="C288" s="2" t="str">
        <f>_xlfn.XLOOKUP(B288,[1]Sheet2!BF:BF, [1]Sheet2!C:C, "")</f>
        <v>男</v>
      </c>
      <c r="D288" s="10" t="s">
        <v>3818</v>
      </c>
      <c r="E288" s="2" t="s">
        <v>27</v>
      </c>
      <c r="F288" s="2" t="s">
        <v>119</v>
      </c>
      <c r="G288" s="2" t="s">
        <v>252</v>
      </c>
      <c r="H288" s="2" t="s">
        <v>29</v>
      </c>
      <c r="I288" s="2" t="s">
        <v>102</v>
      </c>
      <c r="O288" s="2" t="str">
        <f>_xlfn.LET(_xlpm.x, _xlfn.XLOOKUP(B288,Sheet3!N:N,Sheet3!O:O,""), IF(_xlpm.x=0,"",_xlpm.x))</f>
        <v>富民县公安局</v>
      </c>
      <c r="P288" s="77" t="s">
        <v>7332</v>
      </c>
      <c r="Q288" s="2" t="s">
        <v>3541</v>
      </c>
      <c r="R288" s="2" t="s">
        <v>33</v>
      </c>
      <c r="S288" s="2">
        <v>13577155431</v>
      </c>
      <c r="T288" s="2" t="s">
        <v>244</v>
      </c>
      <c r="V288" s="2" t="str">
        <f>_xlfn.LET(_xlpm.x, _xlfn.XLOOKUP(X288,家庭成员!J:J,家庭成员!D:D,""), IF(_xlpm.x=0,"",_xlpm.x))</f>
        <v>杨晓曼</v>
      </c>
      <c r="W288" s="2" t="str">
        <f>_xlfn.LET(_xlpm.x, _xlfn.XLOOKUP(X288,家庭成员!J:J,家庭成员!C:C,""), IF(_xlpm.x=0,"",_xlpm.x))</f>
        <v>妻子</v>
      </c>
      <c r="X288" s="2" t="s">
        <v>3543</v>
      </c>
      <c r="Y288" s="2" t="s">
        <v>34</v>
      </c>
    </row>
    <row r="289" spans="1:25" ht="15.6" x14ac:dyDescent="0.25">
      <c r="A289" s="8" t="s">
        <v>1793</v>
      </c>
      <c r="B289" s="8" t="s">
        <v>1799</v>
      </c>
      <c r="C289" s="2" t="str">
        <f>_xlfn.XLOOKUP(B289,[1]Sheet2!BF:BF, [1]Sheet2!C:C, "")</f>
        <v>女</v>
      </c>
      <c r="D289" s="10" t="s">
        <v>3815</v>
      </c>
      <c r="E289" s="2" t="s">
        <v>27</v>
      </c>
      <c r="F289" s="2" t="s">
        <v>272</v>
      </c>
      <c r="G289" s="2" t="s">
        <v>474</v>
      </c>
      <c r="H289" s="2" t="s">
        <v>253</v>
      </c>
      <c r="I289" s="2" t="s">
        <v>102</v>
      </c>
      <c r="O289" s="2" t="str">
        <f>_xlfn.LET(_xlpm.x, _xlfn.XLOOKUP(B289,Sheet3!N:N,Sheet3!O:O,""), IF(_xlpm.x=0,"",_xlpm.x))</f>
        <v>勐腊县公安局</v>
      </c>
      <c r="P289" s="77" t="s">
        <v>7333</v>
      </c>
      <c r="Q289" s="2" t="s">
        <v>1800</v>
      </c>
      <c r="R289" s="2" t="s">
        <v>33</v>
      </c>
      <c r="S289" s="2">
        <v>15288484919</v>
      </c>
      <c r="T289" s="2" t="s">
        <v>244</v>
      </c>
      <c r="V289" s="2" t="str">
        <f>_xlfn.LET(_xlpm.x, _xlfn.XLOOKUP(X289,家庭成员!J:J,家庭成员!D:D,""), IF(_xlpm.x=0,"",_xlpm.x))</f>
        <v/>
      </c>
      <c r="W289" s="2" t="str">
        <f>_xlfn.LET(_xlpm.x, _xlfn.XLOOKUP(X289,家庭成员!J:J,家庭成员!C:C,""), IF(_xlpm.x=0,"",_xlpm.x))</f>
        <v/>
      </c>
      <c r="X289" s="2" t="s">
        <v>244</v>
      </c>
      <c r="Y289" s="2" t="s">
        <v>34</v>
      </c>
    </row>
    <row r="290" spans="1:25" ht="15.6" x14ac:dyDescent="0.25">
      <c r="A290" s="8" t="s">
        <v>1479</v>
      </c>
      <c r="B290" s="8" t="s">
        <v>1485</v>
      </c>
      <c r="C290" s="2" t="str">
        <f>_xlfn.XLOOKUP(B290,[1]Sheet2!BF:BF, [1]Sheet2!C:C, "")</f>
        <v>女</v>
      </c>
      <c r="D290" s="10" t="s">
        <v>3759</v>
      </c>
      <c r="E290" s="2" t="s">
        <v>27</v>
      </c>
      <c r="F290" s="2" t="s">
        <v>28</v>
      </c>
      <c r="G290" s="2" t="s">
        <v>474</v>
      </c>
      <c r="H290" s="2" t="s">
        <v>253</v>
      </c>
      <c r="I290" s="2" t="s">
        <v>102</v>
      </c>
      <c r="O290" s="2" t="str">
        <f>_xlfn.LET(_xlpm.x, _xlfn.XLOOKUP(B290,Sheet3!N:N,Sheet3!O:O,""), IF(_xlpm.x=0,"",_xlpm.x))</f>
        <v>大理市公安局</v>
      </c>
      <c r="P290" s="77" t="s">
        <v>7334</v>
      </c>
      <c r="Q290" s="2" t="s">
        <v>1486</v>
      </c>
      <c r="R290" s="2" t="s">
        <v>33</v>
      </c>
      <c r="S290" s="2">
        <v>18787081626</v>
      </c>
      <c r="T290" s="2" t="s">
        <v>1480</v>
      </c>
      <c r="V290" s="2" t="str">
        <f>_xlfn.LET(_xlpm.x, _xlfn.XLOOKUP(X290,家庭成员!J:J,家庭成员!D:D,""), IF(_xlpm.x=0,"",_xlpm.x))</f>
        <v>何剑秋</v>
      </c>
      <c r="W290" s="2" t="str">
        <f>_xlfn.LET(_xlpm.x, _xlfn.XLOOKUP(X290,家庭成员!J:J,家庭成员!C:C,""), IF(_xlpm.x=0,"",_xlpm.x))</f>
        <v>父亲</v>
      </c>
      <c r="X290" s="2" t="s">
        <v>1490</v>
      </c>
      <c r="Y290" s="2" t="s">
        <v>34</v>
      </c>
    </row>
    <row r="291" spans="1:25" ht="15.6" x14ac:dyDescent="0.25">
      <c r="A291" s="8" t="s">
        <v>1337</v>
      </c>
      <c r="B291" s="8" t="s">
        <v>1341</v>
      </c>
      <c r="C291" s="2" t="str">
        <f>_xlfn.XLOOKUP(B291,[1]Sheet2!BF:BF, [1]Sheet2!C:C, "")</f>
        <v>男</v>
      </c>
      <c r="D291" s="10" t="s">
        <v>3819</v>
      </c>
      <c r="E291" s="2" t="s">
        <v>435</v>
      </c>
      <c r="F291" s="2" t="s">
        <v>272</v>
      </c>
      <c r="G291" s="2" t="s">
        <v>474</v>
      </c>
      <c r="H291" s="2" t="s">
        <v>253</v>
      </c>
      <c r="I291" s="2" t="s">
        <v>102</v>
      </c>
      <c r="O291" s="2" t="str">
        <f>_xlfn.LET(_xlpm.x, _xlfn.XLOOKUP(B291,Sheet3!N:N,Sheet3!O:O,""), IF(_xlpm.x=0,"",_xlpm.x))</f>
        <v>大理市公安局</v>
      </c>
      <c r="P291" s="77" t="s">
        <v>7335</v>
      </c>
      <c r="Q291" s="2" t="s">
        <v>1342</v>
      </c>
      <c r="R291" s="2" t="s">
        <v>33</v>
      </c>
      <c r="S291" s="2">
        <v>18313173437</v>
      </c>
      <c r="T291" s="2" t="s">
        <v>1338</v>
      </c>
      <c r="V291" s="2" t="str">
        <f>_xlfn.LET(_xlpm.x, _xlfn.XLOOKUP(X291,家庭成员!J:J,家庭成员!D:D,""), IF(_xlpm.x=0,"",_xlpm.x))</f>
        <v>费嘉</v>
      </c>
      <c r="W291" s="2" t="str">
        <f>_xlfn.LET(_xlpm.x, _xlfn.XLOOKUP(X291,家庭成员!J:J,家庭成员!C:C,""), IF(_xlpm.x=0,"",_xlpm.x))</f>
        <v>父亲</v>
      </c>
      <c r="X291" s="2" t="s">
        <v>1345</v>
      </c>
      <c r="Y291" s="2" t="s">
        <v>34</v>
      </c>
    </row>
    <row r="292" spans="1:25" ht="15.6" x14ac:dyDescent="0.25">
      <c r="A292" s="8" t="s">
        <v>1194</v>
      </c>
      <c r="B292" s="8" t="s">
        <v>1198</v>
      </c>
      <c r="C292" s="2" t="str">
        <f>_xlfn.XLOOKUP(B292,[1]Sheet2!BF:BF, [1]Sheet2!C:C, "")</f>
        <v>男</v>
      </c>
      <c r="D292" s="10" t="s">
        <v>3707</v>
      </c>
      <c r="E292" s="2" t="s">
        <v>27</v>
      </c>
      <c r="F292" s="2" t="s">
        <v>272</v>
      </c>
      <c r="G292" s="2" t="s">
        <v>270</v>
      </c>
      <c r="H292" s="2" t="s">
        <v>29</v>
      </c>
      <c r="I292" s="2" t="s">
        <v>102</v>
      </c>
      <c r="O292" s="2" t="str">
        <f>_xlfn.LET(_xlpm.x, _xlfn.XLOOKUP(B292,Sheet3!N:N,Sheet3!O:O,""), IF(_xlpm.x=0,"",_xlpm.x))</f>
        <v>祥云县公安局</v>
      </c>
      <c r="P292" s="77" t="s">
        <v>7336</v>
      </c>
      <c r="Q292" s="2" t="s">
        <v>1199</v>
      </c>
      <c r="R292" s="2" t="s">
        <v>33</v>
      </c>
      <c r="S292" s="2">
        <v>18314403284</v>
      </c>
      <c r="T292" s="2" t="s">
        <v>244</v>
      </c>
      <c r="V292" s="2" t="str">
        <f>_xlfn.LET(_xlpm.x, _xlfn.XLOOKUP(X292,家庭成员!J:J,家庭成员!D:D,""), IF(_xlpm.x=0,"",_xlpm.x))</f>
        <v>庞颖辉</v>
      </c>
      <c r="W292" s="2" t="str">
        <f>_xlfn.LET(_xlpm.x, _xlfn.XLOOKUP(X292,家庭成员!J:J,家庭成员!C:C,""), IF(_xlpm.x=0,"",_xlpm.x))</f>
        <v>姐姐</v>
      </c>
      <c r="X292" s="2" t="s">
        <v>1202</v>
      </c>
      <c r="Y292" s="2" t="s">
        <v>34</v>
      </c>
    </row>
    <row r="293" spans="1:25" ht="15.6" x14ac:dyDescent="0.25">
      <c r="A293" s="8" t="s">
        <v>994</v>
      </c>
      <c r="B293" s="8" t="s">
        <v>1002</v>
      </c>
      <c r="C293" s="2" t="str">
        <f>_xlfn.XLOOKUP(B293,[1]Sheet2!BF:BF, [1]Sheet2!C:C, "")</f>
        <v>男</v>
      </c>
      <c r="D293" s="10" t="s">
        <v>3820</v>
      </c>
      <c r="E293" s="2" t="s">
        <v>27</v>
      </c>
      <c r="F293" s="2" t="s">
        <v>272</v>
      </c>
      <c r="G293" s="2" t="s">
        <v>293</v>
      </c>
      <c r="H293" s="2" t="s">
        <v>253</v>
      </c>
      <c r="I293" s="2" t="s">
        <v>102</v>
      </c>
      <c r="O293" s="2" t="str">
        <f>_xlfn.LET(_xlpm.x, _xlfn.XLOOKUP(B293,Sheet3!N:N,Sheet3!O:O,""), IF(_xlpm.x=0,"",_xlpm.x))</f>
        <v>祥云县公安局</v>
      </c>
      <c r="P293" s="77" t="s">
        <v>7337</v>
      </c>
      <c r="Q293" s="2" t="s">
        <v>1003</v>
      </c>
      <c r="R293" s="2" t="s">
        <v>33</v>
      </c>
      <c r="S293" s="2">
        <v>15887300039</v>
      </c>
      <c r="T293" s="2" t="s">
        <v>995</v>
      </c>
      <c r="V293" s="2" t="str">
        <f>_xlfn.LET(_xlpm.x, _xlfn.XLOOKUP(X293,家庭成员!J:J,家庭成员!D:D,""), IF(_xlpm.x=0,"",_xlpm.x))</f>
        <v/>
      </c>
      <c r="W293" s="2" t="str">
        <f>_xlfn.LET(_xlpm.x, _xlfn.XLOOKUP(X293,家庭成员!J:J,家庭成员!C:C,""), IF(_xlpm.x=0,"",_xlpm.x))</f>
        <v/>
      </c>
      <c r="X293" s="2"/>
      <c r="Y293" s="2" t="s">
        <v>34</v>
      </c>
    </row>
    <row r="294" spans="1:25" ht="15.6" x14ac:dyDescent="0.25">
      <c r="A294" s="8" t="s">
        <v>607</v>
      </c>
      <c r="B294" s="8" t="s">
        <v>611</v>
      </c>
      <c r="C294" s="2" t="str">
        <f>_xlfn.XLOOKUP(B294,[1]Sheet2!BF:BF, [1]Sheet2!C:C, "")</f>
        <v>男</v>
      </c>
      <c r="D294" s="10" t="s">
        <v>3778</v>
      </c>
      <c r="E294" s="2" t="s">
        <v>27</v>
      </c>
      <c r="F294" s="2" t="s">
        <v>119</v>
      </c>
      <c r="G294" s="2" t="s">
        <v>270</v>
      </c>
      <c r="H294" s="2" t="s">
        <v>253</v>
      </c>
      <c r="I294" s="2" t="s">
        <v>102</v>
      </c>
      <c r="O294" s="2" t="str">
        <f>_xlfn.LET(_xlpm.x, _xlfn.XLOOKUP(B294,Sheet3!N:N,Sheet3!O:O,""), IF(_xlpm.x=0,"",_xlpm.x))</f>
        <v>祥云县公安局</v>
      </c>
      <c r="P294" s="77" t="s">
        <v>7225</v>
      </c>
      <c r="Q294" s="2" t="s">
        <v>612</v>
      </c>
      <c r="R294" s="2" t="s">
        <v>33</v>
      </c>
      <c r="S294" s="2">
        <v>15096946818</v>
      </c>
      <c r="T294" s="2" t="s">
        <v>244</v>
      </c>
      <c r="V294" s="2" t="str">
        <f>_xlfn.LET(_xlpm.x, _xlfn.XLOOKUP(X294,家庭成员!J:J,家庭成员!D:D,""), IF(_xlpm.x=0,"",_xlpm.x))</f>
        <v/>
      </c>
      <c r="W294" s="2" t="str">
        <f>_xlfn.LET(_xlpm.x, _xlfn.XLOOKUP(X294,家庭成员!J:J,家庭成员!C:C,""), IF(_xlpm.x=0,"",_xlpm.x))</f>
        <v/>
      </c>
      <c r="X294" s="2" t="s">
        <v>244</v>
      </c>
      <c r="Y294" s="2" t="s">
        <v>34</v>
      </c>
    </row>
    <row r="295" spans="1:25" ht="15.6" x14ac:dyDescent="0.25">
      <c r="A295" s="8" t="s">
        <v>2117</v>
      </c>
      <c r="B295" s="8" t="s">
        <v>2121</v>
      </c>
      <c r="C295" s="2" t="str">
        <f>_xlfn.XLOOKUP(B295,[1]Sheet2!BF:BF, [1]Sheet2!C:C, "")</f>
        <v>男</v>
      </c>
      <c r="D295" s="10" t="s">
        <v>3700</v>
      </c>
      <c r="E295" s="2" t="s">
        <v>27</v>
      </c>
      <c r="F295" s="2" t="s">
        <v>119</v>
      </c>
      <c r="G295" s="2" t="s">
        <v>270</v>
      </c>
      <c r="H295" s="2" t="s">
        <v>29</v>
      </c>
      <c r="I295" s="2" t="s">
        <v>102</v>
      </c>
      <c r="O295" s="2" t="str">
        <f>_xlfn.LET(_xlpm.x, _xlfn.XLOOKUP(B295,Sheet3!N:N,Sheet3!O:O,""), IF(_xlpm.x=0,"",_xlpm.x))</f>
        <v>宾川县公安局</v>
      </c>
      <c r="P295" s="77" t="s">
        <v>7338</v>
      </c>
      <c r="Q295" s="2" t="s">
        <v>2122</v>
      </c>
      <c r="R295" s="2" t="s">
        <v>33</v>
      </c>
      <c r="S295" s="2">
        <v>15288462754</v>
      </c>
      <c r="T295" s="2" t="s">
        <v>244</v>
      </c>
      <c r="V295" s="2" t="str">
        <f>_xlfn.LET(_xlpm.x, _xlfn.XLOOKUP(X295,家庭成员!J:J,家庭成员!D:D,""), IF(_xlpm.x=0,"",_xlpm.x))</f>
        <v/>
      </c>
      <c r="W295" s="2" t="str">
        <f>_xlfn.LET(_xlpm.x, _xlfn.XLOOKUP(X295,家庭成员!J:J,家庭成员!C:C,""), IF(_xlpm.x=0,"",_xlpm.x))</f>
        <v/>
      </c>
      <c r="X295" s="2" t="s">
        <v>244</v>
      </c>
      <c r="Y295" s="2" t="s">
        <v>34</v>
      </c>
    </row>
    <row r="296" spans="1:25" ht="15.6" x14ac:dyDescent="0.25">
      <c r="A296" s="8" t="s">
        <v>2447</v>
      </c>
      <c r="B296" s="8" t="s">
        <v>2452</v>
      </c>
      <c r="C296" s="2" t="str">
        <f>_xlfn.XLOOKUP(B296,[1]Sheet2!BF:BF, [1]Sheet2!C:C, "")</f>
        <v>女</v>
      </c>
      <c r="D296" s="10" t="s">
        <v>3821</v>
      </c>
      <c r="E296" s="2" t="s">
        <v>435</v>
      </c>
      <c r="F296" s="2" t="s">
        <v>272</v>
      </c>
      <c r="G296" s="2" t="s">
        <v>270</v>
      </c>
      <c r="H296" s="2" t="s">
        <v>1349</v>
      </c>
      <c r="I296" s="2" t="s">
        <v>102</v>
      </c>
      <c r="O296" s="2" t="str">
        <f>_xlfn.LET(_xlpm.x, _xlfn.XLOOKUP(B296,Sheet3!N:N,Sheet3!O:O,""), IF(_xlpm.x=0,"",_xlpm.x))</f>
        <v>宾川县公安局</v>
      </c>
      <c r="P296" s="77" t="s">
        <v>7201</v>
      </c>
      <c r="Q296" s="2" t="s">
        <v>2453</v>
      </c>
      <c r="R296" s="2" t="s">
        <v>33</v>
      </c>
      <c r="S296" s="2">
        <v>15912591533</v>
      </c>
      <c r="T296" s="2" t="s">
        <v>244</v>
      </c>
      <c r="V296" s="2" t="str">
        <f>_xlfn.LET(_xlpm.x, _xlfn.XLOOKUP(X296,家庭成员!J:J,家庭成员!D:D,""), IF(_xlpm.x=0,"",_xlpm.x))</f>
        <v>张政财</v>
      </c>
      <c r="W296" s="2" t="str">
        <f>_xlfn.LET(_xlpm.x, _xlfn.XLOOKUP(X296,家庭成员!J:J,家庭成员!C:C,""), IF(_xlpm.x=0,"",_xlpm.x))</f>
        <v>父亲</v>
      </c>
      <c r="X296" s="2" t="s">
        <v>2457</v>
      </c>
      <c r="Y296" s="2" t="s">
        <v>34</v>
      </c>
    </row>
    <row r="297" spans="1:25" ht="15.6" x14ac:dyDescent="0.25">
      <c r="A297" s="8" t="s">
        <v>1127</v>
      </c>
      <c r="B297" s="8" t="s">
        <v>1135</v>
      </c>
      <c r="C297" s="2" t="str">
        <f>_xlfn.XLOOKUP(B297,[1]Sheet2!BF:BF, [1]Sheet2!C:C, "")</f>
        <v>女</v>
      </c>
      <c r="D297" s="10" t="s">
        <v>3822</v>
      </c>
      <c r="E297" s="2" t="s">
        <v>251</v>
      </c>
      <c r="F297" s="2" t="s">
        <v>272</v>
      </c>
      <c r="G297" s="2" t="s">
        <v>270</v>
      </c>
      <c r="H297" s="2" t="s">
        <v>253</v>
      </c>
      <c r="I297" s="2" t="s">
        <v>102</v>
      </c>
      <c r="O297" s="2" t="str">
        <f>_xlfn.LET(_xlpm.x, _xlfn.XLOOKUP(B297,Sheet3!N:N,Sheet3!O:O,""), IF(_xlpm.x=0,"",_xlpm.x))</f>
        <v>南涧彝族自治县公安局</v>
      </c>
      <c r="P297" s="77" t="s">
        <v>7339</v>
      </c>
      <c r="Q297" s="2" t="s">
        <v>1136</v>
      </c>
      <c r="R297" s="2" t="s">
        <v>33</v>
      </c>
      <c r="S297" s="2">
        <v>15125061349</v>
      </c>
      <c r="T297" s="2" t="s">
        <v>1128</v>
      </c>
      <c r="V297" s="2" t="str">
        <f>_xlfn.LET(_xlpm.x, _xlfn.XLOOKUP(X297,家庭成员!J:J,家庭成员!D:D,""), IF(_xlpm.x=0,"",_xlpm.x))</f>
        <v>陈春武</v>
      </c>
      <c r="W297" s="2" t="str">
        <f>_xlfn.LET(_xlpm.x, _xlfn.XLOOKUP(X297,家庭成员!J:J,家庭成员!C:C,""), IF(_xlpm.x=0,"",_xlpm.x))</f>
        <v>父亲</v>
      </c>
      <c r="X297" s="2" t="s">
        <v>1141</v>
      </c>
      <c r="Y297" s="2" t="s">
        <v>34</v>
      </c>
    </row>
    <row r="298" spans="1:25" ht="15.6" x14ac:dyDescent="0.25">
      <c r="A298" s="8" t="s">
        <v>2734</v>
      </c>
      <c r="B298" s="8" t="s">
        <v>2738</v>
      </c>
      <c r="C298" s="2" t="str">
        <f>_xlfn.XLOOKUP(B298,[1]Sheet2!BF:BF, [1]Sheet2!C:C, "")</f>
        <v>女</v>
      </c>
      <c r="D298" s="10" t="s">
        <v>3801</v>
      </c>
      <c r="E298" s="2" t="s">
        <v>27</v>
      </c>
      <c r="F298" s="2" t="s">
        <v>119</v>
      </c>
      <c r="G298" s="2" t="s">
        <v>270</v>
      </c>
      <c r="H298" s="2" t="s">
        <v>29</v>
      </c>
      <c r="I298" s="2" t="s">
        <v>102</v>
      </c>
      <c r="O298" s="2" t="str">
        <f>_xlfn.LET(_xlpm.x, _xlfn.XLOOKUP(B298,Sheet3!N:N,Sheet3!O:O,""), IF(_xlpm.x=0,"",_xlpm.x))</f>
        <v>永平县公安局</v>
      </c>
      <c r="P298" s="77" t="s">
        <v>7340</v>
      </c>
      <c r="Q298" s="2" t="s">
        <v>2739</v>
      </c>
      <c r="R298" s="2" t="s">
        <v>33</v>
      </c>
      <c r="S298" s="2">
        <v>18725013147</v>
      </c>
      <c r="T298" s="2" t="s">
        <v>244</v>
      </c>
      <c r="V298" s="2" t="str">
        <f>_xlfn.LET(_xlpm.x, _xlfn.XLOOKUP(X298,家庭成员!J:J,家庭成员!D:D,""), IF(_xlpm.x=0,"",_xlpm.x))</f>
        <v>字凤金</v>
      </c>
      <c r="W298" s="2" t="str">
        <f>_xlfn.LET(_xlpm.x, _xlfn.XLOOKUP(X298,家庭成员!J:J,家庭成员!C:C,""), IF(_xlpm.x=0,"",_xlpm.x))</f>
        <v>父亲</v>
      </c>
      <c r="X298" s="2" t="s">
        <v>2741</v>
      </c>
      <c r="Y298" s="2" t="s">
        <v>34</v>
      </c>
    </row>
    <row r="299" spans="1:25" ht="15.6" x14ac:dyDescent="0.25">
      <c r="A299" s="8" t="s">
        <v>3482</v>
      </c>
      <c r="B299" s="8" t="s">
        <v>3485</v>
      </c>
      <c r="C299" s="2" t="str">
        <f>_xlfn.XLOOKUP(B299,[1]Sheet2!BF:BF, [1]Sheet2!C:C, "")</f>
        <v>男</v>
      </c>
      <c r="D299" s="10" t="s">
        <v>3791</v>
      </c>
      <c r="E299" s="2" t="s">
        <v>435</v>
      </c>
      <c r="F299" s="2" t="s">
        <v>119</v>
      </c>
      <c r="G299" s="2" t="s">
        <v>474</v>
      </c>
      <c r="H299" s="2" t="s">
        <v>29</v>
      </c>
      <c r="I299" s="2" t="s">
        <v>102</v>
      </c>
      <c r="O299" s="2" t="str">
        <f>_xlfn.LET(_xlpm.x, _xlfn.XLOOKUP(B299,Sheet3!N:N,Sheet3!O:O,""), IF(_xlpm.x=0,"",_xlpm.x))</f>
        <v>洱源县公安局</v>
      </c>
      <c r="P299" s="77" t="s">
        <v>7341</v>
      </c>
      <c r="Q299" s="2" t="s">
        <v>3486</v>
      </c>
      <c r="R299" s="2" t="s">
        <v>33</v>
      </c>
      <c r="S299" s="2">
        <v>15987104100</v>
      </c>
      <c r="T299" s="2" t="s">
        <v>244</v>
      </c>
      <c r="V299" s="2" t="str">
        <f>_xlfn.LET(_xlpm.x, _xlfn.XLOOKUP(X299,家庭成员!J:J,家庭成员!D:D,""), IF(_xlpm.x=0,"",_xlpm.x))</f>
        <v/>
      </c>
      <c r="W299" s="2" t="str">
        <f>_xlfn.LET(_xlpm.x, _xlfn.XLOOKUP(X299,家庭成员!J:J,家庭成员!C:C,""), IF(_xlpm.x=0,"",_xlpm.x))</f>
        <v/>
      </c>
      <c r="X299" s="2" t="s">
        <v>244</v>
      </c>
      <c r="Y299" s="2" t="s">
        <v>34</v>
      </c>
    </row>
    <row r="300" spans="1:25" ht="15.6" x14ac:dyDescent="0.25">
      <c r="A300" s="8" t="s">
        <v>1919</v>
      </c>
      <c r="B300" s="8" t="s">
        <v>1922</v>
      </c>
      <c r="C300" s="2" t="str">
        <f>_xlfn.XLOOKUP(B300,[1]Sheet2!BF:BF, [1]Sheet2!C:C, "")</f>
        <v>男</v>
      </c>
      <c r="D300" s="10" t="s">
        <v>3823</v>
      </c>
      <c r="E300" s="2" t="s">
        <v>435</v>
      </c>
      <c r="F300" s="2" t="s">
        <v>119</v>
      </c>
      <c r="G300" s="2" t="s">
        <v>252</v>
      </c>
      <c r="H300" s="2" t="s">
        <v>29</v>
      </c>
      <c r="I300" s="2" t="s">
        <v>102</v>
      </c>
      <c r="O300" s="2" t="str">
        <f>_xlfn.LET(_xlpm.x, _xlfn.XLOOKUP(B300,Sheet3!N:N,Sheet3!O:O,""), IF(_xlpm.x=0,"",_xlpm.x))</f>
        <v>昆明市公安局盘龙分局</v>
      </c>
      <c r="P300" s="77" t="s">
        <v>7342</v>
      </c>
      <c r="Q300" s="2" t="s">
        <v>1923</v>
      </c>
      <c r="R300" s="2" t="s">
        <v>33</v>
      </c>
      <c r="S300" s="2">
        <v>15087159335</v>
      </c>
      <c r="T300" s="2" t="s">
        <v>244</v>
      </c>
      <c r="V300" s="2" t="str">
        <f>_xlfn.LET(_xlpm.x, _xlfn.XLOOKUP(X300,家庭成员!J:J,家庭成员!D:D,""), IF(_xlpm.x=0,"",_xlpm.x))</f>
        <v/>
      </c>
      <c r="W300" s="2" t="str">
        <f>_xlfn.LET(_xlpm.x, _xlfn.XLOOKUP(X300,家庭成员!J:J,家庭成员!C:C,""), IF(_xlpm.x=0,"",_xlpm.x))</f>
        <v/>
      </c>
      <c r="X300" s="2" t="s">
        <v>244</v>
      </c>
      <c r="Y300" s="2" t="s">
        <v>34</v>
      </c>
    </row>
    <row r="301" spans="1:25" ht="15.6" x14ac:dyDescent="0.25">
      <c r="A301" s="8" t="s">
        <v>432</v>
      </c>
      <c r="B301" s="8" t="s">
        <v>444</v>
      </c>
      <c r="C301" s="2" t="str">
        <f>_xlfn.XLOOKUP(B301,[1]Sheet2!BF:BF, [1]Sheet2!C:C, "")</f>
        <v>男</v>
      </c>
      <c r="D301" s="10" t="s">
        <v>3618</v>
      </c>
      <c r="E301" s="2" t="s">
        <v>435</v>
      </c>
      <c r="F301" s="2" t="s">
        <v>28</v>
      </c>
      <c r="G301" s="2" t="s">
        <v>252</v>
      </c>
      <c r="H301" s="2" t="s">
        <v>29</v>
      </c>
      <c r="I301" s="2" t="s">
        <v>102</v>
      </c>
      <c r="O301" s="2" t="str">
        <f>_xlfn.LET(_xlpm.x, _xlfn.XLOOKUP(B301,Sheet3!N:N,Sheet3!O:O,""), IF(_xlpm.x=0,"",_xlpm.x))</f>
        <v>昆明市公安局西山分局</v>
      </c>
      <c r="P301" s="77" t="s">
        <v>7343</v>
      </c>
      <c r="Q301" s="2" t="s">
        <v>445</v>
      </c>
      <c r="R301" s="2" t="s">
        <v>33</v>
      </c>
      <c r="S301" s="2">
        <v>18064846354</v>
      </c>
      <c r="T301" s="2" t="s">
        <v>433</v>
      </c>
      <c r="V301" s="2" t="str">
        <f>_xlfn.LET(_xlpm.x, _xlfn.XLOOKUP(X301,家庭成员!J:J,家庭成员!D:D,""), IF(_xlpm.x=0,"",_xlpm.x))</f>
        <v/>
      </c>
      <c r="W301" s="2" t="str">
        <f>_xlfn.LET(_xlpm.x, _xlfn.XLOOKUP(X301,家庭成员!J:J,家庭成员!C:C,""), IF(_xlpm.x=0,"",_xlpm.x))</f>
        <v/>
      </c>
      <c r="X301" s="2"/>
      <c r="Y301" s="2" t="s">
        <v>34</v>
      </c>
    </row>
    <row r="302" spans="1:25" ht="15.6" x14ac:dyDescent="0.25">
      <c r="A302" s="8" t="s">
        <v>1272</v>
      </c>
      <c r="B302" s="8" t="s">
        <v>1276</v>
      </c>
      <c r="C302" s="2" t="str">
        <f>_xlfn.XLOOKUP(B302,[1]Sheet2!BF:BF, [1]Sheet2!C:C, "")</f>
        <v>男</v>
      </c>
      <c r="D302" s="10" t="s">
        <v>3824</v>
      </c>
      <c r="E302" s="2" t="s">
        <v>435</v>
      </c>
      <c r="F302" s="2" t="s">
        <v>272</v>
      </c>
      <c r="G302" s="2" t="s">
        <v>270</v>
      </c>
      <c r="H302" s="2" t="s">
        <v>253</v>
      </c>
      <c r="I302" s="2" t="s">
        <v>102</v>
      </c>
      <c r="O302" s="2" t="str">
        <f>_xlfn.LET(_xlpm.x, _xlfn.XLOOKUP(B302,Sheet3!N:N,Sheet3!O:O,""), IF(_xlpm.x=0,"",_xlpm.x))</f>
        <v>洱源县公安局</v>
      </c>
      <c r="P302" s="77" t="s">
        <v>7344</v>
      </c>
      <c r="Q302" s="2" t="s">
        <v>1277</v>
      </c>
      <c r="R302" s="2" t="s">
        <v>33</v>
      </c>
      <c r="S302" s="2">
        <v>15502925583</v>
      </c>
      <c r="T302" s="2" t="s">
        <v>244</v>
      </c>
      <c r="V302" s="2" t="str">
        <f>_xlfn.LET(_xlpm.x, _xlfn.XLOOKUP(X302,家庭成员!J:J,家庭成员!D:D,""), IF(_xlpm.x=0,"",_xlpm.x))</f>
        <v>张锡芬</v>
      </c>
      <c r="W302" s="2" t="str">
        <f>_xlfn.LET(_xlpm.x, _xlfn.XLOOKUP(X302,家庭成员!J:J,家庭成员!C:C,""), IF(_xlpm.x=0,"",_xlpm.x))</f>
        <v>母亲</v>
      </c>
      <c r="X302" s="2" t="s">
        <v>1280</v>
      </c>
      <c r="Y302" s="2" t="s">
        <v>34</v>
      </c>
    </row>
    <row r="303" spans="1:25" ht="15.6" x14ac:dyDescent="0.25">
      <c r="A303" s="8" t="s">
        <v>1736</v>
      </c>
      <c r="B303" s="8" t="s">
        <v>1742</v>
      </c>
      <c r="C303" s="2" t="str">
        <f>_xlfn.XLOOKUP(B303,[1]Sheet2!BF:BF, [1]Sheet2!C:C, "")</f>
        <v>男</v>
      </c>
      <c r="D303" s="10" t="s">
        <v>3825</v>
      </c>
      <c r="E303" s="2" t="s">
        <v>435</v>
      </c>
      <c r="F303" s="2" t="s">
        <v>272</v>
      </c>
      <c r="G303" s="2" t="s">
        <v>270</v>
      </c>
      <c r="H303" s="2" t="s">
        <v>29</v>
      </c>
      <c r="I303" s="2" t="s">
        <v>102</v>
      </c>
      <c r="O303" s="2" t="str">
        <f>_xlfn.LET(_xlpm.x, _xlfn.XLOOKUP(B303,Sheet3!N:N,Sheet3!O:O,""), IF(_xlpm.x=0,"",_xlpm.x))</f>
        <v>剑川县公安局</v>
      </c>
      <c r="P303" s="77" t="s">
        <v>7345</v>
      </c>
      <c r="Q303" s="2" t="s">
        <v>1743</v>
      </c>
      <c r="R303" s="2" t="s">
        <v>33</v>
      </c>
      <c r="S303" s="2">
        <v>18087364637</v>
      </c>
      <c r="T303" s="2" t="s">
        <v>1737</v>
      </c>
      <c r="V303" s="2" t="str">
        <f>_xlfn.LET(_xlpm.x, _xlfn.XLOOKUP(X303,家庭成员!J:J,家庭成员!D:D,""), IF(_xlpm.x=0,"",_xlpm.x))</f>
        <v/>
      </c>
      <c r="W303" s="2" t="str">
        <f>_xlfn.LET(_xlpm.x, _xlfn.XLOOKUP(X303,家庭成员!J:J,家庭成员!C:C,""), IF(_xlpm.x=0,"",_xlpm.x))</f>
        <v/>
      </c>
      <c r="X303" s="2" t="s">
        <v>244</v>
      </c>
      <c r="Y303" s="2" t="s">
        <v>34</v>
      </c>
    </row>
    <row r="304" spans="1:25" ht="15.6" x14ac:dyDescent="0.25">
      <c r="A304" s="8" t="s">
        <v>3335</v>
      </c>
      <c r="B304" s="8" t="s">
        <v>3340</v>
      </c>
      <c r="C304" s="2" t="str">
        <f>_xlfn.XLOOKUP(B304,[1]Sheet2!BF:BF, [1]Sheet2!C:C, "")</f>
        <v>男</v>
      </c>
      <c r="D304" s="10" t="s">
        <v>3789</v>
      </c>
      <c r="E304" s="2" t="s">
        <v>435</v>
      </c>
      <c r="F304" s="2" t="s">
        <v>119</v>
      </c>
      <c r="G304" s="2" t="s">
        <v>252</v>
      </c>
      <c r="H304" s="2" t="s">
        <v>29</v>
      </c>
      <c r="I304" s="2" t="s">
        <v>102</v>
      </c>
      <c r="O304" s="2" t="str">
        <f>_xlfn.LET(_xlpm.x, _xlfn.XLOOKUP(B304,Sheet3!N:N,Sheet3!O:O,""), IF(_xlpm.x=0,"",_xlpm.x))</f>
        <v>昆明市公安局五华分局</v>
      </c>
      <c r="P304" s="77" t="s">
        <v>7220</v>
      </c>
      <c r="Q304" s="2" t="s">
        <v>3341</v>
      </c>
      <c r="R304" s="2" t="s">
        <v>33</v>
      </c>
      <c r="S304" s="2">
        <v>13759507829</v>
      </c>
      <c r="T304" s="2" t="s">
        <v>244</v>
      </c>
      <c r="V304" s="2" t="str">
        <f>_xlfn.LET(_xlpm.x, _xlfn.XLOOKUP(X304,家庭成员!J:J,家庭成员!D:D,""), IF(_xlpm.x=0,"",_xlpm.x))</f>
        <v>王慧</v>
      </c>
      <c r="W304" s="2" t="str">
        <f>_xlfn.LET(_xlpm.x, _xlfn.XLOOKUP(X304,家庭成员!J:J,家庭成员!C:C,""), IF(_xlpm.x=0,"",_xlpm.x))</f>
        <v>妻子</v>
      </c>
      <c r="X304" s="2" t="s">
        <v>3344</v>
      </c>
      <c r="Y304" s="2" t="s">
        <v>34</v>
      </c>
    </row>
    <row r="305" spans="1:25" ht="15.6" x14ac:dyDescent="0.25">
      <c r="A305" s="8" t="s">
        <v>2536</v>
      </c>
      <c r="B305" s="8" t="s">
        <v>2541</v>
      </c>
      <c r="C305" s="2" t="str">
        <f>_xlfn.XLOOKUP(B305,[1]Sheet2!BF:BF, [1]Sheet2!C:C, "")</f>
        <v>男</v>
      </c>
      <c r="D305" s="10" t="s">
        <v>3700</v>
      </c>
      <c r="E305" s="2" t="s">
        <v>435</v>
      </c>
      <c r="F305" s="2" t="s">
        <v>119</v>
      </c>
      <c r="G305" s="2" t="s">
        <v>474</v>
      </c>
      <c r="H305" s="2" t="s">
        <v>29</v>
      </c>
      <c r="I305" s="2" t="s">
        <v>102</v>
      </c>
      <c r="O305" s="2" t="str">
        <f>_xlfn.LET(_xlpm.x, _xlfn.XLOOKUP(B305,Sheet3!N:N,Sheet3!O:O,""), IF(_xlpm.x=0,"",_xlpm.x))</f>
        <v>鹤庆县公安局</v>
      </c>
      <c r="P305" s="77" t="s">
        <v>7346</v>
      </c>
      <c r="Q305" s="2" t="s">
        <v>2542</v>
      </c>
      <c r="R305" s="2" t="s">
        <v>33</v>
      </c>
      <c r="S305" s="2">
        <v>15198750460</v>
      </c>
      <c r="T305" s="2" t="s">
        <v>2537</v>
      </c>
      <c r="V305" s="2" t="str">
        <f>_xlfn.LET(_xlpm.x, _xlfn.XLOOKUP(X305,家庭成员!J:J,家庭成员!D:D,""), IF(_xlpm.x=0,"",_xlpm.x))</f>
        <v>尹淑贵</v>
      </c>
      <c r="W305" s="2" t="str">
        <f>_xlfn.LET(_xlpm.x, _xlfn.XLOOKUP(X305,家庭成员!J:J,家庭成员!C:C,""), IF(_xlpm.x=0,"",_xlpm.x))</f>
        <v>父亲</v>
      </c>
      <c r="X305" s="2" t="s">
        <v>2544</v>
      </c>
      <c r="Y305" s="2" t="s">
        <v>34</v>
      </c>
    </row>
    <row r="306" spans="1:25" ht="15.6" x14ac:dyDescent="0.25">
      <c r="A306" s="8" t="s">
        <v>2431</v>
      </c>
      <c r="B306" s="8" t="s">
        <v>2436</v>
      </c>
      <c r="C306" s="2" t="str">
        <f>_xlfn.XLOOKUP(B306,[1]Sheet2!BF:BF, [1]Sheet2!C:C, "")</f>
        <v>男</v>
      </c>
      <c r="D306" s="10" t="s">
        <v>3826</v>
      </c>
      <c r="E306" s="2" t="s">
        <v>435</v>
      </c>
      <c r="F306" s="2" t="s">
        <v>119</v>
      </c>
      <c r="G306" s="2" t="s">
        <v>270</v>
      </c>
      <c r="H306" s="2" t="s">
        <v>29</v>
      </c>
      <c r="I306" s="2" t="s">
        <v>102</v>
      </c>
      <c r="O306" s="2" t="str">
        <f>_xlfn.LET(_xlpm.x, _xlfn.XLOOKUP(B306,Sheet3!N:N,Sheet3!O:O,""), IF(_xlpm.x=0,"",_xlpm.x))</f>
        <v>鹤庆县公安局</v>
      </c>
      <c r="P306" s="77" t="s">
        <v>7347</v>
      </c>
      <c r="Q306" s="2" t="s">
        <v>2437</v>
      </c>
      <c r="R306" s="2" t="s">
        <v>33</v>
      </c>
      <c r="S306" s="2">
        <v>18213445581</v>
      </c>
      <c r="T306" s="2" t="s">
        <v>244</v>
      </c>
      <c r="V306" s="2" t="str">
        <f>_xlfn.LET(_xlpm.x, _xlfn.XLOOKUP(X306,家庭成员!J:J,家庭成员!D:D,""), IF(_xlpm.x=0,"",_xlpm.x))</f>
        <v>杨银胜</v>
      </c>
      <c r="W306" s="2" t="str">
        <f>_xlfn.LET(_xlpm.x, _xlfn.XLOOKUP(X306,家庭成员!J:J,家庭成员!C:C,""), IF(_xlpm.x=0,"",_xlpm.x))</f>
        <v>父亲</v>
      </c>
      <c r="X306" s="2" t="s">
        <v>2439</v>
      </c>
      <c r="Y306" s="2" t="s">
        <v>34</v>
      </c>
    </row>
    <row r="307" spans="1:25" ht="15.6" x14ac:dyDescent="0.25">
      <c r="A307" s="8" t="s">
        <v>940</v>
      </c>
      <c r="B307" s="8" t="s">
        <v>943</v>
      </c>
      <c r="C307" s="2" t="str">
        <f>_xlfn.XLOOKUP(B307,[1]Sheet2!BF:BF, [1]Sheet2!C:C, "")</f>
        <v>男</v>
      </c>
      <c r="D307" s="10" t="s">
        <v>3827</v>
      </c>
      <c r="E307" s="2" t="s">
        <v>435</v>
      </c>
      <c r="F307" s="2" t="s">
        <v>119</v>
      </c>
      <c r="G307" s="2" t="s">
        <v>270</v>
      </c>
      <c r="H307" s="2" t="s">
        <v>253</v>
      </c>
      <c r="I307" s="2" t="s">
        <v>102</v>
      </c>
      <c r="O307" s="2" t="str">
        <f>_xlfn.LET(_xlpm.x, _xlfn.XLOOKUP(B307,Sheet3!N:N,Sheet3!O:O,""), IF(_xlpm.x=0,"",_xlpm.x))</f>
        <v>鹤庆县公安局</v>
      </c>
      <c r="P307" s="77" t="s">
        <v>7348</v>
      </c>
      <c r="Q307" s="2" t="s">
        <v>944</v>
      </c>
      <c r="R307" s="2" t="s">
        <v>33</v>
      </c>
      <c r="S307" s="2">
        <v>15894536994</v>
      </c>
      <c r="T307" s="2" t="s">
        <v>244</v>
      </c>
      <c r="V307" s="2" t="str">
        <f>_xlfn.LET(_xlpm.x, _xlfn.XLOOKUP(X307,家庭成员!J:J,家庭成员!D:D,""), IF(_xlpm.x=0,"",_xlpm.x))</f>
        <v/>
      </c>
      <c r="W307" s="2" t="str">
        <f>_xlfn.LET(_xlpm.x, _xlfn.XLOOKUP(X307,家庭成员!J:J,家庭成员!C:C,""), IF(_xlpm.x=0,"",_xlpm.x))</f>
        <v/>
      </c>
      <c r="X307" s="2" t="s">
        <v>244</v>
      </c>
      <c r="Y307" s="2" t="s">
        <v>34</v>
      </c>
    </row>
    <row r="308" spans="1:25" ht="15.6" x14ac:dyDescent="0.25">
      <c r="A308" s="8" t="s">
        <v>1545</v>
      </c>
      <c r="B308" s="8" t="s">
        <v>1551</v>
      </c>
      <c r="C308" s="2" t="str">
        <f>_xlfn.XLOOKUP(B308,[1]Sheet2!BF:BF, [1]Sheet2!C:C, "")</f>
        <v>男</v>
      </c>
      <c r="D308" s="10" t="s">
        <v>3715</v>
      </c>
      <c r="E308" s="2" t="s">
        <v>27</v>
      </c>
      <c r="F308" s="2" t="s">
        <v>28</v>
      </c>
      <c r="G308" s="2" t="s">
        <v>270</v>
      </c>
      <c r="H308" s="2" t="s">
        <v>253</v>
      </c>
      <c r="I308" s="2" t="s">
        <v>102</v>
      </c>
      <c r="O308" s="2" t="str">
        <f>_xlfn.LET(_xlpm.x, _xlfn.XLOOKUP(B308,Sheet3!N:N,Sheet3!O:O,""), IF(_xlpm.x=0,"",_xlpm.x))</f>
        <v>保山市公安局隆阳分局</v>
      </c>
      <c r="P308" s="77" t="s">
        <v>7349</v>
      </c>
      <c r="Q308" s="2" t="s">
        <v>7370</v>
      </c>
      <c r="R308" s="2" t="s">
        <v>33</v>
      </c>
      <c r="S308" s="2">
        <v>15398544803</v>
      </c>
      <c r="T308" s="2" t="s">
        <v>1546</v>
      </c>
      <c r="V308" s="2" t="str">
        <f>_xlfn.LET(_xlpm.x, _xlfn.XLOOKUP(X308,家庭成员!J:J,家庭成员!D:D,""), IF(_xlpm.x=0,"",_xlpm.x))</f>
        <v>张有明</v>
      </c>
      <c r="W308" s="2" t="str">
        <f>_xlfn.LET(_xlpm.x, _xlfn.XLOOKUP(X308,家庭成员!J:J,家庭成员!C:C,""), IF(_xlpm.x=0,"",_xlpm.x))</f>
        <v>父亲</v>
      </c>
      <c r="X308" s="2" t="s">
        <v>1555</v>
      </c>
      <c r="Y308" s="2" t="s">
        <v>34</v>
      </c>
    </row>
    <row r="309" spans="1:25" ht="15.6" x14ac:dyDescent="0.25">
      <c r="A309" s="8" t="s">
        <v>584</v>
      </c>
      <c r="B309" s="8" t="s">
        <v>587</v>
      </c>
      <c r="C309" s="2" t="str">
        <f>_xlfn.XLOOKUP(B309,[1]Sheet2!BF:BF, [1]Sheet2!C:C, "")</f>
        <v>男</v>
      </c>
      <c r="D309" s="10" t="s">
        <v>3762</v>
      </c>
      <c r="E309" s="2" t="s">
        <v>27</v>
      </c>
      <c r="F309" s="2" t="s">
        <v>119</v>
      </c>
      <c r="G309" s="2" t="s">
        <v>270</v>
      </c>
      <c r="H309" s="2" t="s">
        <v>253</v>
      </c>
      <c r="I309" s="2" t="s">
        <v>102</v>
      </c>
      <c r="O309" s="2" t="str">
        <f>_xlfn.LET(_xlpm.x, _xlfn.XLOOKUP(B309,Sheet3!N:N,Sheet3!O:O,""), IF(_xlpm.x=0,"",_xlpm.x))</f>
        <v>保山市公安局隆阳分局</v>
      </c>
      <c r="P309" s="77" t="s">
        <v>7350</v>
      </c>
      <c r="Q309" s="2" t="s">
        <v>588</v>
      </c>
      <c r="R309" s="2" t="s">
        <v>33</v>
      </c>
      <c r="S309" s="2">
        <v>15087524701</v>
      </c>
      <c r="T309" s="2" t="s">
        <v>244</v>
      </c>
      <c r="V309" s="2" t="str">
        <f>_xlfn.LET(_xlpm.x, _xlfn.XLOOKUP(X309,家庭成员!J:J,家庭成员!D:D,""), IF(_xlpm.x=0,"",_xlpm.x))</f>
        <v/>
      </c>
      <c r="W309" s="2" t="str">
        <f>_xlfn.LET(_xlpm.x, _xlfn.XLOOKUP(X309,家庭成员!J:J,家庭成员!C:C,""), IF(_xlpm.x=0,"",_xlpm.x))</f>
        <v/>
      </c>
      <c r="X309" s="2" t="s">
        <v>244</v>
      </c>
      <c r="Y309" s="2" t="s">
        <v>34</v>
      </c>
    </row>
    <row r="310" spans="1:25" ht="15.6" x14ac:dyDescent="0.25">
      <c r="A310" s="8" t="s">
        <v>3035</v>
      </c>
      <c r="B310" s="8" t="s">
        <v>3041</v>
      </c>
      <c r="C310" s="2" t="str">
        <f>_xlfn.XLOOKUP(B310,[1]Sheet2!BF:BF, [1]Sheet2!C:C, "")</f>
        <v>男</v>
      </c>
      <c r="D310" s="10" t="s">
        <v>3691</v>
      </c>
      <c r="E310" s="2" t="s">
        <v>27</v>
      </c>
      <c r="F310" s="2" t="s">
        <v>119</v>
      </c>
      <c r="G310" s="2" t="s">
        <v>270</v>
      </c>
      <c r="H310" s="2" t="s">
        <v>29</v>
      </c>
      <c r="I310" s="2" t="s">
        <v>102</v>
      </c>
      <c r="O310" s="2" t="str">
        <f>_xlfn.LET(_xlpm.x, _xlfn.XLOOKUP(B310,Sheet3!N:N,Sheet3!O:O,""), IF(_xlpm.x=0,"",_xlpm.x))</f>
        <v>昆明市公安局五华分局</v>
      </c>
      <c r="P310" s="77" t="s">
        <v>7351</v>
      </c>
      <c r="Q310" s="2" t="s">
        <v>3042</v>
      </c>
      <c r="R310" s="2" t="s">
        <v>33</v>
      </c>
      <c r="S310" s="2">
        <v>15911589136</v>
      </c>
      <c r="T310" s="2" t="s">
        <v>244</v>
      </c>
      <c r="V310" s="2" t="str">
        <f>_xlfn.LET(_xlpm.x, _xlfn.XLOOKUP(X310,家庭成员!J:J,家庭成员!D:D,""), IF(_xlpm.x=0,"",_xlpm.x))</f>
        <v>向彬颖</v>
      </c>
      <c r="W310" s="2" t="str">
        <f>_xlfn.LET(_xlpm.x, _xlfn.XLOOKUP(X310,家庭成员!J:J,家庭成员!C:C,""), IF(_xlpm.x=0,"",_xlpm.x))</f>
        <v>妻子</v>
      </c>
      <c r="X310" s="2" t="s">
        <v>3046</v>
      </c>
      <c r="Y310" s="2" t="s">
        <v>34</v>
      </c>
    </row>
    <row r="311" spans="1:25" ht="15.6" x14ac:dyDescent="0.25">
      <c r="A311" s="8" t="s">
        <v>2278</v>
      </c>
      <c r="B311" s="8" t="s">
        <v>2284</v>
      </c>
      <c r="C311" s="2" t="str">
        <f>_xlfn.XLOOKUP(B311,[1]Sheet2!BF:BF, [1]Sheet2!C:C, "")</f>
        <v>男</v>
      </c>
      <c r="D311" s="10" t="s">
        <v>3692</v>
      </c>
      <c r="E311" s="2" t="s">
        <v>27</v>
      </c>
      <c r="F311" s="2" t="s">
        <v>119</v>
      </c>
      <c r="G311" s="2" t="s">
        <v>270</v>
      </c>
      <c r="H311" s="2" t="s">
        <v>29</v>
      </c>
      <c r="I311" s="2" t="s">
        <v>102</v>
      </c>
      <c r="O311" s="2" t="str">
        <f>_xlfn.LET(_xlpm.x, _xlfn.XLOOKUP(B311,Sheet3!N:N,Sheet3!O:O,""), IF(_xlpm.x=0,"",_xlpm.x))</f>
        <v>施甸县公安局</v>
      </c>
      <c r="P311" s="77" t="s">
        <v>7352</v>
      </c>
      <c r="Q311" s="2" t="s">
        <v>2285</v>
      </c>
      <c r="R311" s="2" t="s">
        <v>33</v>
      </c>
      <c r="S311" s="2">
        <v>15096999090</v>
      </c>
      <c r="T311" s="2" t="s">
        <v>2279</v>
      </c>
      <c r="V311" s="2" t="str">
        <f>_xlfn.LET(_xlpm.x, _xlfn.XLOOKUP(X311,家庭成员!J:J,家庭成员!D:D,""), IF(_xlpm.x=0,"",_xlpm.x))</f>
        <v/>
      </c>
      <c r="W311" s="2" t="str">
        <f>_xlfn.LET(_xlpm.x, _xlfn.XLOOKUP(X311,家庭成员!J:J,家庭成员!C:C,""), IF(_xlpm.x=0,"",_xlpm.x))</f>
        <v/>
      </c>
      <c r="X311" s="2" t="s">
        <v>244</v>
      </c>
      <c r="Y311" s="2" t="s">
        <v>34</v>
      </c>
    </row>
    <row r="312" spans="1:25" ht="15.6" x14ac:dyDescent="0.25">
      <c r="A312" s="8" t="s">
        <v>2669</v>
      </c>
      <c r="B312" s="8" t="s">
        <v>2674</v>
      </c>
      <c r="C312" s="2" t="str">
        <f>_xlfn.XLOOKUP(B312,[1]Sheet2!BF:BF, [1]Sheet2!C:C, "")</f>
        <v>男</v>
      </c>
      <c r="D312" s="10" t="s">
        <v>3700</v>
      </c>
      <c r="E312" s="2" t="s">
        <v>27</v>
      </c>
      <c r="F312" s="2" t="s">
        <v>272</v>
      </c>
      <c r="G312" s="2" t="s">
        <v>270</v>
      </c>
      <c r="H312" s="2" t="s">
        <v>29</v>
      </c>
      <c r="I312" s="2" t="s">
        <v>102</v>
      </c>
      <c r="O312" s="2" t="str">
        <f>_xlfn.LET(_xlpm.x, _xlfn.XLOOKUP(B312,Sheet3!N:N,Sheet3!O:O,""), IF(_xlpm.x=0,"",_xlpm.x))</f>
        <v>腾冲县公安局</v>
      </c>
      <c r="P312" s="77" t="s">
        <v>7142</v>
      </c>
      <c r="Q312" s="2" t="s">
        <v>2675</v>
      </c>
      <c r="R312" s="2" t="s">
        <v>33</v>
      </c>
      <c r="S312" s="2">
        <v>18788513905</v>
      </c>
      <c r="T312" s="2" t="s">
        <v>244</v>
      </c>
      <c r="V312" s="2" t="str">
        <f>_xlfn.LET(_xlpm.x, _xlfn.XLOOKUP(X312,家庭成员!J:J,家庭成员!D:D,""), IF(_xlpm.x=0,"",_xlpm.x))</f>
        <v>刘加坤</v>
      </c>
      <c r="W312" s="2" t="str">
        <f>_xlfn.LET(_xlpm.x, _xlfn.XLOOKUP(X312,家庭成员!J:J,家庭成员!C:C,""), IF(_xlpm.x=0,"",_xlpm.x))</f>
        <v>父亲</v>
      </c>
      <c r="X312" s="2" t="s">
        <v>2678</v>
      </c>
      <c r="Y312" s="2" t="s">
        <v>34</v>
      </c>
    </row>
    <row r="313" spans="1:25" ht="15.6" x14ac:dyDescent="0.25">
      <c r="A313" s="8" t="s">
        <v>777</v>
      </c>
      <c r="B313" s="8" t="s">
        <v>784</v>
      </c>
      <c r="C313" s="2" t="str">
        <f>_xlfn.XLOOKUP(B313,[1]Sheet2!BF:BF, [1]Sheet2!C:C, "")</f>
        <v>男</v>
      </c>
      <c r="D313" s="10" t="s">
        <v>3743</v>
      </c>
      <c r="E313" s="2" t="s">
        <v>27</v>
      </c>
      <c r="F313" s="2" t="s">
        <v>272</v>
      </c>
      <c r="G313" s="2" t="s">
        <v>270</v>
      </c>
      <c r="H313" s="2" t="s">
        <v>253</v>
      </c>
      <c r="I313" s="2" t="s">
        <v>102</v>
      </c>
      <c r="O313" s="2" t="str">
        <f>_xlfn.LET(_xlpm.x, _xlfn.XLOOKUP(B313,Sheet3!N:N,Sheet3!O:O,""), IF(_xlpm.x=0,"",_xlpm.x))</f>
        <v>腾冲市公安局</v>
      </c>
      <c r="P313" s="77" t="s">
        <v>7353</v>
      </c>
      <c r="Q313" s="2" t="s">
        <v>785</v>
      </c>
      <c r="R313" s="2" t="s">
        <v>33</v>
      </c>
      <c r="S313" s="2">
        <v>15287575930</v>
      </c>
      <c r="T313" s="2" t="s">
        <v>778</v>
      </c>
      <c r="V313" s="2" t="str">
        <f>_xlfn.LET(_xlpm.x, _xlfn.XLOOKUP(X313,家庭成员!J:J,家庭成员!D:D,""), IF(_xlpm.x=0,"",_xlpm.x))</f>
        <v/>
      </c>
      <c r="W313" s="2" t="str">
        <f>_xlfn.LET(_xlpm.x, _xlfn.XLOOKUP(X313,家庭成员!J:J,家庭成员!C:C,""), IF(_xlpm.x=0,"",_xlpm.x))</f>
        <v/>
      </c>
      <c r="X313" s="2"/>
      <c r="Y313" s="2" t="s">
        <v>34</v>
      </c>
    </row>
    <row r="314" spans="1:25" ht="15.6" x14ac:dyDescent="0.25">
      <c r="A314" s="8" t="s">
        <v>793</v>
      </c>
      <c r="B314" s="8" t="s">
        <v>800</v>
      </c>
      <c r="C314" s="2" t="str">
        <f>_xlfn.XLOOKUP(B314,[1]Sheet2!BF:BF, [1]Sheet2!C:C, "")</f>
        <v>女</v>
      </c>
      <c r="D314" s="10" t="s">
        <v>3761</v>
      </c>
      <c r="E314" s="2" t="s">
        <v>27</v>
      </c>
      <c r="F314" s="2" t="s">
        <v>272</v>
      </c>
      <c r="G314" s="2" t="s">
        <v>270</v>
      </c>
      <c r="H314" s="2" t="s">
        <v>253</v>
      </c>
      <c r="I314" s="2" t="s">
        <v>102</v>
      </c>
      <c r="O314" s="2" t="str">
        <f>_xlfn.LET(_xlpm.x, _xlfn.XLOOKUP(B314,Sheet3!N:N,Sheet3!O:O,""), IF(_xlpm.x=0,"",_xlpm.x))</f>
        <v>腾冲市公安局</v>
      </c>
      <c r="P314" s="77" t="s">
        <v>7354</v>
      </c>
      <c r="Q314" s="2" t="s">
        <v>801</v>
      </c>
      <c r="R314" s="2" t="s">
        <v>33</v>
      </c>
      <c r="S314" s="2">
        <v>15770322134</v>
      </c>
      <c r="T314" s="2" t="s">
        <v>244</v>
      </c>
      <c r="V314" s="2" t="str">
        <f>_xlfn.LET(_xlpm.x, _xlfn.XLOOKUP(X314,家庭成员!J:J,家庭成员!D:D,""), IF(_xlpm.x=0,"",_xlpm.x))</f>
        <v/>
      </c>
      <c r="W314" s="2" t="str">
        <f>_xlfn.LET(_xlpm.x, _xlfn.XLOOKUP(X314,家庭成员!J:J,家庭成员!C:C,""), IF(_xlpm.x=0,"",_xlpm.x))</f>
        <v/>
      </c>
      <c r="X314" s="2"/>
      <c r="Y314" s="2" t="s">
        <v>34</v>
      </c>
    </row>
    <row r="315" spans="1:25" ht="15.6" x14ac:dyDescent="0.25">
      <c r="A315" s="8" t="s">
        <v>631</v>
      </c>
      <c r="B315" s="8" t="s">
        <v>639</v>
      </c>
      <c r="C315" s="2" t="str">
        <f>_xlfn.XLOOKUP(B315,[1]Sheet2!BF:BF, [1]Sheet2!C:C, "")</f>
        <v>男</v>
      </c>
      <c r="D315" s="10" t="s">
        <v>3732</v>
      </c>
      <c r="E315" s="2" t="s">
        <v>27</v>
      </c>
      <c r="F315" s="2" t="s">
        <v>272</v>
      </c>
      <c r="G315" s="2" t="s">
        <v>270</v>
      </c>
      <c r="H315" s="2" t="s">
        <v>253</v>
      </c>
      <c r="I315" s="2" t="s">
        <v>102</v>
      </c>
      <c r="O315" s="2" t="str">
        <f>_xlfn.LET(_xlpm.x, _xlfn.XLOOKUP(B315,Sheet3!N:N,Sheet3!O:O,""), IF(_xlpm.x=0,"",_xlpm.x))</f>
        <v/>
      </c>
      <c r="P315" s="77" t="s">
        <v>244</v>
      </c>
      <c r="Q315" s="2" t="s">
        <v>244</v>
      </c>
      <c r="R315" s="2" t="s">
        <v>33</v>
      </c>
      <c r="S315" s="2">
        <v>18288594645</v>
      </c>
      <c r="T315" s="2" t="s">
        <v>632</v>
      </c>
      <c r="V315" s="2" t="str">
        <f>_xlfn.LET(_xlpm.x, _xlfn.XLOOKUP(X315,家庭成员!J:J,家庭成员!D:D,""), IF(_xlpm.x=0,"",_xlpm.x))</f>
        <v/>
      </c>
      <c r="W315" s="2" t="str">
        <f>_xlfn.LET(_xlpm.x, _xlfn.XLOOKUP(X315,家庭成员!J:J,家庭成员!C:C,""), IF(_xlpm.x=0,"",_xlpm.x))</f>
        <v/>
      </c>
      <c r="X315" s="2"/>
      <c r="Y315" s="2" t="s">
        <v>34</v>
      </c>
    </row>
    <row r="316" spans="1:25" ht="15.6" x14ac:dyDescent="0.25">
      <c r="A316" s="8" t="s">
        <v>3326</v>
      </c>
      <c r="B316" s="8" t="s">
        <v>3331</v>
      </c>
      <c r="C316" s="2" t="str">
        <f>_xlfn.XLOOKUP(B316,[1]Sheet2!BF:BF, [1]Sheet2!C:C, "")</f>
        <v>女</v>
      </c>
      <c r="D316" s="10" t="s">
        <v>3627</v>
      </c>
      <c r="E316" s="2" t="s">
        <v>3327</v>
      </c>
      <c r="F316" s="2" t="s">
        <v>119</v>
      </c>
      <c r="G316" s="2" t="s">
        <v>293</v>
      </c>
      <c r="H316" s="2" t="s">
        <v>29</v>
      </c>
      <c r="I316" s="2" t="s">
        <v>102</v>
      </c>
      <c r="O316" s="2" t="str">
        <f>_xlfn.LET(_xlpm.x, _xlfn.XLOOKUP(B316,Sheet3!N:N,Sheet3!O:O,""), IF(_xlpm.x=0,"",_xlpm.x))</f>
        <v>富民县公安局</v>
      </c>
      <c r="P316" s="77" t="s">
        <v>7355</v>
      </c>
      <c r="Q316" s="2" t="s">
        <v>3332</v>
      </c>
      <c r="R316" s="2" t="s">
        <v>33</v>
      </c>
      <c r="S316" s="2">
        <v>15912134701</v>
      </c>
      <c r="T316" s="2" t="s">
        <v>244</v>
      </c>
      <c r="V316" s="2" t="str">
        <f>_xlfn.LET(_xlpm.x, _xlfn.XLOOKUP(X316,家庭成员!J:J,家庭成员!D:D,""), IF(_xlpm.x=0,"",_xlpm.x))</f>
        <v/>
      </c>
      <c r="W316" s="2" t="str">
        <f>_xlfn.LET(_xlpm.x, _xlfn.XLOOKUP(X316,家庭成员!J:J,家庭成员!C:C,""), IF(_xlpm.x=0,"",_xlpm.x))</f>
        <v/>
      </c>
      <c r="X316" s="2" t="s">
        <v>244</v>
      </c>
      <c r="Y316" s="2" t="s">
        <v>34</v>
      </c>
    </row>
    <row r="317" spans="1:25" ht="15.6" x14ac:dyDescent="0.25">
      <c r="A317" s="8" t="s">
        <v>1323</v>
      </c>
      <c r="B317" s="8" t="s">
        <v>1330</v>
      </c>
      <c r="C317" s="2" t="str">
        <f>_xlfn.XLOOKUP(B317,[1]Sheet2!BF:BF, [1]Sheet2!C:C, "")</f>
        <v>男</v>
      </c>
      <c r="D317" s="10" t="s">
        <v>3828</v>
      </c>
      <c r="E317" s="2" t="s">
        <v>27</v>
      </c>
      <c r="F317" s="2" t="s">
        <v>119</v>
      </c>
      <c r="G317" s="2" t="s">
        <v>270</v>
      </c>
      <c r="H317" s="2" t="s">
        <v>29</v>
      </c>
      <c r="I317" s="2" t="s">
        <v>102</v>
      </c>
      <c r="O317" s="2" t="str">
        <f>_xlfn.LET(_xlpm.x, _xlfn.XLOOKUP(B317,Sheet3!N:N,Sheet3!O:O,""), IF(_xlpm.x=0,"",_xlpm.x))</f>
        <v>陇川县公安局</v>
      </c>
      <c r="P317" s="77" t="s">
        <v>7237</v>
      </c>
      <c r="Q317" s="2" t="s">
        <v>1331</v>
      </c>
      <c r="R317" s="2" t="s">
        <v>33</v>
      </c>
      <c r="S317" s="2">
        <v>18314402873</v>
      </c>
      <c r="T317" s="2" t="s">
        <v>1324</v>
      </c>
      <c r="V317" s="2" t="str">
        <f>_xlfn.LET(_xlpm.x, _xlfn.XLOOKUP(X317,家庭成员!J:J,家庭成员!D:D,""), IF(_xlpm.x=0,"",_xlpm.x))</f>
        <v>朱锦唐</v>
      </c>
      <c r="W317" s="2" t="str">
        <f>_xlfn.LET(_xlpm.x, _xlfn.XLOOKUP(X317,家庭成员!J:J,家庭成员!C:C,""), IF(_xlpm.x=0,"",_xlpm.x))</f>
        <v>父亲</v>
      </c>
      <c r="X317" s="2" t="s">
        <v>1335</v>
      </c>
      <c r="Y317" s="2" t="s">
        <v>34</v>
      </c>
    </row>
    <row r="318" spans="1:25" ht="15.6" x14ac:dyDescent="0.25">
      <c r="A318" s="8" t="s">
        <v>2239</v>
      </c>
      <c r="B318" s="8" t="s">
        <v>2246</v>
      </c>
      <c r="C318" s="2" t="str">
        <f>_xlfn.XLOOKUP(B318,[1]Sheet2!BF:BF, [1]Sheet2!C:C, "")</f>
        <v>男</v>
      </c>
      <c r="D318" s="10" t="s">
        <v>3829</v>
      </c>
      <c r="E318" s="2" t="s">
        <v>27</v>
      </c>
      <c r="F318" s="2" t="s">
        <v>119</v>
      </c>
      <c r="G318" s="2" t="s">
        <v>270</v>
      </c>
      <c r="H318" s="2" t="s">
        <v>253</v>
      </c>
      <c r="I318" s="2" t="s">
        <v>102</v>
      </c>
      <c r="O318" s="2" t="str">
        <f>_xlfn.LET(_xlpm.x, _xlfn.XLOOKUP(B318,Sheet3!N:N,Sheet3!O:O,""), IF(_xlpm.x=0,"",_xlpm.x))</f>
        <v>永胜县公安局</v>
      </c>
      <c r="P318" s="77" t="s">
        <v>7356</v>
      </c>
      <c r="Q318" s="2" t="s">
        <v>2247</v>
      </c>
      <c r="R318" s="2" t="s">
        <v>33</v>
      </c>
      <c r="S318" s="2">
        <v>15687156826</v>
      </c>
      <c r="T318" s="2" t="s">
        <v>244</v>
      </c>
      <c r="V318" s="2" t="str">
        <f>_xlfn.LET(_xlpm.x, _xlfn.XLOOKUP(X318,家庭成员!J:J,家庭成员!D:D,""), IF(_xlpm.x=0,"",_xlpm.x))</f>
        <v>陆文先</v>
      </c>
      <c r="W318" s="2" t="str">
        <f>_xlfn.LET(_xlpm.x, _xlfn.XLOOKUP(X318,家庭成员!J:J,家庭成员!C:C,""), IF(_xlpm.x=0,"",_xlpm.x))</f>
        <v>父亲</v>
      </c>
      <c r="X318" s="2" t="s">
        <v>2252</v>
      </c>
      <c r="Y318" s="2" t="s">
        <v>34</v>
      </c>
    </row>
    <row r="319" spans="1:25" ht="15.6" x14ac:dyDescent="0.25">
      <c r="A319" s="8" t="s">
        <v>471</v>
      </c>
      <c r="B319" s="8" t="s">
        <v>481</v>
      </c>
      <c r="C319" s="2" t="str">
        <f>_xlfn.XLOOKUP(B319,[1]Sheet2!BF:BF, [1]Sheet2!C:C, "")</f>
        <v>男</v>
      </c>
      <c r="D319" s="10" t="s">
        <v>3733</v>
      </c>
      <c r="E319" s="2" t="s">
        <v>27</v>
      </c>
      <c r="F319" s="2" t="s">
        <v>272</v>
      </c>
      <c r="G319" s="2" t="s">
        <v>474</v>
      </c>
      <c r="H319" s="2" t="s">
        <v>253</v>
      </c>
      <c r="I319" s="2" t="s">
        <v>102</v>
      </c>
      <c r="O319" s="2" t="str">
        <f>_xlfn.LET(_xlpm.x, _xlfn.XLOOKUP(B319,Sheet3!N:N,Sheet3!O:O,""), IF(_xlpm.x=0,"",_xlpm.x))</f>
        <v>天津市公安局河东分局</v>
      </c>
      <c r="P319" s="77" t="s">
        <v>7357</v>
      </c>
      <c r="Q319" s="2" t="s">
        <v>482</v>
      </c>
      <c r="R319" s="2" t="s">
        <v>33</v>
      </c>
      <c r="S319" s="2">
        <v>18222763276</v>
      </c>
      <c r="T319" s="2" t="s">
        <v>472</v>
      </c>
      <c r="V319" s="2" t="str">
        <f>_xlfn.LET(_xlpm.x, _xlfn.XLOOKUP(X319,家庭成员!J:J,家庭成员!D:D,""), IF(_xlpm.x=0,"",_xlpm.x))</f>
        <v>李雪</v>
      </c>
      <c r="W319" s="2" t="str">
        <f>_xlfn.LET(_xlpm.x, _xlfn.XLOOKUP(X319,家庭成员!J:J,家庭成员!C:C,""), IF(_xlpm.x=0,"",_xlpm.x))</f>
        <v>母亲</v>
      </c>
      <c r="X319" s="2" t="s">
        <v>485</v>
      </c>
      <c r="Y319" s="2" t="s">
        <v>34</v>
      </c>
    </row>
    <row r="320" spans="1:25" ht="15.6" x14ac:dyDescent="0.25">
      <c r="A320" s="8" t="s">
        <v>688</v>
      </c>
      <c r="B320" s="8" t="s">
        <v>699</v>
      </c>
      <c r="C320" s="2" t="str">
        <f>_xlfn.XLOOKUP(B320,[1]Sheet2!BF:BF, [1]Sheet2!C:C, "")</f>
        <v>女</v>
      </c>
      <c r="D320" s="10" t="s">
        <v>3776</v>
      </c>
      <c r="E320" s="2" t="s">
        <v>27</v>
      </c>
      <c r="F320" s="2" t="s">
        <v>119</v>
      </c>
      <c r="G320" s="2" t="s">
        <v>252</v>
      </c>
      <c r="H320" s="2" t="s">
        <v>253</v>
      </c>
      <c r="I320" s="2" t="s">
        <v>102</v>
      </c>
      <c r="O320" s="2" t="str">
        <f>_xlfn.LET(_xlpm.x, _xlfn.XLOOKUP(B320,Sheet3!N:N,Sheet3!O:O,""), IF(_xlpm.x=0,"",_xlpm.x))</f>
        <v>临沧市公安局临翔分局</v>
      </c>
      <c r="P320" s="77" t="s">
        <v>7358</v>
      </c>
      <c r="Q320" s="2" t="s">
        <v>700</v>
      </c>
      <c r="R320" s="2" t="s">
        <v>33</v>
      </c>
      <c r="S320" s="2">
        <v>18742511774</v>
      </c>
      <c r="T320" s="2" t="s">
        <v>689</v>
      </c>
      <c r="V320" s="2" t="str">
        <f>_xlfn.LET(_xlpm.x, _xlfn.XLOOKUP(X320,家庭成员!J:J,家庭成员!D:D,""), IF(_xlpm.x=0,"",_xlpm.x))</f>
        <v/>
      </c>
      <c r="W320" s="2" t="str">
        <f>_xlfn.LET(_xlpm.x, _xlfn.XLOOKUP(X320,家庭成员!J:J,家庭成员!C:C,""), IF(_xlpm.x=0,"",_xlpm.x))</f>
        <v/>
      </c>
      <c r="X320" s="2" t="s">
        <v>703</v>
      </c>
      <c r="Y320" s="2" t="s">
        <v>34</v>
      </c>
    </row>
    <row r="321" spans="1:25" ht="15.6" x14ac:dyDescent="0.25">
      <c r="A321" s="8" t="s">
        <v>2756</v>
      </c>
      <c r="B321" s="8" t="s">
        <v>2763</v>
      </c>
      <c r="C321" s="2" t="str">
        <f>_xlfn.XLOOKUP(B321,[1]Sheet2!BF:BF, [1]Sheet2!C:C, "")</f>
        <v>男</v>
      </c>
      <c r="D321" s="10" t="s">
        <v>3821</v>
      </c>
      <c r="E321" s="2" t="s">
        <v>2757</v>
      </c>
      <c r="F321" s="2" t="s">
        <v>119</v>
      </c>
      <c r="G321" s="2" t="s">
        <v>270</v>
      </c>
      <c r="H321" s="2" t="s">
        <v>29</v>
      </c>
      <c r="I321" s="2" t="s">
        <v>102</v>
      </c>
      <c r="O321" s="2" t="str">
        <f>_xlfn.LET(_xlpm.x, _xlfn.XLOOKUP(B321,Sheet3!N:N,Sheet3!O:O,""), IF(_xlpm.x=0,"",_xlpm.x))</f>
        <v>云县公安局</v>
      </c>
      <c r="P321" s="77" t="s">
        <v>7359</v>
      </c>
      <c r="Q321" s="2" t="s">
        <v>2764</v>
      </c>
      <c r="R321" s="2" t="s">
        <v>33</v>
      </c>
      <c r="S321" s="2">
        <v>13888653731</v>
      </c>
      <c r="T321" s="2" t="s">
        <v>244</v>
      </c>
      <c r="V321" s="2" t="str">
        <f>_xlfn.LET(_xlpm.x, _xlfn.XLOOKUP(X321,家庭成员!J:J,家庭成员!D:D,""), IF(_xlpm.x=0,"",_xlpm.x))</f>
        <v/>
      </c>
      <c r="W321" s="2" t="str">
        <f>_xlfn.LET(_xlpm.x, _xlfn.XLOOKUP(X321,家庭成员!J:J,家庭成员!C:C,""), IF(_xlpm.x=0,"",_xlpm.x))</f>
        <v/>
      </c>
      <c r="X321" s="2" t="s">
        <v>244</v>
      </c>
      <c r="Y321" s="2" t="s">
        <v>34</v>
      </c>
    </row>
    <row r="322" spans="1:25" ht="15.6" x14ac:dyDescent="0.25">
      <c r="A322" s="8" t="s">
        <v>738</v>
      </c>
      <c r="B322" s="8" t="s">
        <v>750</v>
      </c>
      <c r="C322" s="2" t="str">
        <f>_xlfn.XLOOKUP(B322,[1]Sheet2!BF:BF, [1]Sheet2!C:C, "")</f>
        <v>男</v>
      </c>
      <c r="D322" s="10" t="s">
        <v>3830</v>
      </c>
      <c r="E322" s="2" t="s">
        <v>27</v>
      </c>
      <c r="F322" s="2" t="s">
        <v>119</v>
      </c>
      <c r="G322" s="2" t="s">
        <v>270</v>
      </c>
      <c r="H322" s="2" t="s">
        <v>29</v>
      </c>
      <c r="I322" s="2" t="s">
        <v>743</v>
      </c>
      <c r="O322" s="2" t="str">
        <f>_xlfn.LET(_xlpm.x, _xlfn.XLOOKUP(B322,Sheet3!N:N,Sheet3!O:O,""), IF(_xlpm.x=0,"",_xlpm.x))</f>
        <v>深圳市公安局龙华分局</v>
      </c>
      <c r="P322" s="77" t="s">
        <v>7360</v>
      </c>
      <c r="Q322" s="2" t="s">
        <v>751</v>
      </c>
      <c r="R322" s="2" t="s">
        <v>33</v>
      </c>
      <c r="S322" s="2">
        <v>18292007359</v>
      </c>
      <c r="T322" s="2" t="s">
        <v>739</v>
      </c>
      <c r="V322" s="2" t="str">
        <f>_xlfn.LET(_xlpm.x, _xlfn.XLOOKUP(X322,家庭成员!J:J,家庭成员!D:D,""), IF(_xlpm.x=0,"",_xlpm.x))</f>
        <v/>
      </c>
      <c r="W322" s="2" t="str">
        <f>_xlfn.LET(_xlpm.x, _xlfn.XLOOKUP(X322,家庭成员!J:J,家庭成员!C:C,""), IF(_xlpm.x=0,"",_xlpm.x))</f>
        <v/>
      </c>
      <c r="X322" s="2"/>
      <c r="Y322" s="2" t="s">
        <v>34</v>
      </c>
    </row>
    <row r="323" spans="1:25" ht="15.6" x14ac:dyDescent="0.25">
      <c r="A323" s="8" t="s">
        <v>2312</v>
      </c>
      <c r="B323" s="8" t="s">
        <v>2318</v>
      </c>
      <c r="C323" s="2" t="str">
        <f>_xlfn.XLOOKUP(B323,[1]Sheet2!BF:BF, [1]Sheet2!C:C, "")</f>
        <v>男</v>
      </c>
      <c r="D323" s="10" t="s">
        <v>3635</v>
      </c>
      <c r="E323" s="2" t="s">
        <v>27</v>
      </c>
      <c r="F323" s="2" t="s">
        <v>28</v>
      </c>
      <c r="G323" s="2" t="s">
        <v>270</v>
      </c>
      <c r="H323" s="2" t="s">
        <v>29</v>
      </c>
      <c r="I323" s="2" t="s">
        <v>743</v>
      </c>
      <c r="O323" s="2" t="str">
        <f>_xlfn.LET(_xlpm.x, _xlfn.XLOOKUP(B323,Sheet3!N:N,Sheet3!O:O,""), IF(_xlpm.x=0,"",_xlpm.x))</f>
        <v>西乡县公安局</v>
      </c>
      <c r="P323" s="77" t="s">
        <v>7361</v>
      </c>
      <c r="Q323" s="2" t="s">
        <v>2319</v>
      </c>
      <c r="R323" s="2" t="s">
        <v>33</v>
      </c>
      <c r="S323" s="2">
        <v>18291736309</v>
      </c>
      <c r="T323" s="2" t="s">
        <v>244</v>
      </c>
      <c r="V323" s="2" t="str">
        <f>_xlfn.LET(_xlpm.x, _xlfn.XLOOKUP(X323,家庭成员!J:J,家庭成员!D:D,""), IF(_xlpm.x=0,"",_xlpm.x))</f>
        <v>谯福德</v>
      </c>
      <c r="W323" s="2" t="str">
        <f>_xlfn.LET(_xlpm.x, _xlfn.XLOOKUP(X323,家庭成员!J:J,家庭成员!C:C,""), IF(_xlpm.x=0,"",_xlpm.x))</f>
        <v>父亲</v>
      </c>
      <c r="X323" s="2" t="s">
        <v>2323</v>
      </c>
      <c r="Y323" s="2" t="s">
        <v>34</v>
      </c>
    </row>
    <row r="324" spans="1:25" ht="15.6" x14ac:dyDescent="0.25">
      <c r="A324" s="8" t="s">
        <v>2162</v>
      </c>
      <c r="B324" s="8" t="s">
        <v>2167</v>
      </c>
      <c r="C324" s="2" t="str">
        <f>_xlfn.XLOOKUP(B324,[1]Sheet2!BF:BF, [1]Sheet2!C:C, "")</f>
        <v>女</v>
      </c>
      <c r="D324" s="10" t="s">
        <v>3699</v>
      </c>
      <c r="E324" s="2" t="s">
        <v>27</v>
      </c>
      <c r="F324" s="2" t="s">
        <v>119</v>
      </c>
      <c r="G324" s="2" t="s">
        <v>474</v>
      </c>
      <c r="H324" s="2" t="s">
        <v>29</v>
      </c>
      <c r="I324" s="2" t="s">
        <v>1618</v>
      </c>
      <c r="O324" s="2" t="str">
        <f>_xlfn.LET(_xlpm.x, _xlfn.XLOOKUP(B324,Sheet3!N:N,Sheet3!O:O,""), IF(_xlpm.x=0,"",_xlpm.x))</f>
        <v>安宁市公安局</v>
      </c>
      <c r="P324" s="77" t="s">
        <v>7362</v>
      </c>
      <c r="Q324" s="2" t="s">
        <v>7371</v>
      </c>
      <c r="R324" s="2" t="s">
        <v>33</v>
      </c>
      <c r="S324" s="2">
        <v>13629680852</v>
      </c>
      <c r="T324" s="2" t="s">
        <v>2163</v>
      </c>
      <c r="V324" s="2" t="str">
        <f>_xlfn.LET(_xlpm.x, _xlfn.XLOOKUP(X324,家庭成员!J:J,家庭成员!D:D,""), IF(_xlpm.x=0,"",_xlpm.x))</f>
        <v/>
      </c>
      <c r="W324" s="2" t="s">
        <v>244</v>
      </c>
      <c r="X324" s="2" t="s">
        <v>244</v>
      </c>
      <c r="Y324" s="2" t="s">
        <v>34</v>
      </c>
    </row>
    <row r="325" spans="1:25" ht="15.6" x14ac:dyDescent="0.25">
      <c r="A325" s="8" t="s">
        <v>3503</v>
      </c>
      <c r="B325" s="8" t="s">
        <v>3509</v>
      </c>
      <c r="C325" s="2" t="str">
        <f>_xlfn.XLOOKUP(B325,[1]Sheet2!BF:BF, [1]Sheet2!C:C, "")</f>
        <v>男</v>
      </c>
      <c r="D325" s="10" t="s">
        <v>3662</v>
      </c>
      <c r="E325" s="2" t="s">
        <v>27</v>
      </c>
      <c r="F325" s="2" t="s">
        <v>119</v>
      </c>
      <c r="G325" s="2" t="s">
        <v>252</v>
      </c>
      <c r="H325" s="2" t="s">
        <v>29</v>
      </c>
      <c r="I325" s="2" t="s">
        <v>102</v>
      </c>
      <c r="O325" s="2" t="str">
        <f>_xlfn.LET(_xlpm.x, _xlfn.XLOOKUP(B325,Sheet3!N:N,Sheet3!O:O,""), IF(_xlpm.x=0,"",_xlpm.x))</f>
        <v>昆明市公安局五华分局</v>
      </c>
      <c r="P325" s="77" t="s">
        <v>7363</v>
      </c>
      <c r="Q325" s="2" t="s">
        <v>3510</v>
      </c>
      <c r="R325" s="2" t="s">
        <v>33</v>
      </c>
      <c r="S325" s="2">
        <v>13888047022</v>
      </c>
      <c r="T325" s="2" t="s">
        <v>244</v>
      </c>
      <c r="V325" s="2" t="str">
        <f>_xlfn.LET(_xlpm.x, _xlfn.XLOOKUP(X325,家庭成员!J:J,家庭成员!D:D,""), IF(_xlpm.x=0,"",_xlpm.x))</f>
        <v/>
      </c>
      <c r="W325" s="2" t="s">
        <v>244</v>
      </c>
      <c r="X325" s="2" t="s">
        <v>244</v>
      </c>
      <c r="Y325" s="2" t="s">
        <v>34</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C8C39-BCDE-4596-9DFB-5C71D4234C7D}">
  <dimension ref="A1:CA338"/>
  <sheetViews>
    <sheetView topLeftCell="R1" workbookViewId="0">
      <selection activeCell="A330" sqref="A330:XFD330"/>
    </sheetView>
  </sheetViews>
  <sheetFormatPr defaultRowHeight="14.4" x14ac:dyDescent="0.25"/>
  <cols>
    <col min="2" max="2" width="6.88671875" bestFit="1" customWidth="1"/>
    <col min="3" max="3" width="6.21875" bestFit="1" customWidth="1"/>
    <col min="4" max="4" width="18.44140625" bestFit="1" customWidth="1"/>
    <col min="5" max="5" width="27.88671875" bestFit="1" customWidth="1"/>
    <col min="6" max="6" width="11.88671875" bestFit="1" customWidth="1"/>
    <col min="7" max="7" width="6.21875" bestFit="1" customWidth="1"/>
    <col min="8" max="8" width="16.109375" bestFit="1" customWidth="1"/>
    <col min="9" max="9" width="8.21875" bestFit="1" customWidth="1"/>
    <col min="10" max="10" width="11" bestFit="1" customWidth="1"/>
    <col min="11" max="11" width="32.44140625" bestFit="1" customWidth="1"/>
    <col min="12" max="12" width="17.77734375" bestFit="1" customWidth="1"/>
    <col min="13" max="13" width="81.21875" bestFit="1" customWidth="1"/>
    <col min="14" max="14" width="15.33203125" bestFit="1" customWidth="1"/>
    <col min="15" max="15" width="11" bestFit="1" customWidth="1"/>
    <col min="16" max="16" width="21.21875" bestFit="1" customWidth="1"/>
    <col min="17" max="17" width="8.21875" bestFit="1" customWidth="1"/>
    <col min="18" max="18" width="11" bestFit="1" customWidth="1"/>
    <col min="19" max="19" width="13.5546875" bestFit="1" customWidth="1"/>
    <col min="20" max="20" width="11" bestFit="1" customWidth="1"/>
    <col min="21" max="21" width="22.6640625" bestFit="1" customWidth="1"/>
    <col min="22" max="22" width="16.109375" bestFit="1" customWidth="1"/>
    <col min="23" max="23" width="22.6640625" bestFit="1" customWidth="1"/>
    <col min="24" max="24" width="7.109375" bestFit="1" customWidth="1"/>
    <col min="25" max="25" width="11" bestFit="1" customWidth="1"/>
    <col min="26" max="26" width="22.6640625" bestFit="1" customWidth="1"/>
    <col min="27" max="27" width="49.44140625" bestFit="1" customWidth="1"/>
    <col min="28" max="29" width="6.21875" bestFit="1" customWidth="1"/>
    <col min="30" max="30" width="30" bestFit="1" customWidth="1"/>
    <col min="31" max="31" width="8.21875" bestFit="1" customWidth="1"/>
    <col min="32" max="33" width="30" bestFit="1" customWidth="1"/>
    <col min="34" max="34" width="17.77734375" bestFit="1" customWidth="1"/>
    <col min="35" max="35" width="27.5546875" bestFit="1" customWidth="1"/>
    <col min="36" max="39" width="11" bestFit="1" customWidth="1"/>
    <col min="40" max="40" width="8.5546875" bestFit="1" customWidth="1"/>
    <col min="41" max="41" width="10.44140625" bestFit="1" customWidth="1"/>
    <col min="42" max="42" width="11" bestFit="1" customWidth="1"/>
    <col min="43" max="43" width="6.21875" bestFit="1" customWidth="1"/>
    <col min="44" max="44" width="11.88671875" bestFit="1" customWidth="1"/>
    <col min="45" max="45" width="8.77734375" bestFit="1" customWidth="1"/>
    <col min="46" max="46" width="16.109375" bestFit="1" customWidth="1"/>
    <col min="47" max="47" width="11.88671875" bestFit="1" customWidth="1"/>
    <col min="48" max="48" width="11" bestFit="1" customWidth="1"/>
    <col min="49" max="49" width="30" bestFit="1" customWidth="1"/>
    <col min="50" max="50" width="11" bestFit="1" customWidth="1"/>
    <col min="51" max="51" width="6.21875" bestFit="1" customWidth="1"/>
    <col min="52" max="52" width="13.5546875" bestFit="1" customWidth="1"/>
    <col min="53" max="53" width="11" bestFit="1" customWidth="1"/>
    <col min="54" max="54" width="39.77734375" bestFit="1" customWidth="1"/>
    <col min="55" max="55" width="13.5546875" bestFit="1" customWidth="1"/>
    <col min="56" max="56" width="23.88671875" bestFit="1" customWidth="1"/>
    <col min="57" max="57" width="12.88671875" bestFit="1" customWidth="1"/>
    <col min="58" max="58" width="22.6640625" bestFit="1" customWidth="1"/>
    <col min="59" max="59" width="11.88671875" bestFit="1" customWidth="1"/>
    <col min="60" max="60" width="15.33203125" bestFit="1" customWidth="1"/>
    <col min="61" max="61" width="32.44140625" bestFit="1" customWidth="1"/>
    <col min="62" max="63" width="21.21875" bestFit="1" customWidth="1"/>
    <col min="64" max="64" width="39.77734375" bestFit="1" customWidth="1"/>
    <col min="65" max="65" width="11" bestFit="1" customWidth="1"/>
    <col min="66" max="66" width="54.33203125" bestFit="1" customWidth="1"/>
    <col min="67" max="67" width="27.5546875" bestFit="1" customWidth="1"/>
    <col min="68" max="68" width="30" bestFit="1" customWidth="1"/>
    <col min="69" max="70" width="18.6640625" bestFit="1" customWidth="1"/>
    <col min="71" max="71" width="93.33203125" bestFit="1" customWidth="1"/>
    <col min="72" max="74" width="23.77734375" bestFit="1" customWidth="1"/>
    <col min="75" max="75" width="30" bestFit="1" customWidth="1"/>
    <col min="76" max="76" width="22.6640625" bestFit="1" customWidth="1"/>
    <col min="77" max="79" width="21.21875" bestFit="1" customWidth="1"/>
  </cols>
  <sheetData>
    <row r="1" spans="1:79" ht="48.6" x14ac:dyDescent="0.25">
      <c r="A1" s="80" t="s">
        <v>161</v>
      </c>
      <c r="B1" s="80" t="s">
        <v>162</v>
      </c>
      <c r="C1" s="80" t="s">
        <v>163</v>
      </c>
      <c r="D1" s="80" t="s">
        <v>164</v>
      </c>
      <c r="E1" s="80" t="s">
        <v>165</v>
      </c>
      <c r="F1" s="80" t="s">
        <v>166</v>
      </c>
      <c r="G1" s="80" t="s">
        <v>167</v>
      </c>
      <c r="H1" s="80" t="s">
        <v>168</v>
      </c>
      <c r="I1" s="80" t="s">
        <v>169</v>
      </c>
      <c r="J1" s="80" t="s">
        <v>170</v>
      </c>
      <c r="K1" s="80" t="s">
        <v>171</v>
      </c>
      <c r="L1" s="80" t="s">
        <v>172</v>
      </c>
      <c r="M1" s="80" t="s">
        <v>173</v>
      </c>
      <c r="N1" s="80" t="s">
        <v>174</v>
      </c>
      <c r="O1" s="80" t="s">
        <v>175</v>
      </c>
      <c r="P1" s="80" t="s">
        <v>176</v>
      </c>
      <c r="Q1" s="80" t="s">
        <v>177</v>
      </c>
      <c r="R1" s="80" t="s">
        <v>178</v>
      </c>
      <c r="S1" s="80" t="s">
        <v>179</v>
      </c>
      <c r="T1" s="80" t="s">
        <v>180</v>
      </c>
      <c r="U1" s="80" t="s">
        <v>181</v>
      </c>
      <c r="V1" s="80" t="s">
        <v>182</v>
      </c>
      <c r="W1" s="80" t="s">
        <v>183</v>
      </c>
      <c r="X1" s="80" t="s">
        <v>184</v>
      </c>
      <c r="Y1" s="80" t="s">
        <v>185</v>
      </c>
      <c r="Z1" s="80" t="s">
        <v>186</v>
      </c>
      <c r="AA1" s="80" t="s">
        <v>187</v>
      </c>
      <c r="AB1" s="80" t="s">
        <v>188</v>
      </c>
      <c r="AC1" s="80" t="s">
        <v>189</v>
      </c>
      <c r="AD1" s="80" t="s">
        <v>190</v>
      </c>
      <c r="AE1" s="80" t="s">
        <v>8111</v>
      </c>
      <c r="AF1" s="80" t="s">
        <v>191</v>
      </c>
      <c r="AG1" s="80" t="s">
        <v>192</v>
      </c>
      <c r="AH1" s="80" t="s">
        <v>193</v>
      </c>
      <c r="AI1" s="80" t="s">
        <v>194</v>
      </c>
      <c r="AJ1" s="80" t="s">
        <v>195</v>
      </c>
      <c r="AK1" s="80" t="s">
        <v>196</v>
      </c>
      <c r="AL1" s="80" t="s">
        <v>197</v>
      </c>
      <c r="AM1" s="80" t="s">
        <v>198</v>
      </c>
      <c r="AN1" s="80" t="s">
        <v>199</v>
      </c>
      <c r="AO1" s="80" t="s">
        <v>8112</v>
      </c>
      <c r="AP1" s="80" t="s">
        <v>200</v>
      </c>
      <c r="AQ1" s="80" t="s">
        <v>201</v>
      </c>
      <c r="AR1" s="80" t="s">
        <v>202</v>
      </c>
      <c r="AS1" s="80" t="s">
        <v>203</v>
      </c>
      <c r="AT1" s="80" t="s">
        <v>204</v>
      </c>
      <c r="AU1" s="80" t="s">
        <v>205</v>
      </c>
      <c r="AV1" s="80" t="s">
        <v>206</v>
      </c>
      <c r="AW1" s="80" t="s">
        <v>207</v>
      </c>
      <c r="AX1" s="80" t="s">
        <v>8113</v>
      </c>
      <c r="AY1" s="80" t="s">
        <v>208</v>
      </c>
      <c r="AZ1" s="80" t="s">
        <v>209</v>
      </c>
      <c r="BA1" s="80" t="s">
        <v>210</v>
      </c>
      <c r="BB1" s="80" t="s">
        <v>211</v>
      </c>
      <c r="BC1" s="80" t="s">
        <v>212</v>
      </c>
      <c r="BD1" s="80" t="s">
        <v>213</v>
      </c>
      <c r="BE1" s="80" t="s">
        <v>214</v>
      </c>
      <c r="BF1" s="80" t="s">
        <v>7773</v>
      </c>
      <c r="BG1" s="80" t="s">
        <v>215</v>
      </c>
      <c r="BH1" s="80" t="s">
        <v>216</v>
      </c>
      <c r="BI1" s="80" t="s">
        <v>217</v>
      </c>
      <c r="BJ1" s="80" t="s">
        <v>218</v>
      </c>
      <c r="BK1" s="80" t="s">
        <v>219</v>
      </c>
      <c r="BL1" s="80" t="s">
        <v>220</v>
      </c>
      <c r="BM1" s="80" t="s">
        <v>221</v>
      </c>
      <c r="BN1" s="80" t="s">
        <v>222</v>
      </c>
      <c r="BO1" s="80" t="s">
        <v>223</v>
      </c>
      <c r="BP1" s="80" t="s">
        <v>224</v>
      </c>
      <c r="BQ1" s="80" t="s">
        <v>225</v>
      </c>
      <c r="BR1" s="80" t="s">
        <v>226</v>
      </c>
      <c r="BS1" s="80" t="s">
        <v>227</v>
      </c>
      <c r="BT1" s="80" t="s">
        <v>228</v>
      </c>
      <c r="BU1" s="80" t="s">
        <v>229</v>
      </c>
      <c r="BV1" s="80" t="s">
        <v>230</v>
      </c>
      <c r="BW1" s="80" t="s">
        <v>231</v>
      </c>
      <c r="BX1" s="80" t="s">
        <v>232</v>
      </c>
      <c r="BY1" s="80" t="s">
        <v>233</v>
      </c>
      <c r="BZ1" s="80" t="s">
        <v>234</v>
      </c>
      <c r="CA1" s="80" t="s">
        <v>235</v>
      </c>
    </row>
    <row r="2" spans="1:79" ht="157.19999999999999" x14ac:dyDescent="0.25">
      <c r="A2" s="81" t="s">
        <v>236</v>
      </c>
      <c r="B2" s="8"/>
      <c r="C2" s="81" t="s">
        <v>237</v>
      </c>
      <c r="D2" s="8" t="s">
        <v>7774</v>
      </c>
      <c r="E2" s="8"/>
      <c r="F2" s="9"/>
      <c r="G2" s="8"/>
      <c r="H2" s="8"/>
      <c r="I2" s="8"/>
      <c r="J2" s="8"/>
      <c r="K2" s="8"/>
      <c r="L2" s="8"/>
      <c r="M2" s="8"/>
      <c r="N2" s="8"/>
      <c r="O2" s="8"/>
      <c r="P2" s="9"/>
      <c r="Q2" s="8"/>
      <c r="R2" s="8"/>
      <c r="S2" s="8"/>
      <c r="T2" s="8"/>
      <c r="U2" s="8"/>
      <c r="V2" s="8"/>
      <c r="W2" s="8"/>
      <c r="X2" s="8" t="s">
        <v>238</v>
      </c>
      <c r="Y2" s="81" t="s">
        <v>239</v>
      </c>
      <c r="Z2" s="8"/>
      <c r="AA2" s="81" t="s">
        <v>240</v>
      </c>
      <c r="AB2" s="8"/>
      <c r="AC2" s="8"/>
      <c r="AD2" s="81" t="s">
        <v>241</v>
      </c>
      <c r="AE2" s="81" t="s">
        <v>8114</v>
      </c>
      <c r="AF2" s="81" t="s">
        <v>242</v>
      </c>
      <c r="AG2" s="81" t="s">
        <v>241</v>
      </c>
      <c r="AH2" s="8"/>
      <c r="AI2" s="8"/>
      <c r="AJ2" s="8"/>
      <c r="AK2" s="8"/>
      <c r="AL2" s="8"/>
      <c r="AM2" s="81" t="s">
        <v>243</v>
      </c>
      <c r="AN2" s="8"/>
      <c r="AO2" s="8"/>
      <c r="AP2" s="8"/>
      <c r="AQ2" s="8"/>
      <c r="AR2" s="9">
        <v>46120</v>
      </c>
      <c r="AS2" s="8" t="s">
        <v>8115</v>
      </c>
      <c r="AT2" s="8" t="s">
        <v>245</v>
      </c>
      <c r="AU2" s="9">
        <v>46150</v>
      </c>
      <c r="AV2" s="81" t="s">
        <v>239</v>
      </c>
      <c r="AW2" s="81" t="s">
        <v>242</v>
      </c>
      <c r="AX2" s="8" t="s">
        <v>246</v>
      </c>
      <c r="AY2" s="8"/>
      <c r="AZ2" s="8"/>
      <c r="BA2" s="8"/>
      <c r="BB2" s="8"/>
      <c r="BC2" s="8"/>
      <c r="BD2" s="8"/>
      <c r="BE2" s="8"/>
      <c r="BF2" s="8"/>
      <c r="BG2" s="9"/>
      <c r="BH2" s="8"/>
      <c r="BI2" s="8"/>
      <c r="BJ2" s="9"/>
      <c r="BK2" s="9"/>
      <c r="BL2" s="8"/>
      <c r="BM2" s="8"/>
      <c r="BN2" s="8"/>
      <c r="BO2" s="8"/>
      <c r="BP2" s="8"/>
      <c r="BQ2" s="9"/>
      <c r="BR2" s="9"/>
      <c r="BS2" s="8"/>
      <c r="BT2" s="8"/>
      <c r="BU2" s="8"/>
      <c r="BV2" s="8"/>
      <c r="BW2" s="8"/>
      <c r="BX2" s="8"/>
      <c r="BY2" s="9"/>
      <c r="BZ2" s="9"/>
      <c r="CA2" s="8"/>
    </row>
    <row r="3" spans="1:79" ht="141.6" x14ac:dyDescent="0.25">
      <c r="A3" s="81" t="s">
        <v>247</v>
      </c>
      <c r="B3" s="8"/>
      <c r="C3" s="81" t="s">
        <v>26</v>
      </c>
      <c r="D3" s="8" t="s">
        <v>7775</v>
      </c>
      <c r="E3" s="8" t="s">
        <v>248</v>
      </c>
      <c r="F3" s="9">
        <v>37280</v>
      </c>
      <c r="G3" s="8" t="s">
        <v>249</v>
      </c>
      <c r="H3" s="81" t="s">
        <v>250</v>
      </c>
      <c r="I3" s="81" t="s">
        <v>251</v>
      </c>
      <c r="J3" s="81" t="s">
        <v>252</v>
      </c>
      <c r="K3" s="81" t="s">
        <v>103</v>
      </c>
      <c r="L3" s="81" t="s">
        <v>102</v>
      </c>
      <c r="M3" s="81" t="s">
        <v>8116</v>
      </c>
      <c r="N3" s="81" t="s">
        <v>119</v>
      </c>
      <c r="O3" s="81" t="s">
        <v>253</v>
      </c>
      <c r="P3" s="9">
        <v>46119</v>
      </c>
      <c r="Q3" s="8" t="s">
        <v>8115</v>
      </c>
      <c r="R3" s="8"/>
      <c r="S3" s="8"/>
      <c r="T3" s="8"/>
      <c r="U3" s="8"/>
      <c r="V3" s="8"/>
      <c r="W3" s="8"/>
      <c r="X3" s="8" t="s">
        <v>254</v>
      </c>
      <c r="Y3" s="81" t="s">
        <v>239</v>
      </c>
      <c r="Z3" s="8"/>
      <c r="AA3" s="81" t="s">
        <v>240</v>
      </c>
      <c r="AB3" s="8"/>
      <c r="AC3" s="8"/>
      <c r="AD3" s="81" t="s">
        <v>255</v>
      </c>
      <c r="AE3" s="81" t="s">
        <v>8117</v>
      </c>
      <c r="AF3" s="81" t="s">
        <v>256</v>
      </c>
      <c r="AG3" s="81" t="s">
        <v>255</v>
      </c>
      <c r="AH3" s="8"/>
      <c r="AI3" s="8"/>
      <c r="AJ3" s="8"/>
      <c r="AK3" s="8"/>
      <c r="AL3" s="8"/>
      <c r="AM3" s="81" t="s">
        <v>243</v>
      </c>
      <c r="AN3" s="8"/>
      <c r="AO3" s="8"/>
      <c r="AP3" s="8"/>
      <c r="AQ3" s="8"/>
      <c r="AR3" s="9">
        <v>46119</v>
      </c>
      <c r="AS3" s="8" t="s">
        <v>8115</v>
      </c>
      <c r="AT3" s="8" t="s">
        <v>257</v>
      </c>
      <c r="AU3" s="9">
        <v>46180</v>
      </c>
      <c r="AV3" s="81" t="s">
        <v>239</v>
      </c>
      <c r="AW3" s="81" t="s">
        <v>256</v>
      </c>
      <c r="AX3" s="8" t="s">
        <v>258</v>
      </c>
      <c r="AY3" s="8"/>
      <c r="AZ3" s="8"/>
      <c r="BA3" s="8"/>
      <c r="BB3" s="81" t="s">
        <v>259</v>
      </c>
      <c r="BC3" s="81" t="s">
        <v>247</v>
      </c>
      <c r="BD3" s="8" t="s">
        <v>260</v>
      </c>
      <c r="BE3" s="81" t="s">
        <v>261</v>
      </c>
      <c r="BF3" s="8" t="s">
        <v>262</v>
      </c>
      <c r="BG3" s="9">
        <v>47692</v>
      </c>
      <c r="BH3" s="81" t="s">
        <v>81</v>
      </c>
      <c r="BI3" s="81" t="s">
        <v>263</v>
      </c>
      <c r="BJ3" s="9">
        <v>44113</v>
      </c>
      <c r="BK3" s="9">
        <v>45470</v>
      </c>
      <c r="BL3" s="81" t="s">
        <v>264</v>
      </c>
      <c r="BM3" s="81" t="s">
        <v>82</v>
      </c>
      <c r="BN3" s="8"/>
      <c r="BO3" s="8"/>
      <c r="BP3" s="8"/>
      <c r="BQ3" s="9"/>
      <c r="BR3" s="9"/>
      <c r="BS3" s="8"/>
      <c r="BT3" s="81" t="s">
        <v>265</v>
      </c>
      <c r="BU3" s="81" t="s">
        <v>266</v>
      </c>
      <c r="BV3" s="8" t="s">
        <v>267</v>
      </c>
      <c r="BW3" s="8"/>
      <c r="BX3" s="8"/>
      <c r="BY3" s="9"/>
      <c r="BZ3" s="9"/>
      <c r="CA3" s="8"/>
    </row>
    <row r="4" spans="1:79" ht="157.19999999999999" x14ac:dyDescent="0.25">
      <c r="A4" s="81" t="s">
        <v>268</v>
      </c>
      <c r="B4" s="8"/>
      <c r="C4" s="81" t="s">
        <v>26</v>
      </c>
      <c r="D4" s="8" t="s">
        <v>7776</v>
      </c>
      <c r="E4" s="8" t="s">
        <v>269</v>
      </c>
      <c r="F4" s="9">
        <v>37249</v>
      </c>
      <c r="G4" s="8" t="s">
        <v>249</v>
      </c>
      <c r="H4" s="81" t="s">
        <v>250</v>
      </c>
      <c r="I4" s="81" t="s">
        <v>27</v>
      </c>
      <c r="J4" s="81" t="s">
        <v>270</v>
      </c>
      <c r="K4" s="81" t="s">
        <v>271</v>
      </c>
      <c r="L4" s="81" t="s">
        <v>102</v>
      </c>
      <c r="M4" s="81" t="s">
        <v>8118</v>
      </c>
      <c r="N4" s="81" t="s">
        <v>272</v>
      </c>
      <c r="O4" s="81" t="s">
        <v>253</v>
      </c>
      <c r="P4" s="9">
        <v>45838</v>
      </c>
      <c r="Q4" s="8" t="s">
        <v>8119</v>
      </c>
      <c r="R4" s="8"/>
      <c r="S4" s="8"/>
      <c r="T4" s="8"/>
      <c r="U4" s="8"/>
      <c r="V4" s="8"/>
      <c r="W4" s="8"/>
      <c r="X4" s="8" t="s">
        <v>274</v>
      </c>
      <c r="Y4" s="81" t="s">
        <v>239</v>
      </c>
      <c r="Z4" s="8"/>
      <c r="AA4" s="81" t="s">
        <v>275</v>
      </c>
      <c r="AB4" s="8"/>
      <c r="AC4" s="8"/>
      <c r="AD4" s="81" t="s">
        <v>241</v>
      </c>
      <c r="AE4" s="81" t="s">
        <v>8114</v>
      </c>
      <c r="AF4" s="81" t="s">
        <v>242</v>
      </c>
      <c r="AG4" s="81" t="s">
        <v>241</v>
      </c>
      <c r="AH4" s="8"/>
      <c r="AI4" s="8"/>
      <c r="AJ4" s="8"/>
      <c r="AK4" s="8"/>
      <c r="AL4" s="8"/>
      <c r="AM4" s="81" t="s">
        <v>243</v>
      </c>
      <c r="AN4" s="8"/>
      <c r="AO4" s="8"/>
      <c r="AP4" s="8"/>
      <c r="AQ4" s="8"/>
      <c r="AR4" s="9">
        <v>46098</v>
      </c>
      <c r="AS4" s="8" t="s">
        <v>8115</v>
      </c>
      <c r="AT4" s="8" t="s">
        <v>245</v>
      </c>
      <c r="AU4" s="9">
        <v>46129</v>
      </c>
      <c r="AV4" s="81" t="s">
        <v>239</v>
      </c>
      <c r="AW4" s="81" t="s">
        <v>242</v>
      </c>
      <c r="AX4" s="8" t="s">
        <v>277</v>
      </c>
      <c r="AY4" s="8"/>
      <c r="AZ4" s="8"/>
      <c r="BA4" s="8"/>
      <c r="BB4" s="81" t="s">
        <v>278</v>
      </c>
      <c r="BC4" s="81" t="s">
        <v>268</v>
      </c>
      <c r="BD4" s="8" t="s">
        <v>279</v>
      </c>
      <c r="BE4" s="81" t="s">
        <v>261</v>
      </c>
      <c r="BF4" s="8" t="s">
        <v>280</v>
      </c>
      <c r="BG4" s="9">
        <v>47460</v>
      </c>
      <c r="BH4" s="81" t="s">
        <v>81</v>
      </c>
      <c r="BI4" s="81" t="s">
        <v>282</v>
      </c>
      <c r="BJ4" s="9">
        <v>44440</v>
      </c>
      <c r="BK4" s="9">
        <v>45835</v>
      </c>
      <c r="BL4" s="81" t="s">
        <v>285</v>
      </c>
      <c r="BM4" s="81" t="s">
        <v>82</v>
      </c>
      <c r="BN4" s="81" t="s">
        <v>286</v>
      </c>
      <c r="BO4" s="81" t="s">
        <v>287</v>
      </c>
      <c r="BP4" s="81" t="s">
        <v>288</v>
      </c>
      <c r="BQ4" s="9">
        <v>45838</v>
      </c>
      <c r="BR4" s="9">
        <v>46021</v>
      </c>
      <c r="BS4" s="81" t="s">
        <v>8120</v>
      </c>
      <c r="BT4" s="81" t="s">
        <v>289</v>
      </c>
      <c r="BU4" s="81" t="s">
        <v>266</v>
      </c>
      <c r="BV4" s="8" t="s">
        <v>290</v>
      </c>
      <c r="BW4" s="8"/>
      <c r="BX4" s="8"/>
      <c r="BY4" s="9"/>
      <c r="BZ4" s="9"/>
      <c r="CA4" s="8"/>
    </row>
    <row r="5" spans="1:79" ht="157.80000000000001" x14ac:dyDescent="0.25">
      <c r="A5" s="81" t="s">
        <v>291</v>
      </c>
      <c r="B5" s="8"/>
      <c r="C5" s="81" t="s">
        <v>26</v>
      </c>
      <c r="D5" s="8" t="s">
        <v>7777</v>
      </c>
      <c r="E5" s="8"/>
      <c r="F5" s="9">
        <v>33193</v>
      </c>
      <c r="G5" s="8" t="s">
        <v>292</v>
      </c>
      <c r="H5" s="81" t="s">
        <v>250</v>
      </c>
      <c r="I5" s="81" t="s">
        <v>27</v>
      </c>
      <c r="J5" s="81" t="s">
        <v>293</v>
      </c>
      <c r="K5" s="81" t="s">
        <v>294</v>
      </c>
      <c r="L5" s="81" t="s">
        <v>102</v>
      </c>
      <c r="M5" s="81" t="s">
        <v>8121</v>
      </c>
      <c r="N5" s="81" t="s">
        <v>28</v>
      </c>
      <c r="O5" s="81" t="s">
        <v>29</v>
      </c>
      <c r="P5" s="9">
        <v>45455</v>
      </c>
      <c r="Q5" s="8" t="s">
        <v>8122</v>
      </c>
      <c r="R5" s="8"/>
      <c r="S5" s="8"/>
      <c r="T5" s="8"/>
      <c r="U5" s="8"/>
      <c r="V5" s="8"/>
      <c r="W5" s="8"/>
      <c r="X5" s="8" t="s">
        <v>295</v>
      </c>
      <c r="Y5" s="81" t="s">
        <v>239</v>
      </c>
      <c r="Z5" s="8"/>
      <c r="AA5" s="81" t="s">
        <v>296</v>
      </c>
      <c r="AB5" s="8"/>
      <c r="AC5" s="8"/>
      <c r="AD5" s="81" t="s">
        <v>297</v>
      </c>
      <c r="AE5" s="81" t="s">
        <v>8123</v>
      </c>
      <c r="AF5" s="81" t="s">
        <v>242</v>
      </c>
      <c r="AG5" s="81" t="s">
        <v>298</v>
      </c>
      <c r="AH5" s="81" t="s">
        <v>297</v>
      </c>
      <c r="AI5" s="8"/>
      <c r="AJ5" s="8"/>
      <c r="AK5" s="8"/>
      <c r="AL5" s="8"/>
      <c r="AM5" s="81" t="s">
        <v>243</v>
      </c>
      <c r="AN5" s="8"/>
      <c r="AO5" s="8"/>
      <c r="AP5" s="8"/>
      <c r="AQ5" s="8"/>
      <c r="AR5" s="9">
        <v>46097</v>
      </c>
      <c r="AS5" s="8" t="s">
        <v>8115</v>
      </c>
      <c r="AT5" s="8" t="s">
        <v>257</v>
      </c>
      <c r="AU5" s="9">
        <v>46158</v>
      </c>
      <c r="AV5" s="81" t="s">
        <v>239</v>
      </c>
      <c r="AW5" s="81" t="s">
        <v>242</v>
      </c>
      <c r="AX5" s="8" t="s">
        <v>300</v>
      </c>
      <c r="AY5" s="8"/>
      <c r="AZ5" s="8" t="s">
        <v>8124</v>
      </c>
      <c r="BA5" s="8"/>
      <c r="BB5" s="81" t="s">
        <v>301</v>
      </c>
      <c r="BC5" s="81" t="s">
        <v>291</v>
      </c>
      <c r="BD5" s="8" t="s">
        <v>302</v>
      </c>
      <c r="BE5" s="81" t="s">
        <v>261</v>
      </c>
      <c r="BF5" s="8" t="s">
        <v>303</v>
      </c>
      <c r="BG5" s="9">
        <v>52549</v>
      </c>
      <c r="BH5" s="81" t="s">
        <v>305</v>
      </c>
      <c r="BI5" s="81" t="s">
        <v>306</v>
      </c>
      <c r="BJ5" s="9">
        <v>38961</v>
      </c>
      <c r="BK5" s="9">
        <v>40724</v>
      </c>
      <c r="BL5" s="81" t="s">
        <v>308</v>
      </c>
      <c r="BM5" s="8"/>
      <c r="BN5" s="81" t="s">
        <v>309</v>
      </c>
      <c r="BO5" s="81" t="s">
        <v>310</v>
      </c>
      <c r="BP5" s="81" t="s">
        <v>311</v>
      </c>
      <c r="BQ5" s="9">
        <v>41800</v>
      </c>
      <c r="BR5" s="9">
        <v>42587</v>
      </c>
      <c r="BS5" s="81" t="s">
        <v>312</v>
      </c>
      <c r="BT5" s="81" t="s">
        <v>313</v>
      </c>
      <c r="BU5" s="81" t="s">
        <v>266</v>
      </c>
      <c r="BV5" s="8" t="s">
        <v>314</v>
      </c>
      <c r="BW5" s="8"/>
      <c r="BX5" s="8"/>
      <c r="BY5" s="9"/>
      <c r="BZ5" s="9"/>
      <c r="CA5" s="8"/>
    </row>
    <row r="6" spans="1:79" ht="173.4" x14ac:dyDescent="0.25">
      <c r="A6" s="81" t="s">
        <v>315</v>
      </c>
      <c r="B6" s="8"/>
      <c r="C6" s="81" t="s">
        <v>26</v>
      </c>
      <c r="D6" s="8" t="s">
        <v>7778</v>
      </c>
      <c r="E6" s="8" t="s">
        <v>316</v>
      </c>
      <c r="F6" s="9">
        <v>37248</v>
      </c>
      <c r="G6" s="8" t="s">
        <v>249</v>
      </c>
      <c r="H6" s="81" t="s">
        <v>250</v>
      </c>
      <c r="I6" s="81" t="s">
        <v>27</v>
      </c>
      <c r="J6" s="81" t="s">
        <v>293</v>
      </c>
      <c r="K6" s="81" t="s">
        <v>317</v>
      </c>
      <c r="L6" s="81" t="s">
        <v>102</v>
      </c>
      <c r="M6" s="81" t="s">
        <v>317</v>
      </c>
      <c r="N6" s="81" t="s">
        <v>272</v>
      </c>
      <c r="O6" s="81" t="s">
        <v>253</v>
      </c>
      <c r="P6" s="9">
        <v>45484</v>
      </c>
      <c r="Q6" s="8" t="s">
        <v>8122</v>
      </c>
      <c r="R6" s="8"/>
      <c r="S6" s="8"/>
      <c r="T6" s="8"/>
      <c r="U6" s="8"/>
      <c r="V6" s="8"/>
      <c r="W6" s="8"/>
      <c r="X6" s="8" t="s">
        <v>318</v>
      </c>
      <c r="Y6" s="81" t="s">
        <v>33</v>
      </c>
      <c r="Z6" s="8"/>
      <c r="AA6" s="81" t="s">
        <v>319</v>
      </c>
      <c r="AB6" s="8"/>
      <c r="AC6" s="8"/>
      <c r="AD6" s="81" t="s">
        <v>320</v>
      </c>
      <c r="AE6" s="81" t="s">
        <v>8125</v>
      </c>
      <c r="AF6" s="81" t="s">
        <v>242</v>
      </c>
      <c r="AG6" s="81" t="s">
        <v>298</v>
      </c>
      <c r="AH6" s="81" t="s">
        <v>320</v>
      </c>
      <c r="AI6" s="8"/>
      <c r="AJ6" s="8"/>
      <c r="AK6" s="8"/>
      <c r="AL6" s="8"/>
      <c r="AM6" s="81" t="s">
        <v>243</v>
      </c>
      <c r="AN6" s="8"/>
      <c r="AO6" s="8"/>
      <c r="AP6" s="8"/>
      <c r="AQ6" s="8"/>
      <c r="AR6" s="9">
        <v>46013</v>
      </c>
      <c r="AS6" s="8" t="s">
        <v>8126</v>
      </c>
      <c r="AT6" s="8" t="s">
        <v>257</v>
      </c>
      <c r="AU6" s="9">
        <v>46075</v>
      </c>
      <c r="AV6" s="81" t="s">
        <v>322</v>
      </c>
      <c r="AW6" s="81" t="s">
        <v>242</v>
      </c>
      <c r="AX6" s="8" t="s">
        <v>323</v>
      </c>
      <c r="AY6" s="8"/>
      <c r="AZ6" s="8" t="s">
        <v>8127</v>
      </c>
      <c r="BA6" s="8"/>
      <c r="BB6" s="81" t="s">
        <v>324</v>
      </c>
      <c r="BC6" s="81" t="s">
        <v>315</v>
      </c>
      <c r="BD6" s="8" t="s">
        <v>325</v>
      </c>
      <c r="BE6" s="81" t="s">
        <v>261</v>
      </c>
      <c r="BF6" s="8" t="s">
        <v>326</v>
      </c>
      <c r="BG6" s="9">
        <v>47856</v>
      </c>
      <c r="BH6" s="81" t="s">
        <v>81</v>
      </c>
      <c r="BI6" s="81" t="s">
        <v>327</v>
      </c>
      <c r="BJ6" s="9">
        <v>44075</v>
      </c>
      <c r="BK6" s="9">
        <v>45464</v>
      </c>
      <c r="BL6" s="81" t="s">
        <v>330</v>
      </c>
      <c r="BM6" s="81" t="s">
        <v>82</v>
      </c>
      <c r="BN6" s="81" t="s">
        <v>331</v>
      </c>
      <c r="BO6" s="81" t="s">
        <v>332</v>
      </c>
      <c r="BP6" s="81" t="s">
        <v>333</v>
      </c>
      <c r="BQ6" s="9">
        <v>45484</v>
      </c>
      <c r="BR6" s="9">
        <v>46011</v>
      </c>
      <c r="BS6" s="8"/>
      <c r="BT6" s="81" t="s">
        <v>334</v>
      </c>
      <c r="BU6" s="81" t="s">
        <v>335</v>
      </c>
      <c r="BV6" s="8" t="s">
        <v>336</v>
      </c>
      <c r="BW6" s="81" t="s">
        <v>242</v>
      </c>
      <c r="BX6" s="81" t="s">
        <v>337</v>
      </c>
      <c r="BY6" s="9">
        <v>46013</v>
      </c>
      <c r="BZ6" s="9">
        <v>46377</v>
      </c>
      <c r="CA6" s="8" t="s">
        <v>245</v>
      </c>
    </row>
    <row r="7" spans="1:79" ht="205.2" x14ac:dyDescent="0.25">
      <c r="A7" s="81" t="s">
        <v>339</v>
      </c>
      <c r="B7" s="8"/>
      <c r="C7" s="81" t="s">
        <v>26</v>
      </c>
      <c r="D7" s="8" t="s">
        <v>7779</v>
      </c>
      <c r="E7" s="8"/>
      <c r="F7" s="9">
        <v>38384</v>
      </c>
      <c r="G7" s="8" t="s">
        <v>340</v>
      </c>
      <c r="H7" s="81" t="s">
        <v>250</v>
      </c>
      <c r="I7" s="81" t="s">
        <v>27</v>
      </c>
      <c r="J7" s="8"/>
      <c r="K7" s="81" t="s">
        <v>341</v>
      </c>
      <c r="L7" s="81" t="s">
        <v>102</v>
      </c>
      <c r="M7" s="81" t="s">
        <v>8128</v>
      </c>
      <c r="N7" s="8"/>
      <c r="O7" s="8"/>
      <c r="P7" s="9"/>
      <c r="Q7" s="8"/>
      <c r="R7" s="8"/>
      <c r="S7" s="8"/>
      <c r="T7" s="8"/>
      <c r="U7" s="8"/>
      <c r="V7" s="8"/>
      <c r="W7" s="8"/>
      <c r="X7" s="8" t="s">
        <v>342</v>
      </c>
      <c r="Y7" s="81" t="s">
        <v>33</v>
      </c>
      <c r="Z7" s="8"/>
      <c r="AA7" s="81" t="s">
        <v>343</v>
      </c>
      <c r="AB7" s="8"/>
      <c r="AC7" s="8"/>
      <c r="AD7" s="81" t="s">
        <v>344</v>
      </c>
      <c r="AE7" s="81" t="s">
        <v>8129</v>
      </c>
      <c r="AF7" s="81" t="s">
        <v>242</v>
      </c>
      <c r="AG7" s="81" t="s">
        <v>345</v>
      </c>
      <c r="AH7" s="81" t="s">
        <v>346</v>
      </c>
      <c r="AI7" s="81" t="s">
        <v>344</v>
      </c>
      <c r="AJ7" s="8"/>
      <c r="AK7" s="8"/>
      <c r="AL7" s="8"/>
      <c r="AM7" s="81" t="s">
        <v>347</v>
      </c>
      <c r="AN7" s="8"/>
      <c r="AO7" s="8"/>
      <c r="AP7" s="8"/>
      <c r="AQ7" s="8"/>
      <c r="AR7" s="9">
        <v>45992</v>
      </c>
      <c r="AS7" s="8" t="s">
        <v>8130</v>
      </c>
      <c r="AT7" s="8" t="s">
        <v>348</v>
      </c>
      <c r="AU7" s="9"/>
      <c r="AV7" s="81" t="s">
        <v>349</v>
      </c>
      <c r="AW7" s="8"/>
      <c r="AX7" s="8" t="s">
        <v>350</v>
      </c>
      <c r="AY7" s="8"/>
      <c r="AZ7" s="8"/>
      <c r="BA7" s="8"/>
      <c r="BB7" s="8"/>
      <c r="BC7" s="8"/>
      <c r="BD7" s="8"/>
      <c r="BE7" s="8"/>
      <c r="BF7" s="8"/>
      <c r="BG7" s="9"/>
      <c r="BH7" s="8"/>
      <c r="BI7" s="8"/>
      <c r="BJ7" s="9"/>
      <c r="BK7" s="9"/>
      <c r="BL7" s="8"/>
      <c r="BM7" s="8"/>
      <c r="BN7" s="8"/>
      <c r="BO7" s="8"/>
      <c r="BP7" s="8"/>
      <c r="BQ7" s="9"/>
      <c r="BR7" s="9"/>
      <c r="BS7" s="8"/>
      <c r="BT7" s="8"/>
      <c r="BU7" s="8"/>
      <c r="BV7" s="8"/>
      <c r="BW7" s="8"/>
      <c r="BX7" s="8"/>
      <c r="BY7" s="9"/>
      <c r="BZ7" s="9"/>
      <c r="CA7" s="8"/>
    </row>
    <row r="8" spans="1:79" ht="141.6" x14ac:dyDescent="0.25">
      <c r="A8" s="81" t="s">
        <v>351</v>
      </c>
      <c r="B8" s="8"/>
      <c r="C8" s="81" t="s">
        <v>352</v>
      </c>
      <c r="D8" s="8" t="s">
        <v>7780</v>
      </c>
      <c r="E8" s="8"/>
      <c r="F8" s="9">
        <v>37068</v>
      </c>
      <c r="G8" s="8" t="s">
        <v>249</v>
      </c>
      <c r="H8" s="81" t="s">
        <v>250</v>
      </c>
      <c r="I8" s="81" t="s">
        <v>27</v>
      </c>
      <c r="J8" s="81" t="s">
        <v>270</v>
      </c>
      <c r="K8" s="81" t="s">
        <v>353</v>
      </c>
      <c r="L8" s="81" t="s">
        <v>102</v>
      </c>
      <c r="M8" s="81" t="s">
        <v>354</v>
      </c>
      <c r="N8" s="81" t="s">
        <v>272</v>
      </c>
      <c r="O8" s="81" t="s">
        <v>253</v>
      </c>
      <c r="P8" s="9">
        <v>45481</v>
      </c>
      <c r="Q8" s="8" t="s">
        <v>8122</v>
      </c>
      <c r="R8" s="8"/>
      <c r="S8" s="8"/>
      <c r="T8" s="8"/>
      <c r="U8" s="8"/>
      <c r="V8" s="8"/>
      <c r="W8" s="8"/>
      <c r="X8" s="8" t="s">
        <v>356</v>
      </c>
      <c r="Y8" s="81" t="s">
        <v>33</v>
      </c>
      <c r="Z8" s="8"/>
      <c r="AA8" s="81" t="s">
        <v>357</v>
      </c>
      <c r="AB8" s="8"/>
      <c r="AC8" s="8"/>
      <c r="AD8" s="81" t="s">
        <v>358</v>
      </c>
      <c r="AE8" s="81" t="s">
        <v>8131</v>
      </c>
      <c r="AF8" s="81" t="s">
        <v>256</v>
      </c>
      <c r="AG8" s="81" t="s">
        <v>358</v>
      </c>
      <c r="AH8" s="8"/>
      <c r="AI8" s="8"/>
      <c r="AJ8" s="8"/>
      <c r="AK8" s="8"/>
      <c r="AL8" s="8"/>
      <c r="AM8" s="81" t="s">
        <v>243</v>
      </c>
      <c r="AN8" s="8"/>
      <c r="AO8" s="8"/>
      <c r="AP8" s="8"/>
      <c r="AQ8" s="8"/>
      <c r="AR8" s="9">
        <v>45946</v>
      </c>
      <c r="AS8" s="8" t="s">
        <v>8132</v>
      </c>
      <c r="AT8" s="8" t="s">
        <v>257</v>
      </c>
      <c r="AU8" s="9">
        <v>46007</v>
      </c>
      <c r="AV8" s="81" t="s">
        <v>322</v>
      </c>
      <c r="AW8" s="81" t="s">
        <v>256</v>
      </c>
      <c r="AX8" s="8" t="s">
        <v>360</v>
      </c>
      <c r="AY8" s="8"/>
      <c r="AZ8" s="8" t="s">
        <v>8133</v>
      </c>
      <c r="BA8" s="81" t="s">
        <v>361</v>
      </c>
      <c r="BB8" s="81" t="s">
        <v>259</v>
      </c>
      <c r="BC8" s="81" t="s">
        <v>351</v>
      </c>
      <c r="BD8" s="8" t="s">
        <v>362</v>
      </c>
      <c r="BE8" s="81" t="s">
        <v>261</v>
      </c>
      <c r="BF8" s="8" t="s">
        <v>363</v>
      </c>
      <c r="BG8" s="9">
        <v>47864</v>
      </c>
      <c r="BH8" s="81" t="s">
        <v>81</v>
      </c>
      <c r="BI8" s="81" t="s">
        <v>365</v>
      </c>
      <c r="BJ8" s="9">
        <v>44075</v>
      </c>
      <c r="BK8" s="9">
        <v>45473</v>
      </c>
      <c r="BL8" s="81" t="s">
        <v>367</v>
      </c>
      <c r="BM8" s="81" t="s">
        <v>82</v>
      </c>
      <c r="BN8" s="81" t="s">
        <v>368</v>
      </c>
      <c r="BO8" s="8"/>
      <c r="BP8" s="81" t="s">
        <v>369</v>
      </c>
      <c r="BQ8" s="9">
        <v>45481</v>
      </c>
      <c r="BR8" s="9">
        <v>45900</v>
      </c>
      <c r="BS8" s="8"/>
      <c r="BT8" s="81" t="s">
        <v>370</v>
      </c>
      <c r="BU8" s="81" t="s">
        <v>335</v>
      </c>
      <c r="BV8" s="8" t="s">
        <v>371</v>
      </c>
      <c r="BW8" s="81" t="s">
        <v>256</v>
      </c>
      <c r="BX8" s="81" t="s">
        <v>337</v>
      </c>
      <c r="BY8" s="9">
        <v>45946</v>
      </c>
      <c r="BZ8" s="9">
        <v>46310</v>
      </c>
      <c r="CA8" s="8" t="s">
        <v>245</v>
      </c>
    </row>
    <row r="9" spans="1:79" ht="141.6" x14ac:dyDescent="0.25">
      <c r="A9" s="81" t="s">
        <v>373</v>
      </c>
      <c r="B9" s="8"/>
      <c r="C9" s="81" t="s">
        <v>26</v>
      </c>
      <c r="D9" s="8" t="s">
        <v>7781</v>
      </c>
      <c r="E9" s="8" t="s">
        <v>374</v>
      </c>
      <c r="F9" s="9">
        <v>33219</v>
      </c>
      <c r="G9" s="8" t="s">
        <v>292</v>
      </c>
      <c r="H9" s="81" t="s">
        <v>250</v>
      </c>
      <c r="I9" s="81" t="s">
        <v>251</v>
      </c>
      <c r="J9" s="81" t="s">
        <v>252</v>
      </c>
      <c r="K9" s="81" t="s">
        <v>294</v>
      </c>
      <c r="L9" s="81" t="s">
        <v>102</v>
      </c>
      <c r="M9" s="81" t="s">
        <v>8134</v>
      </c>
      <c r="N9" s="81" t="s">
        <v>119</v>
      </c>
      <c r="O9" s="81" t="s">
        <v>253</v>
      </c>
      <c r="P9" s="9"/>
      <c r="Q9" s="8"/>
      <c r="R9" s="8"/>
      <c r="S9" s="8"/>
      <c r="T9" s="8"/>
      <c r="U9" s="8"/>
      <c r="V9" s="8"/>
      <c r="W9" s="8"/>
      <c r="X9" s="8" t="s">
        <v>375</v>
      </c>
      <c r="Y9" s="81" t="s">
        <v>33</v>
      </c>
      <c r="Z9" s="8"/>
      <c r="AA9" s="81" t="s">
        <v>319</v>
      </c>
      <c r="AB9" s="8"/>
      <c r="AC9" s="8"/>
      <c r="AD9" s="81" t="s">
        <v>376</v>
      </c>
      <c r="AE9" s="81" t="s">
        <v>8135</v>
      </c>
      <c r="AF9" s="81" t="s">
        <v>242</v>
      </c>
      <c r="AG9" s="81" t="s">
        <v>376</v>
      </c>
      <c r="AH9" s="8"/>
      <c r="AI9" s="8"/>
      <c r="AJ9" s="8"/>
      <c r="AK9" s="8"/>
      <c r="AL9" s="8"/>
      <c r="AM9" s="81" t="s">
        <v>243</v>
      </c>
      <c r="AN9" s="8"/>
      <c r="AO9" s="8"/>
      <c r="AP9" s="8"/>
      <c r="AQ9" s="8"/>
      <c r="AR9" s="9">
        <v>45922</v>
      </c>
      <c r="AS9" s="8" t="s">
        <v>8136</v>
      </c>
      <c r="AT9" s="8" t="s">
        <v>257</v>
      </c>
      <c r="AU9" s="9">
        <v>45983</v>
      </c>
      <c r="AV9" s="81" t="s">
        <v>322</v>
      </c>
      <c r="AW9" s="81" t="s">
        <v>242</v>
      </c>
      <c r="AX9" s="8" t="s">
        <v>378</v>
      </c>
      <c r="AY9" s="8"/>
      <c r="AZ9" s="8" t="s">
        <v>8137</v>
      </c>
      <c r="BA9" s="81" t="s">
        <v>361</v>
      </c>
      <c r="BB9" s="81" t="s">
        <v>379</v>
      </c>
      <c r="BC9" s="81" t="s">
        <v>373</v>
      </c>
      <c r="BD9" s="8" t="s">
        <v>380</v>
      </c>
      <c r="BE9" s="81" t="s">
        <v>261</v>
      </c>
      <c r="BF9" s="8" t="s">
        <v>381</v>
      </c>
      <c r="BG9" s="9">
        <v>52780</v>
      </c>
      <c r="BH9" s="81" t="s">
        <v>87</v>
      </c>
      <c r="BI9" s="81" t="s">
        <v>383</v>
      </c>
      <c r="BJ9" s="9">
        <v>44620</v>
      </c>
      <c r="BK9" s="9">
        <v>45016</v>
      </c>
      <c r="BL9" s="81" t="s">
        <v>385</v>
      </c>
      <c r="BM9" s="81" t="s">
        <v>87</v>
      </c>
      <c r="BN9" s="81" t="s">
        <v>386</v>
      </c>
      <c r="BO9" s="81" t="s">
        <v>387</v>
      </c>
      <c r="BP9" s="8"/>
      <c r="BQ9" s="9">
        <v>43831</v>
      </c>
      <c r="BR9" s="9">
        <v>44592</v>
      </c>
      <c r="BS9" s="8"/>
      <c r="BT9" s="81" t="s">
        <v>388</v>
      </c>
      <c r="BU9" s="81" t="s">
        <v>266</v>
      </c>
      <c r="BV9" s="8" t="s">
        <v>389</v>
      </c>
      <c r="BW9" s="81" t="s">
        <v>242</v>
      </c>
      <c r="BX9" s="81" t="s">
        <v>337</v>
      </c>
      <c r="BY9" s="9">
        <v>45922</v>
      </c>
      <c r="BZ9" s="9">
        <v>46286</v>
      </c>
      <c r="CA9" s="8" t="s">
        <v>245</v>
      </c>
    </row>
    <row r="10" spans="1:79" ht="157.19999999999999" x14ac:dyDescent="0.25">
      <c r="A10" s="81" t="s">
        <v>391</v>
      </c>
      <c r="B10" s="8"/>
      <c r="C10" s="81" t="s">
        <v>26</v>
      </c>
      <c r="D10" s="8" t="s">
        <v>7782</v>
      </c>
      <c r="E10" s="8" t="s">
        <v>392</v>
      </c>
      <c r="F10" s="9">
        <v>36257</v>
      </c>
      <c r="G10" s="8" t="s">
        <v>393</v>
      </c>
      <c r="H10" s="81" t="s">
        <v>250</v>
      </c>
      <c r="I10" s="81" t="s">
        <v>251</v>
      </c>
      <c r="J10" s="81" t="s">
        <v>293</v>
      </c>
      <c r="K10" s="81" t="s">
        <v>394</v>
      </c>
      <c r="L10" s="81" t="s">
        <v>102</v>
      </c>
      <c r="M10" s="81" t="s">
        <v>395</v>
      </c>
      <c r="N10" s="81" t="s">
        <v>272</v>
      </c>
      <c r="O10" s="81" t="s">
        <v>253</v>
      </c>
      <c r="P10" s="9">
        <v>45910</v>
      </c>
      <c r="Q10" s="8" t="s">
        <v>8138</v>
      </c>
      <c r="R10" s="8"/>
      <c r="S10" s="8"/>
      <c r="T10" s="8"/>
      <c r="U10" s="8"/>
      <c r="V10" s="8"/>
      <c r="W10" s="8"/>
      <c r="X10" s="8" t="s">
        <v>397</v>
      </c>
      <c r="Y10" s="81" t="s">
        <v>33</v>
      </c>
      <c r="Z10" s="8"/>
      <c r="AA10" s="81" t="s">
        <v>240</v>
      </c>
      <c r="AB10" s="8"/>
      <c r="AC10" s="8"/>
      <c r="AD10" s="81" t="s">
        <v>241</v>
      </c>
      <c r="AE10" s="81" t="s">
        <v>8114</v>
      </c>
      <c r="AF10" s="81" t="s">
        <v>242</v>
      </c>
      <c r="AG10" s="81" t="s">
        <v>241</v>
      </c>
      <c r="AH10" s="8"/>
      <c r="AI10" s="8"/>
      <c r="AJ10" s="8"/>
      <c r="AK10" s="8"/>
      <c r="AL10" s="8"/>
      <c r="AM10" s="81" t="s">
        <v>243</v>
      </c>
      <c r="AN10" s="8"/>
      <c r="AO10" s="8"/>
      <c r="AP10" s="8"/>
      <c r="AQ10" s="8"/>
      <c r="AR10" s="9">
        <v>45910</v>
      </c>
      <c r="AS10" s="8" t="s">
        <v>8138</v>
      </c>
      <c r="AT10" s="8" t="s">
        <v>245</v>
      </c>
      <c r="AU10" s="9">
        <v>45940</v>
      </c>
      <c r="AV10" s="81" t="s">
        <v>322</v>
      </c>
      <c r="AW10" s="81" t="s">
        <v>242</v>
      </c>
      <c r="AX10" s="8" t="s">
        <v>398</v>
      </c>
      <c r="AY10" s="8"/>
      <c r="AZ10" s="8" t="s">
        <v>8139</v>
      </c>
      <c r="BA10" s="81" t="s">
        <v>399</v>
      </c>
      <c r="BB10" s="81" t="s">
        <v>400</v>
      </c>
      <c r="BC10" s="81" t="s">
        <v>391</v>
      </c>
      <c r="BD10" s="8" t="s">
        <v>401</v>
      </c>
      <c r="BE10" s="81" t="s">
        <v>261</v>
      </c>
      <c r="BF10" s="8" t="s">
        <v>401</v>
      </c>
      <c r="BG10" s="9">
        <v>46935</v>
      </c>
      <c r="BH10" s="81" t="s">
        <v>81</v>
      </c>
      <c r="BI10" s="81" t="s">
        <v>403</v>
      </c>
      <c r="BJ10" s="9">
        <v>43333</v>
      </c>
      <c r="BK10" s="9">
        <v>44733</v>
      </c>
      <c r="BL10" s="81" t="s">
        <v>405</v>
      </c>
      <c r="BM10" s="81" t="s">
        <v>82</v>
      </c>
      <c r="BN10" s="81" t="s">
        <v>406</v>
      </c>
      <c r="BO10" s="81" t="s">
        <v>407</v>
      </c>
      <c r="BP10" s="81" t="s">
        <v>240</v>
      </c>
      <c r="BQ10" s="9">
        <v>44764</v>
      </c>
      <c r="BR10" s="9">
        <v>45884</v>
      </c>
      <c r="BS10" s="81" t="s">
        <v>408</v>
      </c>
      <c r="BT10" s="81" t="s">
        <v>409</v>
      </c>
      <c r="BU10" s="81" t="s">
        <v>266</v>
      </c>
      <c r="BV10" s="8" t="s">
        <v>410</v>
      </c>
      <c r="BW10" s="81" t="s">
        <v>242</v>
      </c>
      <c r="BX10" s="81" t="s">
        <v>337</v>
      </c>
      <c r="BY10" s="9">
        <v>45910</v>
      </c>
      <c r="BZ10" s="9">
        <v>46274</v>
      </c>
      <c r="CA10" s="8" t="s">
        <v>245</v>
      </c>
    </row>
    <row r="11" spans="1:79" ht="141.6" x14ac:dyDescent="0.25">
      <c r="A11" s="81" t="s">
        <v>412</v>
      </c>
      <c r="B11" s="8"/>
      <c r="C11" s="81" t="s">
        <v>26</v>
      </c>
      <c r="D11" s="8" t="s">
        <v>7783</v>
      </c>
      <c r="E11" s="8" t="s">
        <v>413</v>
      </c>
      <c r="F11" s="9">
        <v>36346</v>
      </c>
      <c r="G11" s="8" t="s">
        <v>414</v>
      </c>
      <c r="H11" s="81" t="s">
        <v>250</v>
      </c>
      <c r="I11" s="81" t="s">
        <v>27</v>
      </c>
      <c r="J11" s="81" t="s">
        <v>252</v>
      </c>
      <c r="K11" s="81" t="s">
        <v>415</v>
      </c>
      <c r="L11" s="81" t="s">
        <v>416</v>
      </c>
      <c r="M11" s="81" t="s">
        <v>8140</v>
      </c>
      <c r="N11" s="81" t="s">
        <v>28</v>
      </c>
      <c r="O11" s="81" t="s">
        <v>253</v>
      </c>
      <c r="P11" s="9"/>
      <c r="Q11" s="8"/>
      <c r="R11" s="8"/>
      <c r="S11" s="8"/>
      <c r="T11" s="81" t="s">
        <v>8141</v>
      </c>
      <c r="U11" s="81" t="s">
        <v>417</v>
      </c>
      <c r="V11" s="8"/>
      <c r="W11" s="8"/>
      <c r="X11" s="8" t="s">
        <v>418</v>
      </c>
      <c r="Y11" s="81" t="s">
        <v>33</v>
      </c>
      <c r="Z11" s="8"/>
      <c r="AA11" s="81" t="s">
        <v>419</v>
      </c>
      <c r="AB11" s="8"/>
      <c r="AC11" s="8"/>
      <c r="AD11" s="81" t="s">
        <v>420</v>
      </c>
      <c r="AE11" s="81" t="s">
        <v>8142</v>
      </c>
      <c r="AF11" s="81" t="s">
        <v>242</v>
      </c>
      <c r="AG11" s="81" t="s">
        <v>420</v>
      </c>
      <c r="AH11" s="8"/>
      <c r="AI11" s="8"/>
      <c r="AJ11" s="8"/>
      <c r="AK11" s="8"/>
      <c r="AL11" s="8"/>
      <c r="AM11" s="81" t="s">
        <v>243</v>
      </c>
      <c r="AN11" s="8"/>
      <c r="AO11" s="8"/>
      <c r="AP11" s="8"/>
      <c r="AQ11" s="8"/>
      <c r="AR11" s="9">
        <v>45909</v>
      </c>
      <c r="AS11" s="8" t="s">
        <v>8138</v>
      </c>
      <c r="AT11" s="8" t="s">
        <v>257</v>
      </c>
      <c r="AU11" s="9">
        <v>45970</v>
      </c>
      <c r="AV11" s="81" t="s">
        <v>322</v>
      </c>
      <c r="AW11" s="81" t="s">
        <v>242</v>
      </c>
      <c r="AX11" s="8" t="s">
        <v>422</v>
      </c>
      <c r="AY11" s="8"/>
      <c r="AZ11" s="8" t="s">
        <v>8139</v>
      </c>
      <c r="BA11" s="81" t="s">
        <v>399</v>
      </c>
      <c r="BB11" s="8"/>
      <c r="BC11" s="81" t="s">
        <v>412</v>
      </c>
      <c r="BD11" s="8" t="s">
        <v>423</v>
      </c>
      <c r="BE11" s="81" t="s">
        <v>261</v>
      </c>
      <c r="BF11" s="8" t="s">
        <v>424</v>
      </c>
      <c r="BG11" s="9">
        <v>47141</v>
      </c>
      <c r="BH11" s="81" t="s">
        <v>81</v>
      </c>
      <c r="BI11" s="81" t="s">
        <v>426</v>
      </c>
      <c r="BJ11" s="9">
        <v>43344</v>
      </c>
      <c r="BK11" s="9">
        <v>44727</v>
      </c>
      <c r="BL11" s="81" t="s">
        <v>427</v>
      </c>
      <c r="BM11" s="81" t="s">
        <v>82</v>
      </c>
      <c r="BN11" s="81" t="s">
        <v>428</v>
      </c>
      <c r="BO11" s="8"/>
      <c r="BP11" s="8"/>
      <c r="BQ11" s="9">
        <v>45488</v>
      </c>
      <c r="BR11" s="9"/>
      <c r="BS11" s="8"/>
      <c r="BT11" s="81" t="s">
        <v>429</v>
      </c>
      <c r="BU11" s="81" t="s">
        <v>266</v>
      </c>
      <c r="BV11" s="8" t="s">
        <v>430</v>
      </c>
      <c r="BW11" s="81" t="s">
        <v>242</v>
      </c>
      <c r="BX11" s="81" t="s">
        <v>337</v>
      </c>
      <c r="BY11" s="9">
        <v>45909</v>
      </c>
      <c r="BZ11" s="9">
        <v>46273</v>
      </c>
      <c r="CA11" s="8" t="s">
        <v>245</v>
      </c>
    </row>
    <row r="12" spans="1:79" ht="141.6" x14ac:dyDescent="0.25">
      <c r="A12" s="81" t="s">
        <v>432</v>
      </c>
      <c r="B12" s="8"/>
      <c r="C12" s="81" t="s">
        <v>26</v>
      </c>
      <c r="D12" s="8" t="s">
        <v>7784</v>
      </c>
      <c r="E12" s="8" t="s">
        <v>433</v>
      </c>
      <c r="F12" s="9">
        <v>32069</v>
      </c>
      <c r="G12" s="8" t="s">
        <v>434</v>
      </c>
      <c r="H12" s="81" t="s">
        <v>250</v>
      </c>
      <c r="I12" s="81" t="s">
        <v>435</v>
      </c>
      <c r="J12" s="81" t="s">
        <v>252</v>
      </c>
      <c r="K12" s="81" t="s">
        <v>436</v>
      </c>
      <c r="L12" s="81" t="s">
        <v>102</v>
      </c>
      <c r="M12" s="81" t="s">
        <v>8143</v>
      </c>
      <c r="N12" s="81" t="s">
        <v>28</v>
      </c>
      <c r="O12" s="81" t="s">
        <v>29</v>
      </c>
      <c r="P12" s="9">
        <v>40391</v>
      </c>
      <c r="Q12" s="8" t="s">
        <v>8144</v>
      </c>
      <c r="R12" s="8"/>
      <c r="S12" s="8"/>
      <c r="T12" s="81" t="s">
        <v>8145</v>
      </c>
      <c r="U12" s="81" t="s">
        <v>438</v>
      </c>
      <c r="V12" s="8"/>
      <c r="W12" s="8"/>
      <c r="X12" s="8" t="s">
        <v>439</v>
      </c>
      <c r="Y12" s="81" t="s">
        <v>33</v>
      </c>
      <c r="Z12" s="8"/>
      <c r="AA12" s="81" t="s">
        <v>419</v>
      </c>
      <c r="AB12" s="8"/>
      <c r="AC12" s="8"/>
      <c r="AD12" s="81" t="s">
        <v>420</v>
      </c>
      <c r="AE12" s="81" t="s">
        <v>8142</v>
      </c>
      <c r="AF12" s="81" t="s">
        <v>242</v>
      </c>
      <c r="AG12" s="81" t="s">
        <v>420</v>
      </c>
      <c r="AH12" s="8"/>
      <c r="AI12" s="8"/>
      <c r="AJ12" s="8"/>
      <c r="AK12" s="8"/>
      <c r="AL12" s="8"/>
      <c r="AM12" s="81" t="s">
        <v>243</v>
      </c>
      <c r="AN12" s="8"/>
      <c r="AO12" s="8"/>
      <c r="AP12" s="8"/>
      <c r="AQ12" s="8"/>
      <c r="AR12" s="9">
        <v>45908</v>
      </c>
      <c r="AS12" s="8" t="s">
        <v>8138</v>
      </c>
      <c r="AT12" s="8" t="s">
        <v>257</v>
      </c>
      <c r="AU12" s="9">
        <v>45969</v>
      </c>
      <c r="AV12" s="81" t="s">
        <v>322</v>
      </c>
      <c r="AW12" s="81" t="s">
        <v>242</v>
      </c>
      <c r="AX12" s="8" t="s">
        <v>441</v>
      </c>
      <c r="AY12" s="8"/>
      <c r="AZ12" s="8" t="s">
        <v>8146</v>
      </c>
      <c r="BA12" s="81" t="s">
        <v>361</v>
      </c>
      <c r="BB12" s="8"/>
      <c r="BC12" s="81" t="s">
        <v>432</v>
      </c>
      <c r="BD12" s="8" t="s">
        <v>443</v>
      </c>
      <c r="BE12" s="81" t="s">
        <v>261</v>
      </c>
      <c r="BF12" s="8" t="s">
        <v>444</v>
      </c>
      <c r="BG12" s="9">
        <v>50448</v>
      </c>
      <c r="BH12" s="81" t="s">
        <v>81</v>
      </c>
      <c r="BI12" s="81" t="s">
        <v>446</v>
      </c>
      <c r="BJ12" s="9">
        <v>38961</v>
      </c>
      <c r="BK12" s="9">
        <v>40360</v>
      </c>
      <c r="BL12" s="81" t="s">
        <v>447</v>
      </c>
      <c r="BM12" s="81" t="s">
        <v>82</v>
      </c>
      <c r="BN12" s="81" t="s">
        <v>448</v>
      </c>
      <c r="BO12" s="81" t="s">
        <v>449</v>
      </c>
      <c r="BP12" s="8"/>
      <c r="BQ12" s="9">
        <v>44958</v>
      </c>
      <c r="BR12" s="9">
        <v>45869</v>
      </c>
      <c r="BS12" s="8"/>
      <c r="BT12" s="81" t="s">
        <v>451</v>
      </c>
      <c r="BU12" s="81" t="s">
        <v>118</v>
      </c>
      <c r="BV12" s="8" t="s">
        <v>452</v>
      </c>
      <c r="BW12" s="81" t="s">
        <v>242</v>
      </c>
      <c r="BX12" s="81" t="s">
        <v>337</v>
      </c>
      <c r="BY12" s="9">
        <v>45908</v>
      </c>
      <c r="BZ12" s="9">
        <v>46272</v>
      </c>
      <c r="CA12" s="8" t="s">
        <v>245</v>
      </c>
    </row>
    <row r="13" spans="1:79" ht="141.6" x14ac:dyDescent="0.25">
      <c r="A13" s="81" t="s">
        <v>454</v>
      </c>
      <c r="B13" s="8"/>
      <c r="C13" s="81" t="s">
        <v>352</v>
      </c>
      <c r="D13" s="8" t="s">
        <v>7785</v>
      </c>
      <c r="E13" s="8"/>
      <c r="F13" s="9">
        <v>37057</v>
      </c>
      <c r="G13" s="8" t="s">
        <v>249</v>
      </c>
      <c r="H13" s="81" t="s">
        <v>250</v>
      </c>
      <c r="I13" s="81" t="s">
        <v>27</v>
      </c>
      <c r="J13" s="81" t="s">
        <v>252</v>
      </c>
      <c r="K13" s="81" t="s">
        <v>455</v>
      </c>
      <c r="L13" s="81" t="s">
        <v>102</v>
      </c>
      <c r="M13" s="81" t="s">
        <v>456</v>
      </c>
      <c r="N13" s="81" t="s">
        <v>272</v>
      </c>
      <c r="O13" s="81" t="s">
        <v>253</v>
      </c>
      <c r="P13" s="9"/>
      <c r="Q13" s="8"/>
      <c r="R13" s="8"/>
      <c r="S13" s="8"/>
      <c r="T13" s="8"/>
      <c r="U13" s="8"/>
      <c r="V13" s="8"/>
      <c r="W13" s="8"/>
      <c r="X13" s="8" t="s">
        <v>457</v>
      </c>
      <c r="Y13" s="81" t="s">
        <v>33</v>
      </c>
      <c r="Z13" s="8"/>
      <c r="AA13" s="81" t="s">
        <v>458</v>
      </c>
      <c r="AB13" s="8"/>
      <c r="AC13" s="8"/>
      <c r="AD13" s="81" t="s">
        <v>459</v>
      </c>
      <c r="AE13" s="81" t="s">
        <v>8147</v>
      </c>
      <c r="AF13" s="81" t="s">
        <v>242</v>
      </c>
      <c r="AG13" s="81" t="s">
        <v>459</v>
      </c>
      <c r="AH13" s="8"/>
      <c r="AI13" s="8"/>
      <c r="AJ13" s="8"/>
      <c r="AK13" s="8"/>
      <c r="AL13" s="8"/>
      <c r="AM13" s="81" t="s">
        <v>243</v>
      </c>
      <c r="AN13" s="8"/>
      <c r="AO13" s="8"/>
      <c r="AP13" s="8"/>
      <c r="AQ13" s="8"/>
      <c r="AR13" s="9">
        <v>45901</v>
      </c>
      <c r="AS13" s="8" t="s">
        <v>8138</v>
      </c>
      <c r="AT13" s="8" t="s">
        <v>257</v>
      </c>
      <c r="AU13" s="9">
        <v>45962</v>
      </c>
      <c r="AV13" s="81" t="s">
        <v>322</v>
      </c>
      <c r="AW13" s="81" t="s">
        <v>242</v>
      </c>
      <c r="AX13" s="8" t="s">
        <v>462</v>
      </c>
      <c r="AY13" s="8"/>
      <c r="AZ13" s="8" t="s">
        <v>8148</v>
      </c>
      <c r="BA13" s="81" t="s">
        <v>361</v>
      </c>
      <c r="BB13" s="8"/>
      <c r="BC13" s="81" t="s">
        <v>454</v>
      </c>
      <c r="BD13" s="8" t="s">
        <v>463</v>
      </c>
      <c r="BE13" s="81" t="s">
        <v>261</v>
      </c>
      <c r="BF13" s="8" t="s">
        <v>464</v>
      </c>
      <c r="BG13" s="9">
        <v>47770</v>
      </c>
      <c r="BH13" s="81" t="s">
        <v>81</v>
      </c>
      <c r="BI13" s="81" t="s">
        <v>426</v>
      </c>
      <c r="BJ13" s="9">
        <v>44075</v>
      </c>
      <c r="BK13" s="9">
        <v>45474</v>
      </c>
      <c r="BL13" s="81" t="s">
        <v>285</v>
      </c>
      <c r="BM13" s="81" t="s">
        <v>82</v>
      </c>
      <c r="BN13" s="81" t="s">
        <v>467</v>
      </c>
      <c r="BO13" s="8"/>
      <c r="BP13" s="8"/>
      <c r="BQ13" s="9">
        <v>45488</v>
      </c>
      <c r="BR13" s="9"/>
      <c r="BS13" s="8"/>
      <c r="BT13" s="81" t="s">
        <v>468</v>
      </c>
      <c r="BU13" s="81" t="s">
        <v>266</v>
      </c>
      <c r="BV13" s="8" t="s">
        <v>469</v>
      </c>
      <c r="BW13" s="81" t="s">
        <v>242</v>
      </c>
      <c r="BX13" s="81" t="s">
        <v>337</v>
      </c>
      <c r="BY13" s="9">
        <v>45901</v>
      </c>
      <c r="BZ13" s="9">
        <v>46265</v>
      </c>
      <c r="CA13" s="8" t="s">
        <v>245</v>
      </c>
    </row>
    <row r="14" spans="1:79" ht="141.6" x14ac:dyDescent="0.25">
      <c r="A14" s="81" t="s">
        <v>471</v>
      </c>
      <c r="B14" s="8"/>
      <c r="C14" s="81" t="s">
        <v>26</v>
      </c>
      <c r="D14" s="8" t="s">
        <v>7786</v>
      </c>
      <c r="E14" s="8" t="s">
        <v>472</v>
      </c>
      <c r="F14" s="9">
        <v>37363</v>
      </c>
      <c r="G14" s="8" t="s">
        <v>473</v>
      </c>
      <c r="H14" s="81" t="s">
        <v>250</v>
      </c>
      <c r="I14" s="81" t="s">
        <v>27</v>
      </c>
      <c r="J14" s="81" t="s">
        <v>474</v>
      </c>
      <c r="K14" s="81" t="s">
        <v>475</v>
      </c>
      <c r="L14" s="81" t="s">
        <v>102</v>
      </c>
      <c r="M14" s="81" t="s">
        <v>8149</v>
      </c>
      <c r="N14" s="81" t="s">
        <v>272</v>
      </c>
      <c r="O14" s="81" t="s">
        <v>253</v>
      </c>
      <c r="P14" s="9"/>
      <c r="Q14" s="8"/>
      <c r="R14" s="8"/>
      <c r="S14" s="8"/>
      <c r="T14" s="8"/>
      <c r="U14" s="8"/>
      <c r="V14" s="8"/>
      <c r="W14" s="8"/>
      <c r="X14" s="8" t="s">
        <v>476</v>
      </c>
      <c r="Y14" s="81" t="s">
        <v>33</v>
      </c>
      <c r="Z14" s="8"/>
      <c r="AA14" s="81" t="s">
        <v>477</v>
      </c>
      <c r="AB14" s="8"/>
      <c r="AC14" s="8"/>
      <c r="AD14" s="81" t="s">
        <v>459</v>
      </c>
      <c r="AE14" s="81" t="s">
        <v>8147</v>
      </c>
      <c r="AF14" s="81" t="s">
        <v>242</v>
      </c>
      <c r="AG14" s="81" t="s">
        <v>459</v>
      </c>
      <c r="AH14" s="8"/>
      <c r="AI14" s="8"/>
      <c r="AJ14" s="8"/>
      <c r="AK14" s="8"/>
      <c r="AL14" s="8"/>
      <c r="AM14" s="81" t="s">
        <v>243</v>
      </c>
      <c r="AN14" s="8"/>
      <c r="AO14" s="8"/>
      <c r="AP14" s="8"/>
      <c r="AQ14" s="8"/>
      <c r="AR14" s="9">
        <v>45901</v>
      </c>
      <c r="AS14" s="8" t="s">
        <v>8138</v>
      </c>
      <c r="AT14" s="8" t="s">
        <v>257</v>
      </c>
      <c r="AU14" s="9">
        <v>45962</v>
      </c>
      <c r="AV14" s="81" t="s">
        <v>322</v>
      </c>
      <c r="AW14" s="81" t="s">
        <v>242</v>
      </c>
      <c r="AX14" s="8" t="s">
        <v>478</v>
      </c>
      <c r="AY14" s="8"/>
      <c r="AZ14" s="8"/>
      <c r="BA14" s="81" t="s">
        <v>399</v>
      </c>
      <c r="BB14" s="81" t="s">
        <v>479</v>
      </c>
      <c r="BC14" s="81" t="s">
        <v>471</v>
      </c>
      <c r="BD14" s="8" t="s">
        <v>480</v>
      </c>
      <c r="BE14" s="81" t="s">
        <v>261</v>
      </c>
      <c r="BF14" s="8" t="s">
        <v>481</v>
      </c>
      <c r="BG14" s="9">
        <v>46900</v>
      </c>
      <c r="BH14" s="81" t="s">
        <v>81</v>
      </c>
      <c r="BI14" s="81" t="s">
        <v>483</v>
      </c>
      <c r="BJ14" s="9">
        <v>44075</v>
      </c>
      <c r="BK14" s="9">
        <v>45464</v>
      </c>
      <c r="BL14" s="81" t="s">
        <v>84</v>
      </c>
      <c r="BM14" s="81" t="s">
        <v>82</v>
      </c>
      <c r="BN14" s="8"/>
      <c r="BO14" s="8"/>
      <c r="BP14" s="8"/>
      <c r="BQ14" s="9"/>
      <c r="BR14" s="9"/>
      <c r="BS14" s="8"/>
      <c r="BT14" s="81" t="s">
        <v>484</v>
      </c>
      <c r="BU14" s="81" t="s">
        <v>266</v>
      </c>
      <c r="BV14" s="8" t="s">
        <v>485</v>
      </c>
      <c r="BW14" s="81" t="s">
        <v>242</v>
      </c>
      <c r="BX14" s="81" t="s">
        <v>337</v>
      </c>
      <c r="BY14" s="9">
        <v>45901</v>
      </c>
      <c r="BZ14" s="9">
        <v>46265</v>
      </c>
      <c r="CA14" s="8" t="s">
        <v>245</v>
      </c>
    </row>
    <row r="15" spans="1:79" ht="157.19999999999999" x14ac:dyDescent="0.25">
      <c r="A15" s="81" t="s">
        <v>486</v>
      </c>
      <c r="B15" s="8"/>
      <c r="C15" s="81" t="s">
        <v>26</v>
      </c>
      <c r="D15" s="8" t="s">
        <v>7787</v>
      </c>
      <c r="E15" s="8" t="s">
        <v>487</v>
      </c>
      <c r="F15" s="9">
        <v>37342</v>
      </c>
      <c r="G15" s="8" t="s">
        <v>249</v>
      </c>
      <c r="H15" s="81" t="s">
        <v>250</v>
      </c>
      <c r="I15" s="81" t="s">
        <v>27</v>
      </c>
      <c r="J15" s="81" t="s">
        <v>270</v>
      </c>
      <c r="K15" s="81" t="s">
        <v>488</v>
      </c>
      <c r="L15" s="81" t="s">
        <v>102</v>
      </c>
      <c r="M15" s="81" t="s">
        <v>8150</v>
      </c>
      <c r="N15" s="81" t="s">
        <v>272</v>
      </c>
      <c r="O15" s="81" t="s">
        <v>253</v>
      </c>
      <c r="P15" s="9">
        <v>45866</v>
      </c>
      <c r="Q15" s="8" t="s">
        <v>8151</v>
      </c>
      <c r="R15" s="8"/>
      <c r="S15" s="8"/>
      <c r="T15" s="8"/>
      <c r="U15" s="8"/>
      <c r="V15" s="8"/>
      <c r="W15" s="8"/>
      <c r="X15" s="8" t="s">
        <v>490</v>
      </c>
      <c r="Y15" s="81" t="s">
        <v>33</v>
      </c>
      <c r="Z15" s="8"/>
      <c r="AA15" s="81" t="s">
        <v>240</v>
      </c>
      <c r="AB15" s="8"/>
      <c r="AC15" s="8"/>
      <c r="AD15" s="81" t="s">
        <v>491</v>
      </c>
      <c r="AE15" s="81" t="s">
        <v>8152</v>
      </c>
      <c r="AF15" s="81" t="s">
        <v>492</v>
      </c>
      <c r="AG15" s="81" t="s">
        <v>491</v>
      </c>
      <c r="AH15" s="8"/>
      <c r="AI15" s="8"/>
      <c r="AJ15" s="8"/>
      <c r="AK15" s="8"/>
      <c r="AL15" s="8"/>
      <c r="AM15" s="81" t="s">
        <v>243</v>
      </c>
      <c r="AN15" s="8"/>
      <c r="AO15" s="8"/>
      <c r="AP15" s="8"/>
      <c r="AQ15" s="8"/>
      <c r="AR15" s="9">
        <v>45866</v>
      </c>
      <c r="AS15" s="8" t="s">
        <v>8151</v>
      </c>
      <c r="AT15" s="8" t="s">
        <v>257</v>
      </c>
      <c r="AU15" s="9">
        <v>45928</v>
      </c>
      <c r="AV15" s="81" t="s">
        <v>322</v>
      </c>
      <c r="AW15" s="81" t="s">
        <v>492</v>
      </c>
      <c r="AX15" s="8" t="s">
        <v>493</v>
      </c>
      <c r="AY15" s="8"/>
      <c r="AZ15" s="8" t="s">
        <v>348</v>
      </c>
      <c r="BA15" s="81" t="s">
        <v>399</v>
      </c>
      <c r="BB15" s="81" t="s">
        <v>494</v>
      </c>
      <c r="BC15" s="81" t="s">
        <v>486</v>
      </c>
      <c r="BD15" s="8" t="s">
        <v>495</v>
      </c>
      <c r="BE15" s="81" t="s">
        <v>261</v>
      </c>
      <c r="BF15" s="8" t="s">
        <v>496</v>
      </c>
      <c r="BG15" s="9">
        <v>47297</v>
      </c>
      <c r="BH15" s="81" t="s">
        <v>81</v>
      </c>
      <c r="BI15" s="81" t="s">
        <v>88</v>
      </c>
      <c r="BJ15" s="9">
        <v>44440</v>
      </c>
      <c r="BK15" s="9">
        <v>45838</v>
      </c>
      <c r="BL15" s="81" t="s">
        <v>498</v>
      </c>
      <c r="BM15" s="81" t="s">
        <v>82</v>
      </c>
      <c r="BN15" s="81" t="s">
        <v>60</v>
      </c>
      <c r="BO15" s="8"/>
      <c r="BP15" s="8"/>
      <c r="BQ15" s="9">
        <v>45866</v>
      </c>
      <c r="BR15" s="9"/>
      <c r="BS15" s="8"/>
      <c r="BT15" s="81" t="s">
        <v>499</v>
      </c>
      <c r="BU15" s="81" t="s">
        <v>266</v>
      </c>
      <c r="BV15" s="8" t="s">
        <v>500</v>
      </c>
      <c r="BW15" s="81" t="s">
        <v>492</v>
      </c>
      <c r="BX15" s="81" t="s">
        <v>337</v>
      </c>
      <c r="BY15" s="9">
        <v>45866</v>
      </c>
      <c r="BZ15" s="9">
        <v>46230</v>
      </c>
      <c r="CA15" s="8" t="s">
        <v>245</v>
      </c>
    </row>
    <row r="16" spans="1:79" ht="157.19999999999999" x14ac:dyDescent="0.25">
      <c r="A16" s="81" t="s">
        <v>502</v>
      </c>
      <c r="B16" s="8"/>
      <c r="C16" s="81" t="s">
        <v>26</v>
      </c>
      <c r="D16" s="8" t="s">
        <v>7788</v>
      </c>
      <c r="E16" s="8" t="s">
        <v>503</v>
      </c>
      <c r="F16" s="9">
        <v>35935</v>
      </c>
      <c r="G16" s="8" t="s">
        <v>393</v>
      </c>
      <c r="H16" s="81" t="s">
        <v>250</v>
      </c>
      <c r="I16" s="81" t="s">
        <v>27</v>
      </c>
      <c r="J16" s="81" t="s">
        <v>270</v>
      </c>
      <c r="K16" s="81" t="s">
        <v>488</v>
      </c>
      <c r="L16" s="81" t="s">
        <v>102</v>
      </c>
      <c r="M16" s="81" t="s">
        <v>8153</v>
      </c>
      <c r="N16" s="81" t="s">
        <v>504</v>
      </c>
      <c r="O16" s="81" t="s">
        <v>253</v>
      </c>
      <c r="P16" s="9"/>
      <c r="Q16" s="8"/>
      <c r="R16" s="8"/>
      <c r="S16" s="8"/>
      <c r="T16" s="8"/>
      <c r="U16" s="8"/>
      <c r="V16" s="8"/>
      <c r="W16" s="8"/>
      <c r="X16" s="8" t="s">
        <v>505</v>
      </c>
      <c r="Y16" s="81" t="s">
        <v>33</v>
      </c>
      <c r="Z16" s="8"/>
      <c r="AA16" s="81" t="s">
        <v>506</v>
      </c>
      <c r="AB16" s="8"/>
      <c r="AC16" s="8"/>
      <c r="AD16" s="81" t="s">
        <v>241</v>
      </c>
      <c r="AE16" s="81" t="s">
        <v>8114</v>
      </c>
      <c r="AF16" s="81" t="s">
        <v>242</v>
      </c>
      <c r="AG16" s="81" t="s">
        <v>241</v>
      </c>
      <c r="AH16" s="8"/>
      <c r="AI16" s="8"/>
      <c r="AJ16" s="8"/>
      <c r="AK16" s="8"/>
      <c r="AL16" s="8"/>
      <c r="AM16" s="81" t="s">
        <v>243</v>
      </c>
      <c r="AN16" s="8"/>
      <c r="AO16" s="8"/>
      <c r="AP16" s="8"/>
      <c r="AQ16" s="8"/>
      <c r="AR16" s="9">
        <v>45845</v>
      </c>
      <c r="AS16" s="8" t="s">
        <v>8119</v>
      </c>
      <c r="AT16" s="8" t="s">
        <v>245</v>
      </c>
      <c r="AU16" s="9">
        <v>45876</v>
      </c>
      <c r="AV16" s="81" t="s">
        <v>322</v>
      </c>
      <c r="AW16" s="81" t="s">
        <v>242</v>
      </c>
      <c r="AX16" s="8" t="s">
        <v>508</v>
      </c>
      <c r="AY16" s="8"/>
      <c r="AZ16" s="8"/>
      <c r="BA16" s="81" t="s">
        <v>399</v>
      </c>
      <c r="BB16" s="81" t="s">
        <v>509</v>
      </c>
      <c r="BC16" s="81" t="s">
        <v>502</v>
      </c>
      <c r="BD16" s="8" t="s">
        <v>510</v>
      </c>
      <c r="BE16" s="81" t="s">
        <v>261</v>
      </c>
      <c r="BF16" s="8" t="s">
        <v>511</v>
      </c>
      <c r="BG16" s="9">
        <v>46356</v>
      </c>
      <c r="BH16" s="81" t="s">
        <v>87</v>
      </c>
      <c r="BI16" s="81" t="s">
        <v>513</v>
      </c>
      <c r="BJ16" s="9">
        <v>44805</v>
      </c>
      <c r="BK16" s="9">
        <v>45838</v>
      </c>
      <c r="BL16" s="81" t="s">
        <v>515</v>
      </c>
      <c r="BM16" s="81" t="s">
        <v>87</v>
      </c>
      <c r="BN16" s="8"/>
      <c r="BO16" s="8"/>
      <c r="BP16" s="8"/>
      <c r="BQ16" s="9"/>
      <c r="BR16" s="9"/>
      <c r="BS16" s="8"/>
      <c r="BT16" s="81" t="s">
        <v>516</v>
      </c>
      <c r="BU16" s="81" t="s">
        <v>517</v>
      </c>
      <c r="BV16" s="8" t="s">
        <v>518</v>
      </c>
      <c r="BW16" s="81" t="s">
        <v>242</v>
      </c>
      <c r="BX16" s="81" t="s">
        <v>337</v>
      </c>
      <c r="BY16" s="9">
        <v>45845</v>
      </c>
      <c r="BZ16" s="9">
        <v>46209</v>
      </c>
      <c r="CA16" s="8" t="s">
        <v>245</v>
      </c>
    </row>
    <row r="17" spans="1:79" ht="157.19999999999999" x14ac:dyDescent="0.25">
      <c r="A17" s="81" t="s">
        <v>520</v>
      </c>
      <c r="B17" s="8"/>
      <c r="C17" s="81" t="s">
        <v>352</v>
      </c>
      <c r="D17" s="8" t="s">
        <v>7789</v>
      </c>
      <c r="E17" s="8"/>
      <c r="F17" s="9"/>
      <c r="G17" s="8"/>
      <c r="H17" s="81" t="s">
        <v>250</v>
      </c>
      <c r="I17" s="8"/>
      <c r="J17" s="8"/>
      <c r="K17" s="8"/>
      <c r="L17" s="8"/>
      <c r="M17" s="81" t="s">
        <v>8154</v>
      </c>
      <c r="N17" s="8"/>
      <c r="O17" s="8"/>
      <c r="P17" s="9"/>
      <c r="Q17" s="8"/>
      <c r="R17" s="8"/>
      <c r="S17" s="8"/>
      <c r="T17" s="8"/>
      <c r="U17" s="8"/>
      <c r="V17" s="8"/>
      <c r="W17" s="8"/>
      <c r="X17" s="8" t="s">
        <v>522</v>
      </c>
      <c r="Y17" s="81" t="s">
        <v>33</v>
      </c>
      <c r="Z17" s="8"/>
      <c r="AA17" s="81" t="s">
        <v>523</v>
      </c>
      <c r="AB17" s="8"/>
      <c r="AC17" s="8"/>
      <c r="AD17" s="81" t="s">
        <v>524</v>
      </c>
      <c r="AE17" s="81" t="s">
        <v>8155</v>
      </c>
      <c r="AF17" s="81" t="s">
        <v>242</v>
      </c>
      <c r="AG17" s="81" t="s">
        <v>524</v>
      </c>
      <c r="AH17" s="8"/>
      <c r="AI17" s="8"/>
      <c r="AJ17" s="8"/>
      <c r="AK17" s="8"/>
      <c r="AL17" s="8"/>
      <c r="AM17" s="81" t="s">
        <v>525</v>
      </c>
      <c r="AN17" s="8"/>
      <c r="AO17" s="8"/>
      <c r="AP17" s="8"/>
      <c r="AQ17" s="8"/>
      <c r="AR17" s="9">
        <v>45842</v>
      </c>
      <c r="AS17" s="8" t="s">
        <v>8119</v>
      </c>
      <c r="AT17" s="8" t="s">
        <v>348</v>
      </c>
      <c r="AU17" s="9"/>
      <c r="AV17" s="8"/>
      <c r="AW17" s="8"/>
      <c r="AX17" s="8" t="s">
        <v>526</v>
      </c>
      <c r="AY17" s="8"/>
      <c r="AZ17" s="8" t="s">
        <v>8156</v>
      </c>
      <c r="BA17" s="8"/>
      <c r="BB17" s="8"/>
      <c r="BC17" s="8"/>
      <c r="BD17" s="8"/>
      <c r="BE17" s="8"/>
      <c r="BF17" s="8"/>
      <c r="BG17" s="9"/>
      <c r="BH17" s="8"/>
      <c r="BI17" s="8"/>
      <c r="BJ17" s="9"/>
      <c r="BK17" s="9"/>
      <c r="BL17" s="8"/>
      <c r="BM17" s="8"/>
      <c r="BN17" s="8"/>
      <c r="BO17" s="8"/>
      <c r="BP17" s="8"/>
      <c r="BQ17" s="9"/>
      <c r="BR17" s="9"/>
      <c r="BS17" s="8"/>
      <c r="BT17" s="8"/>
      <c r="BU17" s="8"/>
      <c r="BV17" s="8"/>
      <c r="BW17" s="8"/>
      <c r="BX17" s="8"/>
      <c r="BY17" s="9"/>
      <c r="BZ17" s="9"/>
      <c r="CA17" s="8"/>
    </row>
    <row r="18" spans="1:79" ht="157.19999999999999" x14ac:dyDescent="0.25">
      <c r="A18" s="81" t="s">
        <v>527</v>
      </c>
      <c r="B18" s="8"/>
      <c r="C18" s="81" t="s">
        <v>26</v>
      </c>
      <c r="D18" s="8" t="s">
        <v>7790</v>
      </c>
      <c r="E18" s="8" t="s">
        <v>528</v>
      </c>
      <c r="F18" s="9">
        <v>35246</v>
      </c>
      <c r="G18" s="8" t="s">
        <v>529</v>
      </c>
      <c r="H18" s="81" t="s">
        <v>250</v>
      </c>
      <c r="I18" s="81" t="s">
        <v>27</v>
      </c>
      <c r="J18" s="81" t="s">
        <v>293</v>
      </c>
      <c r="K18" s="81" t="s">
        <v>530</v>
      </c>
      <c r="L18" s="81" t="s">
        <v>102</v>
      </c>
      <c r="M18" s="81" t="s">
        <v>531</v>
      </c>
      <c r="N18" s="81" t="s">
        <v>119</v>
      </c>
      <c r="O18" s="81" t="s">
        <v>253</v>
      </c>
      <c r="P18" s="9"/>
      <c r="Q18" s="8"/>
      <c r="R18" s="8"/>
      <c r="S18" s="8"/>
      <c r="T18" s="8"/>
      <c r="U18" s="8"/>
      <c r="V18" s="8"/>
      <c r="W18" s="8"/>
      <c r="X18" s="8" t="s">
        <v>532</v>
      </c>
      <c r="Y18" s="81" t="s">
        <v>33</v>
      </c>
      <c r="Z18" s="8"/>
      <c r="AA18" s="81" t="s">
        <v>477</v>
      </c>
      <c r="AB18" s="8"/>
      <c r="AC18" s="8"/>
      <c r="AD18" s="81" t="s">
        <v>533</v>
      </c>
      <c r="AE18" s="81" t="s">
        <v>8157</v>
      </c>
      <c r="AF18" s="81" t="s">
        <v>242</v>
      </c>
      <c r="AG18" s="81" t="s">
        <v>533</v>
      </c>
      <c r="AH18" s="8"/>
      <c r="AI18" s="8"/>
      <c r="AJ18" s="8"/>
      <c r="AK18" s="8"/>
      <c r="AL18" s="8"/>
      <c r="AM18" s="81" t="s">
        <v>243</v>
      </c>
      <c r="AN18" s="8"/>
      <c r="AO18" s="8"/>
      <c r="AP18" s="8"/>
      <c r="AQ18" s="8"/>
      <c r="AR18" s="9">
        <v>45840</v>
      </c>
      <c r="AS18" s="8" t="s">
        <v>8119</v>
      </c>
      <c r="AT18" s="8" t="s">
        <v>257</v>
      </c>
      <c r="AU18" s="9">
        <v>45902</v>
      </c>
      <c r="AV18" s="81" t="s">
        <v>322</v>
      </c>
      <c r="AW18" s="81" t="s">
        <v>242</v>
      </c>
      <c r="AX18" s="8" t="s">
        <v>535</v>
      </c>
      <c r="AY18" s="8"/>
      <c r="AZ18" s="8" t="s">
        <v>8158</v>
      </c>
      <c r="BA18" s="81" t="s">
        <v>399</v>
      </c>
      <c r="BB18" s="81" t="s">
        <v>536</v>
      </c>
      <c r="BC18" s="81" t="s">
        <v>527</v>
      </c>
      <c r="BD18" s="8" t="s">
        <v>537</v>
      </c>
      <c r="BE18" s="81" t="s">
        <v>261</v>
      </c>
      <c r="BF18" s="8" t="s">
        <v>538</v>
      </c>
      <c r="BG18" s="9">
        <v>46251</v>
      </c>
      <c r="BH18" s="81" t="s">
        <v>81</v>
      </c>
      <c r="BI18" s="81" t="s">
        <v>540</v>
      </c>
      <c r="BJ18" s="9">
        <v>42248</v>
      </c>
      <c r="BK18" s="9">
        <v>43647</v>
      </c>
      <c r="BL18" s="81" t="s">
        <v>543</v>
      </c>
      <c r="BM18" s="81" t="s">
        <v>82</v>
      </c>
      <c r="BN18" s="81" t="s">
        <v>544</v>
      </c>
      <c r="BO18" s="8"/>
      <c r="BP18" s="8"/>
      <c r="BQ18" s="9">
        <v>45404</v>
      </c>
      <c r="BR18" s="9">
        <v>45828</v>
      </c>
      <c r="BS18" s="8"/>
      <c r="BT18" s="81" t="s">
        <v>545</v>
      </c>
      <c r="BU18" s="81" t="s">
        <v>266</v>
      </c>
      <c r="BV18" s="8" t="s">
        <v>546</v>
      </c>
      <c r="BW18" s="81" t="s">
        <v>242</v>
      </c>
      <c r="BX18" s="81" t="s">
        <v>337</v>
      </c>
      <c r="BY18" s="9">
        <v>45840</v>
      </c>
      <c r="BZ18" s="9">
        <v>46204</v>
      </c>
      <c r="CA18" s="8" t="s">
        <v>245</v>
      </c>
    </row>
    <row r="19" spans="1:79" ht="173.4" x14ac:dyDescent="0.25">
      <c r="A19" s="81" t="s">
        <v>548</v>
      </c>
      <c r="B19" s="8"/>
      <c r="C19" s="81" t="s">
        <v>26</v>
      </c>
      <c r="D19" s="8" t="s">
        <v>7791</v>
      </c>
      <c r="E19" s="8"/>
      <c r="F19" s="9">
        <v>37805</v>
      </c>
      <c r="G19" s="8" t="s">
        <v>549</v>
      </c>
      <c r="H19" s="81" t="s">
        <v>250</v>
      </c>
      <c r="I19" s="81" t="s">
        <v>251</v>
      </c>
      <c r="J19" s="81" t="s">
        <v>270</v>
      </c>
      <c r="K19" s="81" t="s">
        <v>394</v>
      </c>
      <c r="L19" s="81" t="s">
        <v>102</v>
      </c>
      <c r="M19" s="81" t="s">
        <v>8159</v>
      </c>
      <c r="N19" s="81" t="s">
        <v>119</v>
      </c>
      <c r="O19" s="81" t="s">
        <v>253</v>
      </c>
      <c r="P19" s="9"/>
      <c r="Q19" s="8"/>
      <c r="R19" s="8"/>
      <c r="S19" s="8"/>
      <c r="T19" s="8"/>
      <c r="U19" s="8"/>
      <c r="V19" s="8"/>
      <c r="W19" s="8"/>
      <c r="X19" s="8" t="s">
        <v>550</v>
      </c>
      <c r="Y19" s="81" t="s">
        <v>33</v>
      </c>
      <c r="Z19" s="8"/>
      <c r="AA19" s="81" t="s">
        <v>551</v>
      </c>
      <c r="AB19" s="8"/>
      <c r="AC19" s="8"/>
      <c r="AD19" s="81" t="s">
        <v>552</v>
      </c>
      <c r="AE19" s="81" t="s">
        <v>8160</v>
      </c>
      <c r="AF19" s="81" t="s">
        <v>492</v>
      </c>
      <c r="AG19" s="81" t="s">
        <v>553</v>
      </c>
      <c r="AH19" s="81" t="s">
        <v>552</v>
      </c>
      <c r="AI19" s="8"/>
      <c r="AJ19" s="8"/>
      <c r="AK19" s="8"/>
      <c r="AL19" s="8"/>
      <c r="AM19" s="81" t="s">
        <v>243</v>
      </c>
      <c r="AN19" s="8"/>
      <c r="AO19" s="8"/>
      <c r="AP19" s="8"/>
      <c r="AQ19" s="8"/>
      <c r="AR19" s="9">
        <v>45839</v>
      </c>
      <c r="AS19" s="8" t="s">
        <v>8119</v>
      </c>
      <c r="AT19" s="8" t="s">
        <v>257</v>
      </c>
      <c r="AU19" s="9">
        <v>45900</v>
      </c>
      <c r="AV19" s="81" t="s">
        <v>322</v>
      </c>
      <c r="AW19" s="81" t="s">
        <v>492</v>
      </c>
      <c r="AX19" s="8" t="s">
        <v>555</v>
      </c>
      <c r="AY19" s="8"/>
      <c r="AZ19" s="8"/>
      <c r="BA19" s="81" t="s">
        <v>556</v>
      </c>
      <c r="BB19" s="8"/>
      <c r="BC19" s="8"/>
      <c r="BD19" s="8"/>
      <c r="BE19" s="81" t="s">
        <v>261</v>
      </c>
      <c r="BF19" s="8" t="s">
        <v>557</v>
      </c>
      <c r="BG19" s="9">
        <v>48451</v>
      </c>
      <c r="BH19" s="81" t="s">
        <v>305</v>
      </c>
      <c r="BI19" s="81" t="s">
        <v>559</v>
      </c>
      <c r="BJ19" s="9">
        <v>44805</v>
      </c>
      <c r="BK19" s="9">
        <v>45839</v>
      </c>
      <c r="BL19" s="81" t="s">
        <v>560</v>
      </c>
      <c r="BM19" s="8"/>
      <c r="BN19" s="8"/>
      <c r="BO19" s="8"/>
      <c r="BP19" s="8"/>
      <c r="BQ19" s="9"/>
      <c r="BR19" s="9"/>
      <c r="BS19" s="8"/>
      <c r="BT19" s="8"/>
      <c r="BU19" s="8"/>
      <c r="BV19" s="8"/>
      <c r="BW19" s="81" t="s">
        <v>492</v>
      </c>
      <c r="BX19" s="81" t="s">
        <v>337</v>
      </c>
      <c r="BY19" s="9">
        <v>45962</v>
      </c>
      <c r="BZ19" s="9">
        <v>46203</v>
      </c>
      <c r="CA19" s="8" t="s">
        <v>245</v>
      </c>
    </row>
    <row r="20" spans="1:79" ht="157.19999999999999" x14ac:dyDescent="0.25">
      <c r="A20" s="81" t="s">
        <v>562</v>
      </c>
      <c r="B20" s="8"/>
      <c r="C20" s="81" t="s">
        <v>26</v>
      </c>
      <c r="D20" s="8" t="s">
        <v>7792</v>
      </c>
      <c r="E20" s="8"/>
      <c r="F20" s="9">
        <v>38126</v>
      </c>
      <c r="G20" s="8" t="s">
        <v>340</v>
      </c>
      <c r="H20" s="81" t="s">
        <v>250</v>
      </c>
      <c r="I20" s="81" t="s">
        <v>27</v>
      </c>
      <c r="J20" s="81" t="s">
        <v>270</v>
      </c>
      <c r="K20" s="81" t="s">
        <v>563</v>
      </c>
      <c r="L20" s="81" t="s">
        <v>102</v>
      </c>
      <c r="M20" s="81" t="s">
        <v>8161</v>
      </c>
      <c r="N20" s="81" t="s">
        <v>272</v>
      </c>
      <c r="O20" s="81" t="s">
        <v>253</v>
      </c>
      <c r="P20" s="9"/>
      <c r="Q20" s="8"/>
      <c r="R20" s="8"/>
      <c r="S20" s="8"/>
      <c r="T20" s="8"/>
      <c r="U20" s="8"/>
      <c r="V20" s="8"/>
      <c r="W20" s="8"/>
      <c r="X20" s="8" t="s">
        <v>564</v>
      </c>
      <c r="Y20" s="81" t="s">
        <v>33</v>
      </c>
      <c r="Z20" s="8"/>
      <c r="AA20" s="81" t="s">
        <v>565</v>
      </c>
      <c r="AB20" s="8"/>
      <c r="AC20" s="8"/>
      <c r="AD20" s="81" t="s">
        <v>566</v>
      </c>
      <c r="AE20" s="81" t="s">
        <v>8162</v>
      </c>
      <c r="AF20" s="81" t="s">
        <v>256</v>
      </c>
      <c r="AG20" s="81" t="s">
        <v>566</v>
      </c>
      <c r="AH20" s="8"/>
      <c r="AI20" s="8"/>
      <c r="AJ20" s="8"/>
      <c r="AK20" s="8"/>
      <c r="AL20" s="8"/>
      <c r="AM20" s="81" t="s">
        <v>243</v>
      </c>
      <c r="AN20" s="8"/>
      <c r="AO20" s="8"/>
      <c r="AP20" s="8"/>
      <c r="AQ20" s="8"/>
      <c r="AR20" s="9">
        <v>45839</v>
      </c>
      <c r="AS20" s="8" t="s">
        <v>8119</v>
      </c>
      <c r="AT20" s="8" t="s">
        <v>257</v>
      </c>
      <c r="AU20" s="9">
        <v>45901</v>
      </c>
      <c r="AV20" s="81" t="s">
        <v>322</v>
      </c>
      <c r="AW20" s="81" t="s">
        <v>256</v>
      </c>
      <c r="AX20" s="8" t="s">
        <v>567</v>
      </c>
      <c r="AY20" s="8"/>
      <c r="AZ20" s="8"/>
      <c r="BA20" s="81" t="s">
        <v>556</v>
      </c>
      <c r="BB20" s="8"/>
      <c r="BC20" s="8"/>
      <c r="BD20" s="8"/>
      <c r="BE20" s="81" t="s">
        <v>261</v>
      </c>
      <c r="BF20" s="8" t="s">
        <v>568</v>
      </c>
      <c r="BG20" s="9">
        <v>48042</v>
      </c>
      <c r="BH20" s="81" t="s">
        <v>305</v>
      </c>
      <c r="BI20" s="81" t="s">
        <v>559</v>
      </c>
      <c r="BJ20" s="9">
        <v>44805</v>
      </c>
      <c r="BK20" s="9">
        <v>45839</v>
      </c>
      <c r="BL20" s="81" t="s">
        <v>570</v>
      </c>
      <c r="BM20" s="8"/>
      <c r="BN20" s="8"/>
      <c r="BO20" s="8"/>
      <c r="BP20" s="8"/>
      <c r="BQ20" s="9"/>
      <c r="BR20" s="9"/>
      <c r="BS20" s="8"/>
      <c r="BT20" s="8"/>
      <c r="BU20" s="8"/>
      <c r="BV20" s="8"/>
      <c r="BW20" s="81" t="s">
        <v>256</v>
      </c>
      <c r="BX20" s="81" t="s">
        <v>337</v>
      </c>
      <c r="BY20" s="9">
        <v>45839</v>
      </c>
      <c r="BZ20" s="9">
        <v>46203</v>
      </c>
      <c r="CA20" s="8" t="s">
        <v>245</v>
      </c>
    </row>
    <row r="21" spans="1:79" ht="205.2" x14ac:dyDescent="0.25">
      <c r="A21" s="81" t="s">
        <v>571</v>
      </c>
      <c r="B21" s="8"/>
      <c r="C21" s="81" t="s">
        <v>26</v>
      </c>
      <c r="D21" s="8" t="s">
        <v>7793</v>
      </c>
      <c r="E21" s="8"/>
      <c r="F21" s="9">
        <v>38053</v>
      </c>
      <c r="G21" s="8" t="s">
        <v>549</v>
      </c>
      <c r="H21" s="81" t="s">
        <v>250</v>
      </c>
      <c r="I21" s="81" t="s">
        <v>27</v>
      </c>
      <c r="J21" s="81" t="s">
        <v>270</v>
      </c>
      <c r="K21" s="81" t="s">
        <v>572</v>
      </c>
      <c r="L21" s="81" t="s">
        <v>102</v>
      </c>
      <c r="M21" s="81" t="s">
        <v>8163</v>
      </c>
      <c r="N21" s="81" t="s">
        <v>272</v>
      </c>
      <c r="O21" s="81" t="s">
        <v>253</v>
      </c>
      <c r="P21" s="9"/>
      <c r="Q21" s="8"/>
      <c r="R21" s="8"/>
      <c r="S21" s="8"/>
      <c r="T21" s="8"/>
      <c r="U21" s="8"/>
      <c r="V21" s="8"/>
      <c r="W21" s="8"/>
      <c r="X21" s="8" t="s">
        <v>573</v>
      </c>
      <c r="Y21" s="81" t="s">
        <v>33</v>
      </c>
      <c r="Z21" s="8"/>
      <c r="AA21" s="81" t="s">
        <v>574</v>
      </c>
      <c r="AB21" s="8"/>
      <c r="AC21" s="8"/>
      <c r="AD21" s="81" t="s">
        <v>344</v>
      </c>
      <c r="AE21" s="81" t="s">
        <v>8129</v>
      </c>
      <c r="AF21" s="81" t="s">
        <v>242</v>
      </c>
      <c r="AG21" s="81" t="s">
        <v>345</v>
      </c>
      <c r="AH21" s="81" t="s">
        <v>346</v>
      </c>
      <c r="AI21" s="81" t="s">
        <v>344</v>
      </c>
      <c r="AJ21" s="8"/>
      <c r="AK21" s="8"/>
      <c r="AL21" s="8"/>
      <c r="AM21" s="81" t="s">
        <v>243</v>
      </c>
      <c r="AN21" s="8"/>
      <c r="AO21" s="8"/>
      <c r="AP21" s="8"/>
      <c r="AQ21" s="8"/>
      <c r="AR21" s="9">
        <v>45839</v>
      </c>
      <c r="AS21" s="8" t="s">
        <v>8119</v>
      </c>
      <c r="AT21" s="8" t="s">
        <v>257</v>
      </c>
      <c r="AU21" s="9">
        <v>45900</v>
      </c>
      <c r="AV21" s="81" t="s">
        <v>322</v>
      </c>
      <c r="AW21" s="81" t="s">
        <v>242</v>
      </c>
      <c r="AX21" s="8" t="s">
        <v>575</v>
      </c>
      <c r="AY21" s="8"/>
      <c r="AZ21" s="8"/>
      <c r="BA21" s="81" t="s">
        <v>556</v>
      </c>
      <c r="BB21" s="8"/>
      <c r="BC21" s="8"/>
      <c r="BD21" s="8"/>
      <c r="BE21" s="81" t="s">
        <v>261</v>
      </c>
      <c r="BF21" s="8" t="s">
        <v>576</v>
      </c>
      <c r="BG21" s="9">
        <v>47722</v>
      </c>
      <c r="BH21" s="81" t="s">
        <v>305</v>
      </c>
      <c r="BI21" s="81" t="s">
        <v>559</v>
      </c>
      <c r="BJ21" s="9">
        <v>44805</v>
      </c>
      <c r="BK21" s="9">
        <v>45839</v>
      </c>
      <c r="BL21" s="81" t="s">
        <v>570</v>
      </c>
      <c r="BM21" s="8"/>
      <c r="BN21" s="8"/>
      <c r="BO21" s="8"/>
      <c r="BP21" s="8"/>
      <c r="BQ21" s="9"/>
      <c r="BR21" s="9"/>
      <c r="BS21" s="8"/>
      <c r="BT21" s="8"/>
      <c r="BU21" s="8"/>
      <c r="BV21" s="8"/>
      <c r="BW21" s="81" t="s">
        <v>242</v>
      </c>
      <c r="BX21" s="81" t="s">
        <v>337</v>
      </c>
      <c r="BY21" s="9">
        <v>45870</v>
      </c>
      <c r="BZ21" s="9">
        <v>46203</v>
      </c>
      <c r="CA21" s="8" t="s">
        <v>245</v>
      </c>
    </row>
    <row r="22" spans="1:79" ht="205.2" x14ac:dyDescent="0.25">
      <c r="A22" s="81" t="s">
        <v>579</v>
      </c>
      <c r="B22" s="8"/>
      <c r="C22" s="81" t="s">
        <v>26</v>
      </c>
      <c r="D22" s="8" t="s">
        <v>7794</v>
      </c>
      <c r="E22" s="8"/>
      <c r="F22" s="9">
        <v>38024</v>
      </c>
      <c r="G22" s="8" t="s">
        <v>549</v>
      </c>
      <c r="H22" s="81" t="s">
        <v>250</v>
      </c>
      <c r="I22" s="81" t="s">
        <v>27</v>
      </c>
      <c r="J22" s="81" t="s">
        <v>270</v>
      </c>
      <c r="K22" s="81" t="s">
        <v>353</v>
      </c>
      <c r="L22" s="81" t="s">
        <v>102</v>
      </c>
      <c r="M22" s="81" t="s">
        <v>8164</v>
      </c>
      <c r="N22" s="81" t="s">
        <v>272</v>
      </c>
      <c r="O22" s="81" t="s">
        <v>253</v>
      </c>
      <c r="P22" s="9"/>
      <c r="Q22" s="8"/>
      <c r="R22" s="8"/>
      <c r="S22" s="8"/>
      <c r="T22" s="8"/>
      <c r="U22" s="8"/>
      <c r="V22" s="8"/>
      <c r="W22" s="8"/>
      <c r="X22" s="8" t="s">
        <v>580</v>
      </c>
      <c r="Y22" s="81" t="s">
        <v>33</v>
      </c>
      <c r="Z22" s="8"/>
      <c r="AA22" s="81" t="s">
        <v>574</v>
      </c>
      <c r="AB22" s="8"/>
      <c r="AC22" s="8"/>
      <c r="AD22" s="81" t="s">
        <v>344</v>
      </c>
      <c r="AE22" s="81" t="s">
        <v>8129</v>
      </c>
      <c r="AF22" s="81" t="s">
        <v>242</v>
      </c>
      <c r="AG22" s="81" t="s">
        <v>345</v>
      </c>
      <c r="AH22" s="81" t="s">
        <v>346</v>
      </c>
      <c r="AI22" s="81" t="s">
        <v>344</v>
      </c>
      <c r="AJ22" s="8"/>
      <c r="AK22" s="8"/>
      <c r="AL22" s="8"/>
      <c r="AM22" s="81" t="s">
        <v>243</v>
      </c>
      <c r="AN22" s="8"/>
      <c r="AO22" s="8"/>
      <c r="AP22" s="8"/>
      <c r="AQ22" s="8"/>
      <c r="AR22" s="9">
        <v>45839</v>
      </c>
      <c r="AS22" s="8" t="s">
        <v>8119</v>
      </c>
      <c r="AT22" s="8" t="s">
        <v>257</v>
      </c>
      <c r="AU22" s="9">
        <v>45900</v>
      </c>
      <c r="AV22" s="81" t="s">
        <v>322</v>
      </c>
      <c r="AW22" s="81" t="s">
        <v>242</v>
      </c>
      <c r="AX22" s="8" t="s">
        <v>581</v>
      </c>
      <c r="AY22" s="8"/>
      <c r="AZ22" s="8"/>
      <c r="BA22" s="81" t="s">
        <v>556</v>
      </c>
      <c r="BB22" s="8"/>
      <c r="BC22" s="8"/>
      <c r="BD22" s="8"/>
      <c r="BE22" s="81" t="s">
        <v>261</v>
      </c>
      <c r="BF22" s="8" t="s">
        <v>582</v>
      </c>
      <c r="BG22" s="9">
        <v>48617</v>
      </c>
      <c r="BH22" s="81" t="s">
        <v>305</v>
      </c>
      <c r="BI22" s="81" t="s">
        <v>559</v>
      </c>
      <c r="BJ22" s="9">
        <v>44805</v>
      </c>
      <c r="BK22" s="9">
        <v>45839</v>
      </c>
      <c r="BL22" s="81" t="s">
        <v>570</v>
      </c>
      <c r="BM22" s="8"/>
      <c r="BN22" s="8"/>
      <c r="BO22" s="8"/>
      <c r="BP22" s="8"/>
      <c r="BQ22" s="9"/>
      <c r="BR22" s="9"/>
      <c r="BS22" s="8"/>
      <c r="BT22" s="8"/>
      <c r="BU22" s="8"/>
      <c r="BV22" s="8"/>
      <c r="BW22" s="81" t="s">
        <v>242</v>
      </c>
      <c r="BX22" s="81" t="s">
        <v>337</v>
      </c>
      <c r="BY22" s="9">
        <v>45870</v>
      </c>
      <c r="BZ22" s="9">
        <v>46203</v>
      </c>
      <c r="CA22" s="8" t="s">
        <v>245</v>
      </c>
    </row>
    <row r="23" spans="1:79" ht="173.4" x14ac:dyDescent="0.25">
      <c r="A23" s="81" t="s">
        <v>584</v>
      </c>
      <c r="B23" s="8"/>
      <c r="C23" s="81" t="s">
        <v>26</v>
      </c>
      <c r="D23" s="8" t="s">
        <v>7795</v>
      </c>
      <c r="E23" s="8"/>
      <c r="F23" s="9">
        <v>38019</v>
      </c>
      <c r="G23" s="8" t="s">
        <v>549</v>
      </c>
      <c r="H23" s="81" t="s">
        <v>250</v>
      </c>
      <c r="I23" s="81" t="s">
        <v>27</v>
      </c>
      <c r="J23" s="81" t="s">
        <v>270</v>
      </c>
      <c r="K23" s="81" t="s">
        <v>563</v>
      </c>
      <c r="L23" s="81" t="s">
        <v>102</v>
      </c>
      <c r="M23" s="81" t="s">
        <v>8165</v>
      </c>
      <c r="N23" s="81" t="s">
        <v>119</v>
      </c>
      <c r="O23" s="81" t="s">
        <v>253</v>
      </c>
      <c r="P23" s="9"/>
      <c r="Q23" s="8"/>
      <c r="R23" s="8"/>
      <c r="S23" s="8"/>
      <c r="T23" s="8"/>
      <c r="U23" s="8"/>
      <c r="V23" s="8"/>
      <c r="W23" s="8"/>
      <c r="X23" s="8" t="s">
        <v>585</v>
      </c>
      <c r="Y23" s="81" t="s">
        <v>33</v>
      </c>
      <c r="Z23" s="8"/>
      <c r="AA23" s="81" t="s">
        <v>551</v>
      </c>
      <c r="AB23" s="8"/>
      <c r="AC23" s="8"/>
      <c r="AD23" s="81" t="s">
        <v>552</v>
      </c>
      <c r="AE23" s="81" t="s">
        <v>8160</v>
      </c>
      <c r="AF23" s="81" t="s">
        <v>492</v>
      </c>
      <c r="AG23" s="81" t="s">
        <v>553</v>
      </c>
      <c r="AH23" s="81" t="s">
        <v>552</v>
      </c>
      <c r="AI23" s="8"/>
      <c r="AJ23" s="8"/>
      <c r="AK23" s="8"/>
      <c r="AL23" s="8"/>
      <c r="AM23" s="81" t="s">
        <v>243</v>
      </c>
      <c r="AN23" s="8"/>
      <c r="AO23" s="8"/>
      <c r="AP23" s="8"/>
      <c r="AQ23" s="8"/>
      <c r="AR23" s="9">
        <v>45839</v>
      </c>
      <c r="AS23" s="8" t="s">
        <v>8119</v>
      </c>
      <c r="AT23" s="8" t="s">
        <v>257</v>
      </c>
      <c r="AU23" s="9">
        <v>45901</v>
      </c>
      <c r="AV23" s="81" t="s">
        <v>322</v>
      </c>
      <c r="AW23" s="81" t="s">
        <v>492</v>
      </c>
      <c r="AX23" s="8" t="s">
        <v>586</v>
      </c>
      <c r="AY23" s="8"/>
      <c r="AZ23" s="8"/>
      <c r="BA23" s="81" t="s">
        <v>556</v>
      </c>
      <c r="BB23" s="8"/>
      <c r="BC23" s="8"/>
      <c r="BD23" s="8"/>
      <c r="BE23" s="81" t="s">
        <v>261</v>
      </c>
      <c r="BF23" s="8" t="s">
        <v>587</v>
      </c>
      <c r="BG23" s="9">
        <v>49230</v>
      </c>
      <c r="BH23" s="81" t="s">
        <v>305</v>
      </c>
      <c r="BI23" s="81" t="s">
        <v>589</v>
      </c>
      <c r="BJ23" s="9">
        <v>44805</v>
      </c>
      <c r="BK23" s="9">
        <v>45839</v>
      </c>
      <c r="BL23" s="81" t="s">
        <v>590</v>
      </c>
      <c r="BM23" s="8"/>
      <c r="BN23" s="8"/>
      <c r="BO23" s="8"/>
      <c r="BP23" s="8"/>
      <c r="BQ23" s="9"/>
      <c r="BR23" s="9"/>
      <c r="BS23" s="8"/>
      <c r="BT23" s="8"/>
      <c r="BU23" s="8"/>
      <c r="BV23" s="8"/>
      <c r="BW23" s="81" t="s">
        <v>492</v>
      </c>
      <c r="BX23" s="81" t="s">
        <v>337</v>
      </c>
      <c r="BY23" s="9">
        <v>45962</v>
      </c>
      <c r="BZ23" s="9">
        <v>46203</v>
      </c>
      <c r="CA23" s="8" t="s">
        <v>245</v>
      </c>
    </row>
    <row r="24" spans="1:79" ht="173.4" x14ac:dyDescent="0.25">
      <c r="A24" s="81" t="s">
        <v>591</v>
      </c>
      <c r="B24" s="8"/>
      <c r="C24" s="81" t="s">
        <v>26</v>
      </c>
      <c r="D24" s="8" t="s">
        <v>7796</v>
      </c>
      <c r="E24" s="8"/>
      <c r="F24" s="9">
        <v>38098</v>
      </c>
      <c r="G24" s="8" t="s">
        <v>340</v>
      </c>
      <c r="H24" s="81" t="s">
        <v>250</v>
      </c>
      <c r="I24" s="81" t="s">
        <v>27</v>
      </c>
      <c r="J24" s="81" t="s">
        <v>293</v>
      </c>
      <c r="K24" s="81" t="s">
        <v>294</v>
      </c>
      <c r="L24" s="81" t="s">
        <v>102</v>
      </c>
      <c r="M24" s="81" t="s">
        <v>8166</v>
      </c>
      <c r="N24" s="81" t="s">
        <v>272</v>
      </c>
      <c r="O24" s="81" t="s">
        <v>253</v>
      </c>
      <c r="P24" s="9"/>
      <c r="Q24" s="8"/>
      <c r="R24" s="8"/>
      <c r="S24" s="8"/>
      <c r="T24" s="8"/>
      <c r="U24" s="8"/>
      <c r="V24" s="8"/>
      <c r="W24" s="8"/>
      <c r="X24" s="8" t="s">
        <v>592</v>
      </c>
      <c r="Y24" s="81" t="s">
        <v>33</v>
      </c>
      <c r="Z24" s="8"/>
      <c r="AA24" s="81" t="s">
        <v>593</v>
      </c>
      <c r="AB24" s="8"/>
      <c r="AC24" s="8"/>
      <c r="AD24" s="81" t="s">
        <v>552</v>
      </c>
      <c r="AE24" s="81" t="s">
        <v>8160</v>
      </c>
      <c r="AF24" s="81" t="s">
        <v>492</v>
      </c>
      <c r="AG24" s="81" t="s">
        <v>553</v>
      </c>
      <c r="AH24" s="81" t="s">
        <v>552</v>
      </c>
      <c r="AI24" s="8"/>
      <c r="AJ24" s="8"/>
      <c r="AK24" s="8"/>
      <c r="AL24" s="8"/>
      <c r="AM24" s="81" t="s">
        <v>243</v>
      </c>
      <c r="AN24" s="8"/>
      <c r="AO24" s="8"/>
      <c r="AP24" s="8"/>
      <c r="AQ24" s="8"/>
      <c r="AR24" s="9">
        <v>45839</v>
      </c>
      <c r="AS24" s="8" t="s">
        <v>8119</v>
      </c>
      <c r="AT24" s="8" t="s">
        <v>257</v>
      </c>
      <c r="AU24" s="9">
        <v>45901</v>
      </c>
      <c r="AV24" s="81" t="s">
        <v>322</v>
      </c>
      <c r="AW24" s="81" t="s">
        <v>492</v>
      </c>
      <c r="AX24" s="8" t="s">
        <v>594</v>
      </c>
      <c r="AY24" s="8"/>
      <c r="AZ24" s="8"/>
      <c r="BA24" s="81" t="s">
        <v>556</v>
      </c>
      <c r="BB24" s="8"/>
      <c r="BC24" s="8"/>
      <c r="BD24" s="8"/>
      <c r="BE24" s="81" t="s">
        <v>261</v>
      </c>
      <c r="BF24" s="8" t="s">
        <v>595</v>
      </c>
      <c r="BG24" s="9">
        <v>47708</v>
      </c>
      <c r="BH24" s="81" t="s">
        <v>305</v>
      </c>
      <c r="BI24" s="81" t="s">
        <v>597</v>
      </c>
      <c r="BJ24" s="9">
        <v>44804</v>
      </c>
      <c r="BK24" s="9">
        <v>45835</v>
      </c>
      <c r="BL24" s="81" t="s">
        <v>599</v>
      </c>
      <c r="BM24" s="8"/>
      <c r="BN24" s="8"/>
      <c r="BO24" s="8"/>
      <c r="BP24" s="8"/>
      <c r="BQ24" s="9"/>
      <c r="BR24" s="9"/>
      <c r="BS24" s="8"/>
      <c r="BT24" s="8"/>
      <c r="BU24" s="8"/>
      <c r="BV24" s="8"/>
      <c r="BW24" s="81" t="s">
        <v>492</v>
      </c>
      <c r="BX24" s="81" t="s">
        <v>337</v>
      </c>
      <c r="BY24" s="9">
        <v>45962</v>
      </c>
      <c r="BZ24" s="9">
        <v>46203</v>
      </c>
      <c r="CA24" s="8" t="s">
        <v>245</v>
      </c>
    </row>
    <row r="25" spans="1:79" ht="157.19999999999999" x14ac:dyDescent="0.25">
      <c r="A25" s="81" t="s">
        <v>600</v>
      </c>
      <c r="B25" s="8"/>
      <c r="C25" s="81" t="s">
        <v>26</v>
      </c>
      <c r="D25" s="8" t="s">
        <v>7797</v>
      </c>
      <c r="E25" s="8"/>
      <c r="F25" s="9">
        <v>37322</v>
      </c>
      <c r="G25" s="8" t="s">
        <v>249</v>
      </c>
      <c r="H25" s="81" t="s">
        <v>250</v>
      </c>
      <c r="I25" s="81" t="s">
        <v>27</v>
      </c>
      <c r="J25" s="81" t="s">
        <v>270</v>
      </c>
      <c r="K25" s="81" t="s">
        <v>601</v>
      </c>
      <c r="L25" s="81" t="s">
        <v>102</v>
      </c>
      <c r="M25" s="81" t="s">
        <v>8167</v>
      </c>
      <c r="N25" s="81" t="s">
        <v>119</v>
      </c>
      <c r="O25" s="81" t="s">
        <v>253</v>
      </c>
      <c r="P25" s="9"/>
      <c r="Q25" s="8"/>
      <c r="R25" s="8"/>
      <c r="S25" s="8"/>
      <c r="T25" s="8"/>
      <c r="U25" s="8"/>
      <c r="V25" s="8"/>
      <c r="W25" s="8"/>
      <c r="X25" s="8" t="s">
        <v>602</v>
      </c>
      <c r="Y25" s="81" t="s">
        <v>33</v>
      </c>
      <c r="Z25" s="8"/>
      <c r="AA25" s="81" t="s">
        <v>565</v>
      </c>
      <c r="AB25" s="8"/>
      <c r="AC25" s="8"/>
      <c r="AD25" s="81" t="s">
        <v>566</v>
      </c>
      <c r="AE25" s="81" t="s">
        <v>8162</v>
      </c>
      <c r="AF25" s="81" t="s">
        <v>256</v>
      </c>
      <c r="AG25" s="81" t="s">
        <v>566</v>
      </c>
      <c r="AH25" s="8"/>
      <c r="AI25" s="8"/>
      <c r="AJ25" s="8"/>
      <c r="AK25" s="8"/>
      <c r="AL25" s="8"/>
      <c r="AM25" s="81" t="s">
        <v>243</v>
      </c>
      <c r="AN25" s="8"/>
      <c r="AO25" s="8"/>
      <c r="AP25" s="8"/>
      <c r="AQ25" s="8"/>
      <c r="AR25" s="9">
        <v>45839</v>
      </c>
      <c r="AS25" s="8" t="s">
        <v>8119</v>
      </c>
      <c r="AT25" s="8" t="s">
        <v>257</v>
      </c>
      <c r="AU25" s="9">
        <v>45901</v>
      </c>
      <c r="AV25" s="81" t="s">
        <v>322</v>
      </c>
      <c r="AW25" s="81" t="s">
        <v>256</v>
      </c>
      <c r="AX25" s="8" t="s">
        <v>603</v>
      </c>
      <c r="AY25" s="8"/>
      <c r="AZ25" s="8"/>
      <c r="BA25" s="81" t="s">
        <v>556</v>
      </c>
      <c r="BB25" s="8"/>
      <c r="BC25" s="8"/>
      <c r="BD25" s="8"/>
      <c r="BE25" s="81" t="s">
        <v>261</v>
      </c>
      <c r="BF25" s="8" t="s">
        <v>604</v>
      </c>
      <c r="BG25" s="9">
        <v>48213</v>
      </c>
      <c r="BH25" s="81" t="s">
        <v>305</v>
      </c>
      <c r="BI25" s="81" t="s">
        <v>589</v>
      </c>
      <c r="BJ25" s="9">
        <v>44805</v>
      </c>
      <c r="BK25" s="9">
        <v>45835</v>
      </c>
      <c r="BL25" s="81" t="s">
        <v>606</v>
      </c>
      <c r="BM25" s="8"/>
      <c r="BN25" s="8"/>
      <c r="BO25" s="8"/>
      <c r="BP25" s="8"/>
      <c r="BQ25" s="9"/>
      <c r="BR25" s="9"/>
      <c r="BS25" s="8"/>
      <c r="BT25" s="8"/>
      <c r="BU25" s="8"/>
      <c r="BV25" s="8"/>
      <c r="BW25" s="81" t="s">
        <v>256</v>
      </c>
      <c r="BX25" s="81" t="s">
        <v>337</v>
      </c>
      <c r="BY25" s="9">
        <v>45839</v>
      </c>
      <c r="BZ25" s="9">
        <v>46203</v>
      </c>
      <c r="CA25" s="8" t="s">
        <v>245</v>
      </c>
    </row>
    <row r="26" spans="1:79" ht="157.19999999999999" x14ac:dyDescent="0.25">
      <c r="A26" s="81" t="s">
        <v>607</v>
      </c>
      <c r="B26" s="8"/>
      <c r="C26" s="81" t="s">
        <v>26</v>
      </c>
      <c r="D26" s="8" t="s">
        <v>7798</v>
      </c>
      <c r="E26" s="8"/>
      <c r="F26" s="9">
        <v>37211</v>
      </c>
      <c r="G26" s="8" t="s">
        <v>249</v>
      </c>
      <c r="H26" s="81" t="s">
        <v>250</v>
      </c>
      <c r="I26" s="81" t="s">
        <v>27</v>
      </c>
      <c r="J26" s="81" t="s">
        <v>270</v>
      </c>
      <c r="K26" s="81" t="s">
        <v>608</v>
      </c>
      <c r="L26" s="81" t="s">
        <v>102</v>
      </c>
      <c r="M26" s="81" t="s">
        <v>8168</v>
      </c>
      <c r="N26" s="81" t="s">
        <v>119</v>
      </c>
      <c r="O26" s="81" t="s">
        <v>253</v>
      </c>
      <c r="P26" s="9"/>
      <c r="Q26" s="8"/>
      <c r="R26" s="8"/>
      <c r="S26" s="8"/>
      <c r="T26" s="8"/>
      <c r="U26" s="8"/>
      <c r="V26" s="8"/>
      <c r="W26" s="8"/>
      <c r="X26" s="8" t="s">
        <v>609</v>
      </c>
      <c r="Y26" s="81" t="s">
        <v>33</v>
      </c>
      <c r="Z26" s="8"/>
      <c r="AA26" s="81" t="s">
        <v>565</v>
      </c>
      <c r="AB26" s="8"/>
      <c r="AC26" s="8"/>
      <c r="AD26" s="81" t="s">
        <v>566</v>
      </c>
      <c r="AE26" s="81" t="s">
        <v>8162</v>
      </c>
      <c r="AF26" s="81" t="s">
        <v>256</v>
      </c>
      <c r="AG26" s="81" t="s">
        <v>566</v>
      </c>
      <c r="AH26" s="8"/>
      <c r="AI26" s="8"/>
      <c r="AJ26" s="8"/>
      <c r="AK26" s="8"/>
      <c r="AL26" s="8"/>
      <c r="AM26" s="81" t="s">
        <v>243</v>
      </c>
      <c r="AN26" s="8"/>
      <c r="AO26" s="8"/>
      <c r="AP26" s="8"/>
      <c r="AQ26" s="8"/>
      <c r="AR26" s="9">
        <v>45839</v>
      </c>
      <c r="AS26" s="8" t="s">
        <v>8119</v>
      </c>
      <c r="AT26" s="8" t="s">
        <v>257</v>
      </c>
      <c r="AU26" s="9">
        <v>45901</v>
      </c>
      <c r="AV26" s="81" t="s">
        <v>322</v>
      </c>
      <c r="AW26" s="81" t="s">
        <v>256</v>
      </c>
      <c r="AX26" s="8" t="s">
        <v>610</v>
      </c>
      <c r="AY26" s="8"/>
      <c r="AZ26" s="8"/>
      <c r="BA26" s="81" t="s">
        <v>556</v>
      </c>
      <c r="BB26" s="8"/>
      <c r="BC26" s="8"/>
      <c r="BD26" s="8"/>
      <c r="BE26" s="81" t="s">
        <v>261</v>
      </c>
      <c r="BF26" s="8" t="s">
        <v>611</v>
      </c>
      <c r="BG26" s="9">
        <v>47715</v>
      </c>
      <c r="BH26" s="81" t="s">
        <v>305</v>
      </c>
      <c r="BI26" s="81" t="s">
        <v>589</v>
      </c>
      <c r="BJ26" s="9">
        <v>44805</v>
      </c>
      <c r="BK26" s="9">
        <v>45835</v>
      </c>
      <c r="BL26" s="81" t="s">
        <v>613</v>
      </c>
      <c r="BM26" s="8"/>
      <c r="BN26" s="8"/>
      <c r="BO26" s="8"/>
      <c r="BP26" s="8"/>
      <c r="BQ26" s="9"/>
      <c r="BR26" s="9"/>
      <c r="BS26" s="8"/>
      <c r="BT26" s="8"/>
      <c r="BU26" s="8"/>
      <c r="BV26" s="8"/>
      <c r="BW26" s="81" t="s">
        <v>256</v>
      </c>
      <c r="BX26" s="81" t="s">
        <v>337</v>
      </c>
      <c r="BY26" s="9">
        <v>45839</v>
      </c>
      <c r="BZ26" s="9">
        <v>46203</v>
      </c>
      <c r="CA26" s="8" t="s">
        <v>245</v>
      </c>
    </row>
    <row r="27" spans="1:79" ht="173.4" x14ac:dyDescent="0.25">
      <c r="A27" s="81" t="s">
        <v>614</v>
      </c>
      <c r="B27" s="8"/>
      <c r="C27" s="81" t="s">
        <v>26</v>
      </c>
      <c r="D27" s="8" t="s">
        <v>7799</v>
      </c>
      <c r="E27" s="8"/>
      <c r="F27" s="9">
        <v>37926</v>
      </c>
      <c r="G27" s="8" t="s">
        <v>549</v>
      </c>
      <c r="H27" s="81" t="s">
        <v>250</v>
      </c>
      <c r="I27" s="81" t="s">
        <v>435</v>
      </c>
      <c r="J27" s="81" t="s">
        <v>293</v>
      </c>
      <c r="K27" s="81" t="s">
        <v>294</v>
      </c>
      <c r="L27" s="81" t="s">
        <v>102</v>
      </c>
      <c r="M27" s="81" t="s">
        <v>8169</v>
      </c>
      <c r="N27" s="81" t="s">
        <v>119</v>
      </c>
      <c r="O27" s="81" t="s">
        <v>253</v>
      </c>
      <c r="P27" s="9"/>
      <c r="Q27" s="8"/>
      <c r="R27" s="8"/>
      <c r="S27" s="8"/>
      <c r="T27" s="8"/>
      <c r="U27" s="8"/>
      <c r="V27" s="8"/>
      <c r="W27" s="8"/>
      <c r="X27" s="8" t="s">
        <v>615</v>
      </c>
      <c r="Y27" s="81" t="s">
        <v>33</v>
      </c>
      <c r="Z27" s="8"/>
      <c r="AA27" s="81" t="s">
        <v>616</v>
      </c>
      <c r="AB27" s="8"/>
      <c r="AC27" s="8"/>
      <c r="AD27" s="81" t="s">
        <v>552</v>
      </c>
      <c r="AE27" s="81" t="s">
        <v>8160</v>
      </c>
      <c r="AF27" s="81" t="s">
        <v>492</v>
      </c>
      <c r="AG27" s="81" t="s">
        <v>553</v>
      </c>
      <c r="AH27" s="81" t="s">
        <v>552</v>
      </c>
      <c r="AI27" s="8"/>
      <c r="AJ27" s="8"/>
      <c r="AK27" s="8"/>
      <c r="AL27" s="8"/>
      <c r="AM27" s="81" t="s">
        <v>243</v>
      </c>
      <c r="AN27" s="8"/>
      <c r="AO27" s="8"/>
      <c r="AP27" s="8"/>
      <c r="AQ27" s="8"/>
      <c r="AR27" s="9">
        <v>45839</v>
      </c>
      <c r="AS27" s="8" t="s">
        <v>8119</v>
      </c>
      <c r="AT27" s="8" t="s">
        <v>257</v>
      </c>
      <c r="AU27" s="9">
        <v>45901</v>
      </c>
      <c r="AV27" s="81" t="s">
        <v>322</v>
      </c>
      <c r="AW27" s="81" t="s">
        <v>492</v>
      </c>
      <c r="AX27" s="8" t="s">
        <v>617</v>
      </c>
      <c r="AY27" s="8"/>
      <c r="AZ27" s="8"/>
      <c r="BA27" s="81" t="s">
        <v>556</v>
      </c>
      <c r="BB27" s="8"/>
      <c r="BC27" s="8"/>
      <c r="BD27" s="8"/>
      <c r="BE27" s="81" t="s">
        <v>261</v>
      </c>
      <c r="BF27" s="8" t="s">
        <v>618</v>
      </c>
      <c r="BG27" s="9">
        <v>48217</v>
      </c>
      <c r="BH27" s="81" t="s">
        <v>305</v>
      </c>
      <c r="BI27" s="81" t="s">
        <v>589</v>
      </c>
      <c r="BJ27" s="9">
        <v>44805</v>
      </c>
      <c r="BK27" s="9">
        <v>45835</v>
      </c>
      <c r="BL27" s="81" t="s">
        <v>606</v>
      </c>
      <c r="BM27" s="8"/>
      <c r="BN27" s="8"/>
      <c r="BO27" s="8"/>
      <c r="BP27" s="8"/>
      <c r="BQ27" s="9"/>
      <c r="BR27" s="9"/>
      <c r="BS27" s="8"/>
      <c r="BT27" s="8"/>
      <c r="BU27" s="8"/>
      <c r="BV27" s="8"/>
      <c r="BW27" s="81" t="s">
        <v>492</v>
      </c>
      <c r="BX27" s="81" t="s">
        <v>337</v>
      </c>
      <c r="BY27" s="9">
        <v>45962</v>
      </c>
      <c r="BZ27" s="9">
        <v>46203</v>
      </c>
      <c r="CA27" s="8" t="s">
        <v>245</v>
      </c>
    </row>
    <row r="28" spans="1:79" ht="173.4" x14ac:dyDescent="0.25">
      <c r="A28" s="81" t="s">
        <v>620</v>
      </c>
      <c r="B28" s="8"/>
      <c r="C28" s="81" t="s">
        <v>26</v>
      </c>
      <c r="D28" s="8" t="s">
        <v>7800</v>
      </c>
      <c r="E28" s="8"/>
      <c r="F28" s="9">
        <v>37908</v>
      </c>
      <c r="G28" s="8" t="s">
        <v>549</v>
      </c>
      <c r="H28" s="81" t="s">
        <v>250</v>
      </c>
      <c r="I28" s="81" t="s">
        <v>27</v>
      </c>
      <c r="J28" s="81" t="s">
        <v>293</v>
      </c>
      <c r="K28" s="81" t="s">
        <v>621</v>
      </c>
      <c r="L28" s="81" t="s">
        <v>102</v>
      </c>
      <c r="M28" s="81" t="s">
        <v>8170</v>
      </c>
      <c r="N28" s="81" t="s">
        <v>119</v>
      </c>
      <c r="O28" s="81" t="s">
        <v>253</v>
      </c>
      <c r="P28" s="9"/>
      <c r="Q28" s="8"/>
      <c r="R28" s="8"/>
      <c r="S28" s="8"/>
      <c r="T28" s="8"/>
      <c r="U28" s="8"/>
      <c r="V28" s="8"/>
      <c r="W28" s="8"/>
      <c r="X28" s="8" t="s">
        <v>622</v>
      </c>
      <c r="Y28" s="81" t="s">
        <v>33</v>
      </c>
      <c r="Z28" s="8"/>
      <c r="AA28" s="81" t="s">
        <v>593</v>
      </c>
      <c r="AB28" s="8"/>
      <c r="AC28" s="8"/>
      <c r="AD28" s="81" t="s">
        <v>552</v>
      </c>
      <c r="AE28" s="81" t="s">
        <v>8160</v>
      </c>
      <c r="AF28" s="81" t="s">
        <v>492</v>
      </c>
      <c r="AG28" s="81" t="s">
        <v>553</v>
      </c>
      <c r="AH28" s="81" t="s">
        <v>552</v>
      </c>
      <c r="AI28" s="8"/>
      <c r="AJ28" s="8"/>
      <c r="AK28" s="8"/>
      <c r="AL28" s="8"/>
      <c r="AM28" s="81" t="s">
        <v>243</v>
      </c>
      <c r="AN28" s="8"/>
      <c r="AO28" s="8"/>
      <c r="AP28" s="8"/>
      <c r="AQ28" s="8"/>
      <c r="AR28" s="9">
        <v>45839</v>
      </c>
      <c r="AS28" s="8" t="s">
        <v>8119</v>
      </c>
      <c r="AT28" s="8" t="s">
        <v>257</v>
      </c>
      <c r="AU28" s="9">
        <v>45901</v>
      </c>
      <c r="AV28" s="81" t="s">
        <v>322</v>
      </c>
      <c r="AW28" s="81" t="s">
        <v>492</v>
      </c>
      <c r="AX28" s="8" t="s">
        <v>623</v>
      </c>
      <c r="AY28" s="8"/>
      <c r="AZ28" s="8"/>
      <c r="BA28" s="81" t="s">
        <v>556</v>
      </c>
      <c r="BB28" s="8"/>
      <c r="BC28" s="8"/>
      <c r="BD28" s="8"/>
      <c r="BE28" s="81" t="s">
        <v>261</v>
      </c>
      <c r="BF28" s="8" t="s">
        <v>624</v>
      </c>
      <c r="BG28" s="9">
        <v>48041</v>
      </c>
      <c r="BH28" s="81" t="s">
        <v>305</v>
      </c>
      <c r="BI28" s="81" t="s">
        <v>589</v>
      </c>
      <c r="BJ28" s="9">
        <v>44805</v>
      </c>
      <c r="BK28" s="9">
        <v>45835</v>
      </c>
      <c r="BL28" s="81" t="s">
        <v>613</v>
      </c>
      <c r="BM28" s="8"/>
      <c r="BN28" s="8"/>
      <c r="BO28" s="8"/>
      <c r="BP28" s="8"/>
      <c r="BQ28" s="9"/>
      <c r="BR28" s="9"/>
      <c r="BS28" s="8"/>
      <c r="BT28" s="8"/>
      <c r="BU28" s="8"/>
      <c r="BV28" s="8"/>
      <c r="BW28" s="81" t="s">
        <v>492</v>
      </c>
      <c r="BX28" s="81" t="s">
        <v>337</v>
      </c>
      <c r="BY28" s="9">
        <v>45962</v>
      </c>
      <c r="BZ28" s="9">
        <v>46203</v>
      </c>
      <c r="CA28" s="8" t="s">
        <v>245</v>
      </c>
    </row>
    <row r="29" spans="1:79" ht="173.4" x14ac:dyDescent="0.25">
      <c r="A29" s="81" t="s">
        <v>626</v>
      </c>
      <c r="B29" s="8"/>
      <c r="C29" s="81" t="s">
        <v>352</v>
      </c>
      <c r="D29" s="8" t="s">
        <v>7801</v>
      </c>
      <c r="E29" s="8"/>
      <c r="F29" s="9">
        <v>38011</v>
      </c>
      <c r="G29" s="8" t="s">
        <v>549</v>
      </c>
      <c r="H29" s="81" t="s">
        <v>250</v>
      </c>
      <c r="I29" s="81" t="s">
        <v>27</v>
      </c>
      <c r="J29" s="81" t="s">
        <v>270</v>
      </c>
      <c r="K29" s="81" t="s">
        <v>488</v>
      </c>
      <c r="L29" s="81" t="s">
        <v>102</v>
      </c>
      <c r="M29" s="81" t="s">
        <v>8171</v>
      </c>
      <c r="N29" s="81" t="s">
        <v>272</v>
      </c>
      <c r="O29" s="81" t="s">
        <v>253</v>
      </c>
      <c r="P29" s="9"/>
      <c r="Q29" s="8"/>
      <c r="R29" s="8"/>
      <c r="S29" s="8"/>
      <c r="T29" s="8"/>
      <c r="U29" s="8"/>
      <c r="V29" s="8"/>
      <c r="W29" s="8"/>
      <c r="X29" s="8" t="s">
        <v>627</v>
      </c>
      <c r="Y29" s="81" t="s">
        <v>33</v>
      </c>
      <c r="Z29" s="8"/>
      <c r="AA29" s="81" t="s">
        <v>593</v>
      </c>
      <c r="AB29" s="8"/>
      <c r="AC29" s="8"/>
      <c r="AD29" s="81" t="s">
        <v>552</v>
      </c>
      <c r="AE29" s="81" t="s">
        <v>8160</v>
      </c>
      <c r="AF29" s="81" t="s">
        <v>492</v>
      </c>
      <c r="AG29" s="81" t="s">
        <v>553</v>
      </c>
      <c r="AH29" s="81" t="s">
        <v>552</v>
      </c>
      <c r="AI29" s="8"/>
      <c r="AJ29" s="8"/>
      <c r="AK29" s="8"/>
      <c r="AL29" s="8"/>
      <c r="AM29" s="81" t="s">
        <v>243</v>
      </c>
      <c r="AN29" s="8"/>
      <c r="AO29" s="8"/>
      <c r="AP29" s="8"/>
      <c r="AQ29" s="8"/>
      <c r="AR29" s="9">
        <v>45839</v>
      </c>
      <c r="AS29" s="8" t="s">
        <v>8119</v>
      </c>
      <c r="AT29" s="8" t="s">
        <v>257</v>
      </c>
      <c r="AU29" s="9">
        <v>45901</v>
      </c>
      <c r="AV29" s="81" t="s">
        <v>322</v>
      </c>
      <c r="AW29" s="81" t="s">
        <v>492</v>
      </c>
      <c r="AX29" s="8" t="s">
        <v>628</v>
      </c>
      <c r="AY29" s="8"/>
      <c r="AZ29" s="8"/>
      <c r="BA29" s="81" t="s">
        <v>556</v>
      </c>
      <c r="BB29" s="8"/>
      <c r="BC29" s="8"/>
      <c r="BD29" s="8"/>
      <c r="BE29" s="81" t="s">
        <v>261</v>
      </c>
      <c r="BF29" s="8" t="s">
        <v>629</v>
      </c>
      <c r="BG29" s="9">
        <v>48578</v>
      </c>
      <c r="BH29" s="81" t="s">
        <v>305</v>
      </c>
      <c r="BI29" s="81" t="s">
        <v>589</v>
      </c>
      <c r="BJ29" s="9">
        <v>44805</v>
      </c>
      <c r="BK29" s="9">
        <v>45835</v>
      </c>
      <c r="BL29" s="81" t="s">
        <v>613</v>
      </c>
      <c r="BM29" s="8"/>
      <c r="BN29" s="8"/>
      <c r="BO29" s="8"/>
      <c r="BP29" s="8"/>
      <c r="BQ29" s="9"/>
      <c r="BR29" s="9"/>
      <c r="BS29" s="8"/>
      <c r="BT29" s="8"/>
      <c r="BU29" s="8"/>
      <c r="BV29" s="8"/>
      <c r="BW29" s="81" t="s">
        <v>492</v>
      </c>
      <c r="BX29" s="81" t="s">
        <v>337</v>
      </c>
      <c r="BY29" s="9">
        <v>45962</v>
      </c>
      <c r="BZ29" s="9">
        <v>46203</v>
      </c>
      <c r="CA29" s="8" t="s">
        <v>245</v>
      </c>
    </row>
    <row r="30" spans="1:79" ht="157.19999999999999" x14ac:dyDescent="0.25">
      <c r="A30" s="81" t="s">
        <v>631</v>
      </c>
      <c r="B30" s="8"/>
      <c r="C30" s="81" t="s">
        <v>26</v>
      </c>
      <c r="D30" s="8" t="s">
        <v>7802</v>
      </c>
      <c r="E30" s="8" t="s">
        <v>632</v>
      </c>
      <c r="F30" s="9">
        <v>35327</v>
      </c>
      <c r="G30" s="8" t="s">
        <v>529</v>
      </c>
      <c r="H30" s="81" t="s">
        <v>250</v>
      </c>
      <c r="I30" s="81" t="s">
        <v>27</v>
      </c>
      <c r="J30" s="81" t="s">
        <v>270</v>
      </c>
      <c r="K30" s="81" t="s">
        <v>563</v>
      </c>
      <c r="L30" s="81" t="s">
        <v>102</v>
      </c>
      <c r="M30" s="81" t="s">
        <v>8172</v>
      </c>
      <c r="N30" s="81" t="s">
        <v>272</v>
      </c>
      <c r="O30" s="81" t="s">
        <v>253</v>
      </c>
      <c r="P30" s="9">
        <v>45116</v>
      </c>
      <c r="Q30" s="8" t="s">
        <v>8173</v>
      </c>
      <c r="R30" s="8"/>
      <c r="S30" s="8"/>
      <c r="T30" s="8"/>
      <c r="U30" s="8"/>
      <c r="V30" s="8"/>
      <c r="W30" s="8"/>
      <c r="X30" s="8" t="s">
        <v>633</v>
      </c>
      <c r="Y30" s="81" t="s">
        <v>33</v>
      </c>
      <c r="Z30" s="8"/>
      <c r="AA30" s="81" t="s">
        <v>634</v>
      </c>
      <c r="AB30" s="8"/>
      <c r="AC30" s="8"/>
      <c r="AD30" s="81" t="s">
        <v>635</v>
      </c>
      <c r="AE30" s="81" t="s">
        <v>8174</v>
      </c>
      <c r="AF30" s="81" t="s">
        <v>256</v>
      </c>
      <c r="AG30" s="81" t="s">
        <v>635</v>
      </c>
      <c r="AH30" s="8"/>
      <c r="AI30" s="8"/>
      <c r="AJ30" s="8"/>
      <c r="AK30" s="8"/>
      <c r="AL30" s="8"/>
      <c r="AM30" s="81" t="s">
        <v>243</v>
      </c>
      <c r="AN30" s="8"/>
      <c r="AO30" s="8"/>
      <c r="AP30" s="8"/>
      <c r="AQ30" s="8"/>
      <c r="AR30" s="9">
        <v>45831</v>
      </c>
      <c r="AS30" s="8" t="s">
        <v>8119</v>
      </c>
      <c r="AT30" s="8" t="s">
        <v>257</v>
      </c>
      <c r="AU30" s="9">
        <v>45892</v>
      </c>
      <c r="AV30" s="81" t="s">
        <v>322</v>
      </c>
      <c r="AW30" s="81" t="s">
        <v>256</v>
      </c>
      <c r="AX30" s="8" t="s">
        <v>636</v>
      </c>
      <c r="AY30" s="8"/>
      <c r="AZ30" s="8" t="s">
        <v>8175</v>
      </c>
      <c r="BA30" s="81" t="s">
        <v>399</v>
      </c>
      <c r="BB30" s="81" t="s">
        <v>637</v>
      </c>
      <c r="BC30" s="81" t="s">
        <v>631</v>
      </c>
      <c r="BD30" s="8" t="s">
        <v>638</v>
      </c>
      <c r="BE30" s="81" t="s">
        <v>261</v>
      </c>
      <c r="BF30" s="8" t="s">
        <v>639</v>
      </c>
      <c r="BG30" s="9">
        <v>47303</v>
      </c>
      <c r="BH30" s="81" t="s">
        <v>81</v>
      </c>
      <c r="BI30" s="81" t="s">
        <v>640</v>
      </c>
      <c r="BJ30" s="9">
        <v>43709</v>
      </c>
      <c r="BK30" s="9">
        <v>45108</v>
      </c>
      <c r="BL30" s="81" t="s">
        <v>405</v>
      </c>
      <c r="BM30" s="81" t="s">
        <v>82</v>
      </c>
      <c r="BN30" s="81" t="s">
        <v>643</v>
      </c>
      <c r="BO30" s="81" t="s">
        <v>644</v>
      </c>
      <c r="BP30" s="81" t="s">
        <v>645</v>
      </c>
      <c r="BQ30" s="9">
        <v>45116</v>
      </c>
      <c r="BR30" s="9"/>
      <c r="BS30" s="81" t="s">
        <v>646</v>
      </c>
      <c r="BT30" s="81" t="s">
        <v>647</v>
      </c>
      <c r="BU30" s="81" t="s">
        <v>266</v>
      </c>
      <c r="BV30" s="8" t="s">
        <v>648</v>
      </c>
      <c r="BW30" s="81" t="s">
        <v>256</v>
      </c>
      <c r="BX30" s="81" t="s">
        <v>337</v>
      </c>
      <c r="BY30" s="9">
        <v>45831</v>
      </c>
      <c r="BZ30" s="9">
        <v>46195</v>
      </c>
      <c r="CA30" s="8" t="s">
        <v>245</v>
      </c>
    </row>
    <row r="31" spans="1:79" ht="141.6" x14ac:dyDescent="0.25">
      <c r="A31" s="81" t="s">
        <v>649</v>
      </c>
      <c r="B31" s="8"/>
      <c r="C31" s="81" t="s">
        <v>26</v>
      </c>
      <c r="D31" s="8" t="s">
        <v>7803</v>
      </c>
      <c r="E31" s="8"/>
      <c r="F31" s="9"/>
      <c r="G31" s="8"/>
      <c r="H31" s="81" t="s">
        <v>250</v>
      </c>
      <c r="I31" s="8"/>
      <c r="J31" s="8"/>
      <c r="K31" s="8"/>
      <c r="L31" s="8"/>
      <c r="M31" s="8"/>
      <c r="N31" s="8"/>
      <c r="O31" s="8"/>
      <c r="P31" s="9"/>
      <c r="Q31" s="8"/>
      <c r="R31" s="8"/>
      <c r="S31" s="8"/>
      <c r="T31" s="8"/>
      <c r="U31" s="8"/>
      <c r="V31" s="8"/>
      <c r="W31" s="8"/>
      <c r="X31" s="8" t="s">
        <v>650</v>
      </c>
      <c r="Y31" s="81" t="s">
        <v>33</v>
      </c>
      <c r="Z31" s="8"/>
      <c r="AA31" s="81" t="s">
        <v>343</v>
      </c>
      <c r="AB31" s="8"/>
      <c r="AC31" s="8"/>
      <c r="AD31" s="81" t="s">
        <v>358</v>
      </c>
      <c r="AE31" s="81" t="s">
        <v>8131</v>
      </c>
      <c r="AF31" s="81" t="s">
        <v>256</v>
      </c>
      <c r="AG31" s="81" t="s">
        <v>358</v>
      </c>
      <c r="AH31" s="8"/>
      <c r="AI31" s="8"/>
      <c r="AJ31" s="8"/>
      <c r="AK31" s="8"/>
      <c r="AL31" s="8"/>
      <c r="AM31" s="81" t="s">
        <v>243</v>
      </c>
      <c r="AN31" s="8"/>
      <c r="AO31" s="8"/>
      <c r="AP31" s="8"/>
      <c r="AQ31" s="8"/>
      <c r="AR31" s="9">
        <v>45791</v>
      </c>
      <c r="AS31" s="8" t="s">
        <v>8176</v>
      </c>
      <c r="AT31" s="8" t="s">
        <v>348</v>
      </c>
      <c r="AU31" s="9"/>
      <c r="AV31" s="8"/>
      <c r="AW31" s="8"/>
      <c r="AX31" s="8" t="s">
        <v>651</v>
      </c>
      <c r="AY31" s="8"/>
      <c r="AZ31" s="8"/>
      <c r="BA31" s="8"/>
      <c r="BB31" s="8"/>
      <c r="BC31" s="8"/>
      <c r="BD31" s="8"/>
      <c r="BE31" s="8"/>
      <c r="BF31" s="8"/>
      <c r="BG31" s="9"/>
      <c r="BH31" s="8"/>
      <c r="BI31" s="8"/>
      <c r="BJ31" s="9"/>
      <c r="BK31" s="9"/>
      <c r="BL31" s="8"/>
      <c r="BM31" s="8"/>
      <c r="BN31" s="8"/>
      <c r="BO31" s="8"/>
      <c r="BP31" s="8"/>
      <c r="BQ31" s="9"/>
      <c r="BR31" s="9"/>
      <c r="BS31" s="8"/>
      <c r="BT31" s="8"/>
      <c r="BU31" s="8"/>
      <c r="BV31" s="8"/>
      <c r="BW31" s="8"/>
      <c r="BX31" s="8"/>
      <c r="BY31" s="9"/>
      <c r="BZ31" s="9"/>
      <c r="CA31" s="8"/>
    </row>
    <row r="32" spans="1:79" ht="157.19999999999999" x14ac:dyDescent="0.25">
      <c r="A32" s="81" t="s">
        <v>652</v>
      </c>
      <c r="B32" s="8"/>
      <c r="C32" s="81" t="s">
        <v>26</v>
      </c>
      <c r="D32" s="8" t="s">
        <v>7804</v>
      </c>
      <c r="E32" s="8"/>
      <c r="F32" s="9">
        <v>35928</v>
      </c>
      <c r="G32" s="8" t="s">
        <v>393</v>
      </c>
      <c r="H32" s="81" t="s">
        <v>250</v>
      </c>
      <c r="I32" s="81" t="s">
        <v>27</v>
      </c>
      <c r="J32" s="81" t="s">
        <v>270</v>
      </c>
      <c r="K32" s="81" t="s">
        <v>394</v>
      </c>
      <c r="L32" s="81" t="s">
        <v>102</v>
      </c>
      <c r="M32" s="81" t="s">
        <v>8177</v>
      </c>
      <c r="N32" s="81" t="s">
        <v>119</v>
      </c>
      <c r="O32" s="81" t="s">
        <v>253</v>
      </c>
      <c r="P32" s="9"/>
      <c r="Q32" s="8"/>
      <c r="R32" s="8"/>
      <c r="S32" s="8"/>
      <c r="T32" s="8"/>
      <c r="U32" s="8"/>
      <c r="V32" s="8"/>
      <c r="W32" s="8"/>
      <c r="X32" s="8" t="s">
        <v>653</v>
      </c>
      <c r="Y32" s="81" t="s">
        <v>33</v>
      </c>
      <c r="Z32" s="8"/>
      <c r="AA32" s="81" t="s">
        <v>654</v>
      </c>
      <c r="AB32" s="8"/>
      <c r="AC32" s="8"/>
      <c r="AD32" s="81" t="s">
        <v>655</v>
      </c>
      <c r="AE32" s="81" t="s">
        <v>8178</v>
      </c>
      <c r="AF32" s="81" t="s">
        <v>242</v>
      </c>
      <c r="AG32" s="81" t="s">
        <v>655</v>
      </c>
      <c r="AH32" s="8"/>
      <c r="AI32" s="8"/>
      <c r="AJ32" s="8"/>
      <c r="AK32" s="8"/>
      <c r="AL32" s="8"/>
      <c r="AM32" s="81" t="s">
        <v>243</v>
      </c>
      <c r="AN32" s="8"/>
      <c r="AO32" s="8"/>
      <c r="AP32" s="8"/>
      <c r="AQ32" s="8"/>
      <c r="AR32" s="9">
        <v>45778</v>
      </c>
      <c r="AS32" s="8" t="s">
        <v>8179</v>
      </c>
      <c r="AT32" s="8" t="s">
        <v>348</v>
      </c>
      <c r="AU32" s="9">
        <v>45809</v>
      </c>
      <c r="AV32" s="81" t="s">
        <v>322</v>
      </c>
      <c r="AW32" s="81" t="s">
        <v>492</v>
      </c>
      <c r="AX32" s="8" t="s">
        <v>657</v>
      </c>
      <c r="AY32" s="8"/>
      <c r="AZ32" s="8" t="s">
        <v>8180</v>
      </c>
      <c r="BA32" s="81" t="s">
        <v>556</v>
      </c>
      <c r="BB32" s="8"/>
      <c r="BC32" s="8"/>
      <c r="BD32" s="8"/>
      <c r="BE32" s="81" t="s">
        <v>261</v>
      </c>
      <c r="BF32" s="8" t="s">
        <v>658</v>
      </c>
      <c r="BG32" s="9">
        <v>46783</v>
      </c>
      <c r="BH32" s="81" t="s">
        <v>305</v>
      </c>
      <c r="BI32" s="81" t="s">
        <v>559</v>
      </c>
      <c r="BJ32" s="9">
        <v>42979</v>
      </c>
      <c r="BK32" s="9">
        <v>44013</v>
      </c>
      <c r="BL32" s="81" t="s">
        <v>662</v>
      </c>
      <c r="BM32" s="8"/>
      <c r="BN32" s="8"/>
      <c r="BO32" s="8"/>
      <c r="BP32" s="8"/>
      <c r="BQ32" s="9"/>
      <c r="BR32" s="9"/>
      <c r="BS32" s="8"/>
      <c r="BT32" s="8"/>
      <c r="BU32" s="8"/>
      <c r="BV32" s="8"/>
      <c r="BW32" s="81" t="s">
        <v>492</v>
      </c>
      <c r="BX32" s="81" t="s">
        <v>337</v>
      </c>
      <c r="BY32" s="9">
        <v>44013</v>
      </c>
      <c r="BZ32" s="9">
        <v>46142</v>
      </c>
      <c r="CA32" s="8" t="s">
        <v>257</v>
      </c>
    </row>
    <row r="33" spans="1:79" ht="141.6" x14ac:dyDescent="0.25">
      <c r="A33" s="81" t="s">
        <v>664</v>
      </c>
      <c r="B33" s="8" t="s">
        <v>665</v>
      </c>
      <c r="C33" s="81" t="s">
        <v>26</v>
      </c>
      <c r="D33" s="8" t="s">
        <v>7805</v>
      </c>
      <c r="E33" s="8" t="s">
        <v>666</v>
      </c>
      <c r="F33" s="9">
        <v>34367</v>
      </c>
      <c r="G33" s="8" t="s">
        <v>667</v>
      </c>
      <c r="H33" s="81" t="s">
        <v>250</v>
      </c>
      <c r="I33" s="81" t="s">
        <v>435</v>
      </c>
      <c r="J33" s="81" t="s">
        <v>252</v>
      </c>
      <c r="K33" s="81" t="s">
        <v>668</v>
      </c>
      <c r="L33" s="81" t="s">
        <v>669</v>
      </c>
      <c r="M33" s="81" t="s">
        <v>8181</v>
      </c>
      <c r="N33" s="81" t="s">
        <v>119</v>
      </c>
      <c r="O33" s="81" t="s">
        <v>253</v>
      </c>
      <c r="P33" s="9">
        <v>43647</v>
      </c>
      <c r="Q33" s="8" t="s">
        <v>8182</v>
      </c>
      <c r="R33" s="8"/>
      <c r="S33" s="8"/>
      <c r="T33" s="8"/>
      <c r="U33" s="8"/>
      <c r="V33" s="8"/>
      <c r="W33" s="8"/>
      <c r="X33" s="8" t="s">
        <v>670</v>
      </c>
      <c r="Y33" s="81" t="s">
        <v>33</v>
      </c>
      <c r="Z33" s="8"/>
      <c r="AA33" s="81" t="s">
        <v>671</v>
      </c>
      <c r="AB33" s="8"/>
      <c r="AC33" s="8"/>
      <c r="AD33" s="81" t="s">
        <v>672</v>
      </c>
      <c r="AE33" s="81" t="s">
        <v>8183</v>
      </c>
      <c r="AF33" s="81" t="s">
        <v>242</v>
      </c>
      <c r="AG33" s="81" t="s">
        <v>672</v>
      </c>
      <c r="AH33" s="8"/>
      <c r="AI33" s="8"/>
      <c r="AJ33" s="8"/>
      <c r="AK33" s="8"/>
      <c r="AL33" s="8"/>
      <c r="AM33" s="81" t="s">
        <v>243</v>
      </c>
      <c r="AN33" s="8"/>
      <c r="AO33" s="8"/>
      <c r="AP33" s="8"/>
      <c r="AQ33" s="8"/>
      <c r="AR33" s="9">
        <v>45761</v>
      </c>
      <c r="AS33" s="8" t="s">
        <v>8179</v>
      </c>
      <c r="AT33" s="8" t="s">
        <v>257</v>
      </c>
      <c r="AU33" s="9">
        <v>45822</v>
      </c>
      <c r="AV33" s="81" t="s">
        <v>322</v>
      </c>
      <c r="AW33" s="81" t="s">
        <v>242</v>
      </c>
      <c r="AX33" s="8" t="s">
        <v>675</v>
      </c>
      <c r="AY33" s="8"/>
      <c r="AZ33" s="8" t="s">
        <v>8184</v>
      </c>
      <c r="BA33" s="81" t="s">
        <v>676</v>
      </c>
      <c r="BB33" s="81" t="s">
        <v>677</v>
      </c>
      <c r="BC33" s="81" t="s">
        <v>664</v>
      </c>
      <c r="BD33" s="8" t="s">
        <v>678</v>
      </c>
      <c r="BE33" s="81" t="s">
        <v>261</v>
      </c>
      <c r="BF33" s="8" t="s">
        <v>679</v>
      </c>
      <c r="BG33" s="9">
        <v>51620</v>
      </c>
      <c r="BH33" s="81" t="s">
        <v>87</v>
      </c>
      <c r="BI33" s="81" t="s">
        <v>681</v>
      </c>
      <c r="BJ33" s="9">
        <v>42979</v>
      </c>
      <c r="BK33" s="9">
        <v>43313</v>
      </c>
      <c r="BL33" s="81" t="s">
        <v>683</v>
      </c>
      <c r="BM33" s="81" t="s">
        <v>87</v>
      </c>
      <c r="BN33" s="8" t="s">
        <v>8185</v>
      </c>
      <c r="BO33" s="81" t="s">
        <v>684</v>
      </c>
      <c r="BP33" s="81" t="s">
        <v>8186</v>
      </c>
      <c r="BQ33" s="9">
        <v>44683</v>
      </c>
      <c r="BR33" s="9">
        <v>45473</v>
      </c>
      <c r="BS33" s="8" t="s">
        <v>8187</v>
      </c>
      <c r="BT33" s="81" t="s">
        <v>685</v>
      </c>
      <c r="BU33" s="81" t="s">
        <v>266</v>
      </c>
      <c r="BV33" s="8" t="s">
        <v>686</v>
      </c>
      <c r="BW33" s="81" t="s">
        <v>242</v>
      </c>
      <c r="BX33" s="81" t="s">
        <v>337</v>
      </c>
      <c r="BY33" s="9">
        <v>45761</v>
      </c>
      <c r="BZ33" s="9">
        <v>46125</v>
      </c>
      <c r="CA33" s="8" t="s">
        <v>245</v>
      </c>
    </row>
    <row r="34" spans="1:79" ht="157.19999999999999" x14ac:dyDescent="0.25">
      <c r="A34" s="81" t="s">
        <v>688</v>
      </c>
      <c r="B34" s="8"/>
      <c r="C34" s="81" t="s">
        <v>352</v>
      </c>
      <c r="D34" s="8" t="s">
        <v>7806</v>
      </c>
      <c r="E34" s="8" t="s">
        <v>689</v>
      </c>
      <c r="F34" s="9">
        <v>36027</v>
      </c>
      <c r="G34" s="8" t="s">
        <v>393</v>
      </c>
      <c r="H34" s="81" t="s">
        <v>250</v>
      </c>
      <c r="I34" s="81" t="s">
        <v>27</v>
      </c>
      <c r="J34" s="81" t="s">
        <v>252</v>
      </c>
      <c r="K34" s="81" t="s">
        <v>690</v>
      </c>
      <c r="L34" s="81" t="s">
        <v>102</v>
      </c>
      <c r="M34" s="81" t="s">
        <v>691</v>
      </c>
      <c r="N34" s="81" t="s">
        <v>119</v>
      </c>
      <c r="O34" s="81" t="s">
        <v>253</v>
      </c>
      <c r="P34" s="9"/>
      <c r="Q34" s="8"/>
      <c r="R34" s="8"/>
      <c r="S34" s="8"/>
      <c r="T34" s="81" t="s">
        <v>8141</v>
      </c>
      <c r="U34" s="81" t="s">
        <v>8188</v>
      </c>
      <c r="V34" s="8"/>
      <c r="W34" s="8"/>
      <c r="X34" s="8" t="s">
        <v>693</v>
      </c>
      <c r="Y34" s="81" t="s">
        <v>33</v>
      </c>
      <c r="Z34" s="8"/>
      <c r="AA34" s="81" t="s">
        <v>240</v>
      </c>
      <c r="AB34" s="8"/>
      <c r="AC34" s="8"/>
      <c r="AD34" s="81" t="s">
        <v>655</v>
      </c>
      <c r="AE34" s="81" t="s">
        <v>8178</v>
      </c>
      <c r="AF34" s="81" t="s">
        <v>242</v>
      </c>
      <c r="AG34" s="81" t="s">
        <v>655</v>
      </c>
      <c r="AH34" s="8"/>
      <c r="AI34" s="8"/>
      <c r="AJ34" s="8"/>
      <c r="AK34" s="8"/>
      <c r="AL34" s="8"/>
      <c r="AM34" s="81" t="s">
        <v>243</v>
      </c>
      <c r="AN34" s="8"/>
      <c r="AO34" s="8"/>
      <c r="AP34" s="8"/>
      <c r="AQ34" s="8"/>
      <c r="AR34" s="9">
        <v>45757</v>
      </c>
      <c r="AS34" s="8" t="s">
        <v>8189</v>
      </c>
      <c r="AT34" s="8" t="s">
        <v>257</v>
      </c>
      <c r="AU34" s="9">
        <v>45818</v>
      </c>
      <c r="AV34" s="81" t="s">
        <v>322</v>
      </c>
      <c r="AW34" s="81" t="s">
        <v>242</v>
      </c>
      <c r="AX34" s="8" t="s">
        <v>696</v>
      </c>
      <c r="AY34" s="8"/>
      <c r="AZ34" s="8" t="s">
        <v>8190</v>
      </c>
      <c r="BA34" s="81" t="s">
        <v>399</v>
      </c>
      <c r="BB34" s="81" t="s">
        <v>697</v>
      </c>
      <c r="BC34" s="81" t="s">
        <v>688</v>
      </c>
      <c r="BD34" s="8" t="s">
        <v>698</v>
      </c>
      <c r="BE34" s="81" t="s">
        <v>261</v>
      </c>
      <c r="BF34" s="8" t="s">
        <v>699</v>
      </c>
      <c r="BG34" s="9">
        <v>53061</v>
      </c>
      <c r="BH34" s="81" t="s">
        <v>87</v>
      </c>
      <c r="BI34" s="81" t="s">
        <v>426</v>
      </c>
      <c r="BJ34" s="9">
        <v>44806</v>
      </c>
      <c r="BK34" s="9">
        <v>45749</v>
      </c>
      <c r="BL34" s="81" t="s">
        <v>438</v>
      </c>
      <c r="BM34" s="81" t="s">
        <v>87</v>
      </c>
      <c r="BN34" s="8"/>
      <c r="BO34" s="8"/>
      <c r="BP34" s="8"/>
      <c r="BQ34" s="9"/>
      <c r="BR34" s="9"/>
      <c r="BS34" s="8"/>
      <c r="BT34" s="81" t="s">
        <v>701</v>
      </c>
      <c r="BU34" s="81" t="s">
        <v>702</v>
      </c>
      <c r="BV34" s="8" t="s">
        <v>703</v>
      </c>
      <c r="BW34" s="81" t="s">
        <v>242</v>
      </c>
      <c r="BX34" s="81" t="s">
        <v>337</v>
      </c>
      <c r="BY34" s="9">
        <v>45757</v>
      </c>
      <c r="BZ34" s="9">
        <v>46121</v>
      </c>
      <c r="CA34" s="8" t="s">
        <v>245</v>
      </c>
    </row>
    <row r="35" spans="1:79" ht="157.80000000000001" x14ac:dyDescent="0.25">
      <c r="A35" s="81" t="s">
        <v>705</v>
      </c>
      <c r="B35" s="8"/>
      <c r="C35" s="81" t="s">
        <v>26</v>
      </c>
      <c r="D35" s="8" t="s">
        <v>7807</v>
      </c>
      <c r="E35" s="8"/>
      <c r="F35" s="9">
        <v>35504</v>
      </c>
      <c r="G35" s="8" t="s">
        <v>529</v>
      </c>
      <c r="H35" s="81" t="s">
        <v>250</v>
      </c>
      <c r="I35" s="81" t="s">
        <v>27</v>
      </c>
      <c r="J35" s="81" t="s">
        <v>293</v>
      </c>
      <c r="K35" s="81" t="s">
        <v>294</v>
      </c>
      <c r="L35" s="81" t="s">
        <v>102</v>
      </c>
      <c r="M35" s="81" t="s">
        <v>8191</v>
      </c>
      <c r="N35" s="81" t="s">
        <v>119</v>
      </c>
      <c r="O35" s="81" t="s">
        <v>29</v>
      </c>
      <c r="P35" s="9"/>
      <c r="Q35" s="8"/>
      <c r="R35" s="8"/>
      <c r="S35" s="8"/>
      <c r="T35" s="8"/>
      <c r="U35" s="8"/>
      <c r="V35" s="81" t="s">
        <v>8141</v>
      </c>
      <c r="W35" s="81" t="s">
        <v>706</v>
      </c>
      <c r="X35" s="8" t="s">
        <v>707</v>
      </c>
      <c r="Y35" s="81" t="s">
        <v>33</v>
      </c>
      <c r="Z35" s="8"/>
      <c r="AA35" s="81" t="s">
        <v>708</v>
      </c>
      <c r="AB35" s="8"/>
      <c r="AC35" s="8"/>
      <c r="AD35" s="81" t="s">
        <v>709</v>
      </c>
      <c r="AE35" s="81" t="s">
        <v>8192</v>
      </c>
      <c r="AF35" s="81" t="s">
        <v>242</v>
      </c>
      <c r="AG35" s="81" t="s">
        <v>298</v>
      </c>
      <c r="AH35" s="81" t="s">
        <v>709</v>
      </c>
      <c r="AI35" s="8"/>
      <c r="AJ35" s="8"/>
      <c r="AK35" s="8"/>
      <c r="AL35" s="8"/>
      <c r="AM35" s="81" t="s">
        <v>243</v>
      </c>
      <c r="AN35" s="8"/>
      <c r="AO35" s="8"/>
      <c r="AP35" s="8"/>
      <c r="AQ35" s="8"/>
      <c r="AR35" s="9">
        <v>45740</v>
      </c>
      <c r="AS35" s="8" t="s">
        <v>8189</v>
      </c>
      <c r="AT35" s="8" t="s">
        <v>257</v>
      </c>
      <c r="AU35" s="9">
        <v>45801</v>
      </c>
      <c r="AV35" s="81" t="s">
        <v>322</v>
      </c>
      <c r="AW35" s="81" t="s">
        <v>242</v>
      </c>
      <c r="AX35" s="8" t="s">
        <v>711</v>
      </c>
      <c r="AY35" s="8"/>
      <c r="AZ35" s="8" t="s">
        <v>8190</v>
      </c>
      <c r="BA35" s="81" t="s">
        <v>556</v>
      </c>
      <c r="BB35" s="8"/>
      <c r="BC35" s="8"/>
      <c r="BD35" s="8"/>
      <c r="BE35" s="81" t="s">
        <v>261</v>
      </c>
      <c r="BF35" s="8" t="s">
        <v>712</v>
      </c>
      <c r="BG35" s="9"/>
      <c r="BH35" s="81" t="s">
        <v>713</v>
      </c>
      <c r="BI35" s="81" t="s">
        <v>714</v>
      </c>
      <c r="BJ35" s="9">
        <v>41518</v>
      </c>
      <c r="BK35" s="9">
        <v>42552</v>
      </c>
      <c r="BL35" s="81" t="s">
        <v>717</v>
      </c>
      <c r="BM35" s="8"/>
      <c r="BN35" s="8"/>
      <c r="BO35" s="8"/>
      <c r="BP35" s="8"/>
      <c r="BQ35" s="9"/>
      <c r="BR35" s="9"/>
      <c r="BS35" s="8"/>
      <c r="BT35" s="8"/>
      <c r="BU35" s="8"/>
      <c r="BV35" s="8"/>
      <c r="BW35" s="81" t="s">
        <v>242</v>
      </c>
      <c r="BX35" s="81" t="s">
        <v>337</v>
      </c>
      <c r="BY35" s="9">
        <v>45740</v>
      </c>
      <c r="BZ35" s="9">
        <v>46104</v>
      </c>
      <c r="CA35" s="8" t="s">
        <v>245</v>
      </c>
    </row>
    <row r="36" spans="1:79" ht="141.6" x14ac:dyDescent="0.25">
      <c r="A36" s="81" t="s">
        <v>719</v>
      </c>
      <c r="B36" s="8"/>
      <c r="C36" s="81" t="s">
        <v>26</v>
      </c>
      <c r="D36" s="8" t="s">
        <v>7808</v>
      </c>
      <c r="E36" s="8" t="s">
        <v>720</v>
      </c>
      <c r="F36" s="9">
        <v>35433</v>
      </c>
      <c r="G36" s="8" t="s">
        <v>529</v>
      </c>
      <c r="H36" s="81" t="s">
        <v>250</v>
      </c>
      <c r="I36" s="81" t="s">
        <v>27</v>
      </c>
      <c r="J36" s="81" t="s">
        <v>474</v>
      </c>
      <c r="K36" s="81" t="s">
        <v>488</v>
      </c>
      <c r="L36" s="81" t="s">
        <v>102</v>
      </c>
      <c r="M36" s="81" t="s">
        <v>721</v>
      </c>
      <c r="N36" s="81" t="s">
        <v>272</v>
      </c>
      <c r="O36" s="81" t="s">
        <v>253</v>
      </c>
      <c r="P36" s="9">
        <v>43663</v>
      </c>
      <c r="Q36" s="8" t="s">
        <v>8193</v>
      </c>
      <c r="R36" s="8"/>
      <c r="S36" s="8"/>
      <c r="T36" s="8"/>
      <c r="U36" s="8"/>
      <c r="V36" s="8"/>
      <c r="W36" s="8"/>
      <c r="X36" s="8" t="s">
        <v>722</v>
      </c>
      <c r="Y36" s="81" t="s">
        <v>33</v>
      </c>
      <c r="Z36" s="8"/>
      <c r="AA36" s="81" t="s">
        <v>723</v>
      </c>
      <c r="AB36" s="8"/>
      <c r="AC36" s="8"/>
      <c r="AD36" s="81" t="s">
        <v>553</v>
      </c>
      <c r="AE36" s="81" t="s">
        <v>8194</v>
      </c>
      <c r="AF36" s="81" t="s">
        <v>492</v>
      </c>
      <c r="AG36" s="81" t="s">
        <v>553</v>
      </c>
      <c r="AH36" s="8"/>
      <c r="AI36" s="8"/>
      <c r="AJ36" s="8"/>
      <c r="AK36" s="8"/>
      <c r="AL36" s="8"/>
      <c r="AM36" s="81" t="s">
        <v>243</v>
      </c>
      <c r="AN36" s="8"/>
      <c r="AO36" s="8"/>
      <c r="AP36" s="8"/>
      <c r="AQ36" s="8"/>
      <c r="AR36" s="9">
        <v>45740</v>
      </c>
      <c r="AS36" s="8" t="s">
        <v>8189</v>
      </c>
      <c r="AT36" s="8" t="s">
        <v>257</v>
      </c>
      <c r="AU36" s="9">
        <v>45801</v>
      </c>
      <c r="AV36" s="81" t="s">
        <v>322</v>
      </c>
      <c r="AW36" s="81" t="s">
        <v>492</v>
      </c>
      <c r="AX36" s="8" t="s">
        <v>724</v>
      </c>
      <c r="AY36" s="8"/>
      <c r="AZ36" s="8" t="s">
        <v>8158</v>
      </c>
      <c r="BA36" s="81" t="s">
        <v>399</v>
      </c>
      <c r="BB36" s="81" t="s">
        <v>725</v>
      </c>
      <c r="BC36" s="81" t="s">
        <v>719</v>
      </c>
      <c r="BD36" s="8" t="s">
        <v>726</v>
      </c>
      <c r="BE36" s="81" t="s">
        <v>261</v>
      </c>
      <c r="BF36" s="8" t="s">
        <v>727</v>
      </c>
      <c r="BG36" s="9">
        <v>46215</v>
      </c>
      <c r="BH36" s="81" t="s">
        <v>81</v>
      </c>
      <c r="BI36" s="81" t="s">
        <v>729</v>
      </c>
      <c r="BJ36" s="9">
        <v>42268</v>
      </c>
      <c r="BK36" s="9">
        <v>43636</v>
      </c>
      <c r="BL36" s="81" t="s">
        <v>405</v>
      </c>
      <c r="BM36" s="81" t="s">
        <v>82</v>
      </c>
      <c r="BN36" s="81" t="s">
        <v>731</v>
      </c>
      <c r="BO36" s="81" t="s">
        <v>732</v>
      </c>
      <c r="BP36" s="81" t="s">
        <v>733</v>
      </c>
      <c r="BQ36" s="9">
        <v>43664</v>
      </c>
      <c r="BR36" s="9">
        <v>45741</v>
      </c>
      <c r="BS36" s="81" t="s">
        <v>735</v>
      </c>
      <c r="BT36" s="81" t="s">
        <v>736</v>
      </c>
      <c r="BU36" s="81" t="s">
        <v>266</v>
      </c>
      <c r="BV36" s="8" t="s">
        <v>737</v>
      </c>
      <c r="BW36" s="81" t="s">
        <v>492</v>
      </c>
      <c r="BX36" s="81" t="s">
        <v>337</v>
      </c>
      <c r="BY36" s="9">
        <v>45740</v>
      </c>
      <c r="BZ36" s="9">
        <v>46104</v>
      </c>
      <c r="CA36" s="8" t="s">
        <v>245</v>
      </c>
    </row>
    <row r="37" spans="1:79" ht="157.19999999999999" x14ac:dyDescent="0.25">
      <c r="A37" s="81" t="s">
        <v>738</v>
      </c>
      <c r="B37" s="8"/>
      <c r="C37" s="81" t="s">
        <v>26</v>
      </c>
      <c r="D37" s="8" t="s">
        <v>7809</v>
      </c>
      <c r="E37" s="8" t="s">
        <v>739</v>
      </c>
      <c r="F37" s="9">
        <v>34851</v>
      </c>
      <c r="G37" s="8" t="s">
        <v>741</v>
      </c>
      <c r="H37" s="81" t="s">
        <v>250</v>
      </c>
      <c r="I37" s="81" t="s">
        <v>27</v>
      </c>
      <c r="J37" s="81" t="s">
        <v>270</v>
      </c>
      <c r="K37" s="81" t="s">
        <v>742</v>
      </c>
      <c r="L37" s="81" t="s">
        <v>743</v>
      </c>
      <c r="M37" s="81" t="s">
        <v>744</v>
      </c>
      <c r="N37" s="81" t="s">
        <v>119</v>
      </c>
      <c r="O37" s="81" t="s">
        <v>29</v>
      </c>
      <c r="P37" s="9">
        <v>44382</v>
      </c>
      <c r="Q37" s="8" t="s">
        <v>8195</v>
      </c>
      <c r="R37" s="8"/>
      <c r="S37" s="8"/>
      <c r="T37" s="8"/>
      <c r="U37" s="8"/>
      <c r="V37" s="8"/>
      <c r="W37" s="8"/>
      <c r="X37" s="8" t="s">
        <v>745</v>
      </c>
      <c r="Y37" s="81" t="s">
        <v>33</v>
      </c>
      <c r="Z37" s="8"/>
      <c r="AA37" s="81" t="s">
        <v>240</v>
      </c>
      <c r="AB37" s="8"/>
      <c r="AC37" s="8"/>
      <c r="AD37" s="81" t="s">
        <v>655</v>
      </c>
      <c r="AE37" s="81" t="s">
        <v>8178</v>
      </c>
      <c r="AF37" s="81" t="s">
        <v>242</v>
      </c>
      <c r="AG37" s="81" t="s">
        <v>655</v>
      </c>
      <c r="AH37" s="8"/>
      <c r="AI37" s="8"/>
      <c r="AJ37" s="8"/>
      <c r="AK37" s="8"/>
      <c r="AL37" s="8"/>
      <c r="AM37" s="81" t="s">
        <v>243</v>
      </c>
      <c r="AN37" s="8"/>
      <c r="AO37" s="8"/>
      <c r="AP37" s="8"/>
      <c r="AQ37" s="8"/>
      <c r="AR37" s="9">
        <v>45735</v>
      </c>
      <c r="AS37" s="8" t="s">
        <v>8189</v>
      </c>
      <c r="AT37" s="8" t="s">
        <v>257</v>
      </c>
      <c r="AU37" s="9">
        <v>45796</v>
      </c>
      <c r="AV37" s="81" t="s">
        <v>322</v>
      </c>
      <c r="AW37" s="81" t="s">
        <v>242</v>
      </c>
      <c r="AX37" s="8" t="s">
        <v>747</v>
      </c>
      <c r="AY37" s="8"/>
      <c r="AZ37" s="8" t="s">
        <v>8196</v>
      </c>
      <c r="BA37" s="81" t="s">
        <v>399</v>
      </c>
      <c r="BB37" s="81" t="s">
        <v>748</v>
      </c>
      <c r="BC37" s="81" t="s">
        <v>738</v>
      </c>
      <c r="BD37" s="8" t="s">
        <v>749</v>
      </c>
      <c r="BE37" s="81" t="s">
        <v>261</v>
      </c>
      <c r="BF37" s="8" t="s">
        <v>750</v>
      </c>
      <c r="BG37" s="9">
        <v>51706</v>
      </c>
      <c r="BH37" s="81" t="s">
        <v>87</v>
      </c>
      <c r="BI37" s="81" t="s">
        <v>752</v>
      </c>
      <c r="BJ37" s="9">
        <v>43344</v>
      </c>
      <c r="BK37" s="9">
        <v>44376</v>
      </c>
      <c r="BL37" s="81" t="s">
        <v>754</v>
      </c>
      <c r="BM37" s="81" t="s">
        <v>87</v>
      </c>
      <c r="BN37" s="81" t="s">
        <v>755</v>
      </c>
      <c r="BO37" s="81" t="s">
        <v>8197</v>
      </c>
      <c r="BP37" s="81" t="s">
        <v>756</v>
      </c>
      <c r="BQ37" s="9">
        <v>45174</v>
      </c>
      <c r="BR37" s="9">
        <v>45681</v>
      </c>
      <c r="BS37" s="81" t="s">
        <v>8198</v>
      </c>
      <c r="BT37" s="81" t="s">
        <v>757</v>
      </c>
      <c r="BU37" s="81" t="s">
        <v>702</v>
      </c>
      <c r="BV37" s="8" t="s">
        <v>758</v>
      </c>
      <c r="BW37" s="81" t="s">
        <v>242</v>
      </c>
      <c r="BX37" s="81" t="s">
        <v>337</v>
      </c>
      <c r="BY37" s="9">
        <v>45735</v>
      </c>
      <c r="BZ37" s="9">
        <v>46099</v>
      </c>
      <c r="CA37" s="8" t="s">
        <v>245</v>
      </c>
    </row>
    <row r="38" spans="1:79" ht="78.599999999999994" x14ac:dyDescent="0.25">
      <c r="A38" s="81" t="s">
        <v>760</v>
      </c>
      <c r="B38" s="8"/>
      <c r="C38" s="81" t="s">
        <v>237</v>
      </c>
      <c r="D38" s="8" t="s">
        <v>7810</v>
      </c>
      <c r="E38" s="8"/>
      <c r="F38" s="9"/>
      <c r="G38" s="8"/>
      <c r="H38" s="81" t="s">
        <v>250</v>
      </c>
      <c r="I38" s="8"/>
      <c r="J38" s="8"/>
      <c r="K38" s="8"/>
      <c r="L38" s="8"/>
      <c r="M38" s="8"/>
      <c r="N38" s="8"/>
      <c r="O38" s="8"/>
      <c r="P38" s="9"/>
      <c r="Q38" s="8"/>
      <c r="R38" s="8"/>
      <c r="S38" s="8"/>
      <c r="T38" s="8"/>
      <c r="U38" s="8"/>
      <c r="V38" s="8"/>
      <c r="W38" s="8"/>
      <c r="X38" s="8"/>
      <c r="Y38" s="81" t="s">
        <v>33</v>
      </c>
      <c r="Z38" s="8"/>
      <c r="AA38" s="8"/>
      <c r="AB38" s="8"/>
      <c r="AC38" s="8"/>
      <c r="AD38" s="81" t="s">
        <v>761</v>
      </c>
      <c r="AE38" s="81" t="s">
        <v>8199</v>
      </c>
      <c r="AF38" s="81" t="s">
        <v>761</v>
      </c>
      <c r="AG38" s="8"/>
      <c r="AH38" s="8"/>
      <c r="AI38" s="8"/>
      <c r="AJ38" s="8"/>
      <c r="AK38" s="8"/>
      <c r="AL38" s="8"/>
      <c r="AM38" s="81" t="s">
        <v>762</v>
      </c>
      <c r="AN38" s="8"/>
      <c r="AO38" s="8"/>
      <c r="AP38" s="8"/>
      <c r="AQ38" s="8"/>
      <c r="AR38" s="9">
        <v>45698</v>
      </c>
      <c r="AS38" s="8" t="s">
        <v>8200</v>
      </c>
      <c r="AT38" s="8" t="s">
        <v>348</v>
      </c>
      <c r="AU38" s="9"/>
      <c r="AV38" s="81" t="s">
        <v>349</v>
      </c>
      <c r="AW38" s="8"/>
      <c r="AX38" s="8" t="s">
        <v>763</v>
      </c>
      <c r="AY38" s="8"/>
      <c r="AZ38" s="8"/>
      <c r="BA38" s="8"/>
      <c r="BB38" s="8"/>
      <c r="BC38" s="8"/>
      <c r="BD38" s="8"/>
      <c r="BE38" s="8"/>
      <c r="BF38" s="8"/>
      <c r="BG38" s="9"/>
      <c r="BH38" s="8"/>
      <c r="BI38" s="8"/>
      <c r="BJ38" s="9"/>
      <c r="BK38" s="9"/>
      <c r="BL38" s="8"/>
      <c r="BM38" s="8"/>
      <c r="BN38" s="8"/>
      <c r="BO38" s="8"/>
      <c r="BP38" s="8"/>
      <c r="BQ38" s="9"/>
      <c r="BR38" s="9"/>
      <c r="BS38" s="8"/>
      <c r="BT38" s="8"/>
      <c r="BU38" s="8"/>
      <c r="BV38" s="8"/>
      <c r="BW38" s="8"/>
      <c r="BX38" s="8"/>
      <c r="BY38" s="9"/>
      <c r="BZ38" s="9"/>
      <c r="CA38" s="8"/>
    </row>
    <row r="39" spans="1:79" ht="78.599999999999994" x14ac:dyDescent="0.25">
      <c r="A39" s="81" t="s">
        <v>764</v>
      </c>
      <c r="B39" s="8"/>
      <c r="C39" s="81" t="s">
        <v>237</v>
      </c>
      <c r="D39" s="8" t="s">
        <v>7811</v>
      </c>
      <c r="E39" s="8"/>
      <c r="F39" s="9"/>
      <c r="G39" s="8"/>
      <c r="H39" s="81" t="s">
        <v>250</v>
      </c>
      <c r="I39" s="8"/>
      <c r="J39" s="8"/>
      <c r="K39" s="8"/>
      <c r="L39" s="8"/>
      <c r="M39" s="8"/>
      <c r="N39" s="8"/>
      <c r="O39" s="8"/>
      <c r="P39" s="9"/>
      <c r="Q39" s="8"/>
      <c r="R39" s="8"/>
      <c r="S39" s="8"/>
      <c r="T39" s="8"/>
      <c r="U39" s="8"/>
      <c r="V39" s="8"/>
      <c r="W39" s="8"/>
      <c r="X39" s="8"/>
      <c r="Y39" s="81" t="s">
        <v>33</v>
      </c>
      <c r="Z39" s="8"/>
      <c r="AA39" s="8"/>
      <c r="AB39" s="8"/>
      <c r="AC39" s="8"/>
      <c r="AD39" s="81" t="s">
        <v>761</v>
      </c>
      <c r="AE39" s="81" t="s">
        <v>8199</v>
      </c>
      <c r="AF39" s="81" t="s">
        <v>761</v>
      </c>
      <c r="AG39" s="8"/>
      <c r="AH39" s="8"/>
      <c r="AI39" s="8"/>
      <c r="AJ39" s="8"/>
      <c r="AK39" s="8"/>
      <c r="AL39" s="8"/>
      <c r="AM39" s="81" t="s">
        <v>762</v>
      </c>
      <c r="AN39" s="8"/>
      <c r="AO39" s="8"/>
      <c r="AP39" s="8"/>
      <c r="AQ39" s="8"/>
      <c r="AR39" s="9">
        <v>45698</v>
      </c>
      <c r="AS39" s="8" t="s">
        <v>8200</v>
      </c>
      <c r="AT39" s="8" t="s">
        <v>348</v>
      </c>
      <c r="AU39" s="9"/>
      <c r="AV39" s="81" t="s">
        <v>349</v>
      </c>
      <c r="AW39" s="8"/>
      <c r="AX39" s="8" t="s">
        <v>765</v>
      </c>
      <c r="AY39" s="8"/>
      <c r="AZ39" s="8"/>
      <c r="BA39" s="8"/>
      <c r="BB39" s="8"/>
      <c r="BC39" s="8"/>
      <c r="BD39" s="8"/>
      <c r="BE39" s="8"/>
      <c r="BF39" s="8"/>
      <c r="BG39" s="9"/>
      <c r="BH39" s="8"/>
      <c r="BI39" s="8"/>
      <c r="BJ39" s="9"/>
      <c r="BK39" s="9"/>
      <c r="BL39" s="8"/>
      <c r="BM39" s="8"/>
      <c r="BN39" s="8"/>
      <c r="BO39" s="8"/>
      <c r="BP39" s="8"/>
      <c r="BQ39" s="9"/>
      <c r="BR39" s="9"/>
      <c r="BS39" s="8"/>
      <c r="BT39" s="8"/>
      <c r="BU39" s="8"/>
      <c r="BV39" s="8"/>
      <c r="BW39" s="8"/>
      <c r="BX39" s="8"/>
      <c r="BY39" s="9"/>
      <c r="BZ39" s="9"/>
      <c r="CA39" s="8"/>
    </row>
    <row r="40" spans="1:79" ht="78.599999999999994" x14ac:dyDescent="0.25">
      <c r="A40" s="81" t="s">
        <v>766</v>
      </c>
      <c r="B40" s="8"/>
      <c r="C40" s="81" t="s">
        <v>237</v>
      </c>
      <c r="D40" s="8" t="s">
        <v>7812</v>
      </c>
      <c r="E40" s="8"/>
      <c r="F40" s="9"/>
      <c r="G40" s="8"/>
      <c r="H40" s="81" t="s">
        <v>250</v>
      </c>
      <c r="I40" s="8"/>
      <c r="J40" s="8"/>
      <c r="K40" s="8"/>
      <c r="L40" s="8"/>
      <c r="M40" s="8"/>
      <c r="N40" s="8"/>
      <c r="O40" s="8"/>
      <c r="P40" s="9"/>
      <c r="Q40" s="8"/>
      <c r="R40" s="8"/>
      <c r="S40" s="8"/>
      <c r="T40" s="8"/>
      <c r="U40" s="8"/>
      <c r="V40" s="8"/>
      <c r="W40" s="8"/>
      <c r="X40" s="8"/>
      <c r="Y40" s="81" t="s">
        <v>33</v>
      </c>
      <c r="Z40" s="8"/>
      <c r="AA40" s="8"/>
      <c r="AB40" s="8"/>
      <c r="AC40" s="8"/>
      <c r="AD40" s="81" t="s">
        <v>761</v>
      </c>
      <c r="AE40" s="81" t="s">
        <v>8199</v>
      </c>
      <c r="AF40" s="81" t="s">
        <v>761</v>
      </c>
      <c r="AG40" s="8"/>
      <c r="AH40" s="8"/>
      <c r="AI40" s="8"/>
      <c r="AJ40" s="8"/>
      <c r="AK40" s="8"/>
      <c r="AL40" s="8"/>
      <c r="AM40" s="81" t="s">
        <v>762</v>
      </c>
      <c r="AN40" s="8"/>
      <c r="AO40" s="8"/>
      <c r="AP40" s="8"/>
      <c r="AQ40" s="8"/>
      <c r="AR40" s="9">
        <v>45698</v>
      </c>
      <c r="AS40" s="8" t="s">
        <v>8200</v>
      </c>
      <c r="AT40" s="8" t="s">
        <v>348</v>
      </c>
      <c r="AU40" s="9"/>
      <c r="AV40" s="81" t="s">
        <v>349</v>
      </c>
      <c r="AW40" s="8"/>
      <c r="AX40" s="8" t="s">
        <v>767</v>
      </c>
      <c r="AY40" s="8"/>
      <c r="AZ40" s="8"/>
      <c r="BA40" s="8"/>
      <c r="BB40" s="8"/>
      <c r="BC40" s="8"/>
      <c r="BD40" s="8"/>
      <c r="BE40" s="8"/>
      <c r="BF40" s="8"/>
      <c r="BG40" s="9"/>
      <c r="BH40" s="8"/>
      <c r="BI40" s="8"/>
      <c r="BJ40" s="9"/>
      <c r="BK40" s="9"/>
      <c r="BL40" s="8"/>
      <c r="BM40" s="8"/>
      <c r="BN40" s="8"/>
      <c r="BO40" s="8"/>
      <c r="BP40" s="8"/>
      <c r="BQ40" s="9"/>
      <c r="BR40" s="9"/>
      <c r="BS40" s="8"/>
      <c r="BT40" s="8"/>
      <c r="BU40" s="8"/>
      <c r="BV40" s="8"/>
      <c r="BW40" s="8"/>
      <c r="BX40" s="8"/>
      <c r="BY40" s="9"/>
      <c r="BZ40" s="9"/>
      <c r="CA40" s="8"/>
    </row>
    <row r="41" spans="1:79" ht="78.599999999999994" x14ac:dyDescent="0.25">
      <c r="A41" s="81" t="s">
        <v>768</v>
      </c>
      <c r="B41" s="8"/>
      <c r="C41" s="81" t="s">
        <v>237</v>
      </c>
      <c r="D41" s="8" t="s">
        <v>7813</v>
      </c>
      <c r="E41" s="8"/>
      <c r="F41" s="9"/>
      <c r="G41" s="8"/>
      <c r="H41" s="81" t="s">
        <v>250</v>
      </c>
      <c r="I41" s="8"/>
      <c r="J41" s="8"/>
      <c r="K41" s="8"/>
      <c r="L41" s="8"/>
      <c r="M41" s="8"/>
      <c r="N41" s="8"/>
      <c r="O41" s="8"/>
      <c r="P41" s="9"/>
      <c r="Q41" s="8"/>
      <c r="R41" s="8"/>
      <c r="S41" s="8"/>
      <c r="T41" s="8"/>
      <c r="U41" s="8"/>
      <c r="V41" s="8"/>
      <c r="W41" s="8"/>
      <c r="X41" s="8"/>
      <c r="Y41" s="81" t="s">
        <v>33</v>
      </c>
      <c r="Z41" s="8"/>
      <c r="AA41" s="8"/>
      <c r="AB41" s="8"/>
      <c r="AC41" s="8"/>
      <c r="AD41" s="81" t="s">
        <v>761</v>
      </c>
      <c r="AE41" s="81" t="s">
        <v>8199</v>
      </c>
      <c r="AF41" s="81" t="s">
        <v>761</v>
      </c>
      <c r="AG41" s="8"/>
      <c r="AH41" s="8"/>
      <c r="AI41" s="8"/>
      <c r="AJ41" s="8"/>
      <c r="AK41" s="8"/>
      <c r="AL41" s="8"/>
      <c r="AM41" s="81" t="s">
        <v>762</v>
      </c>
      <c r="AN41" s="8"/>
      <c r="AO41" s="8"/>
      <c r="AP41" s="8"/>
      <c r="AQ41" s="8"/>
      <c r="AR41" s="9">
        <v>45698</v>
      </c>
      <c r="AS41" s="8" t="s">
        <v>8200</v>
      </c>
      <c r="AT41" s="8" t="s">
        <v>348</v>
      </c>
      <c r="AU41" s="9"/>
      <c r="AV41" s="81" t="s">
        <v>349</v>
      </c>
      <c r="AW41" s="8"/>
      <c r="AX41" s="8" t="s">
        <v>769</v>
      </c>
      <c r="AY41" s="8"/>
      <c r="AZ41" s="8"/>
      <c r="BA41" s="8"/>
      <c r="BB41" s="8"/>
      <c r="BC41" s="8"/>
      <c r="BD41" s="8"/>
      <c r="BE41" s="8"/>
      <c r="BF41" s="8"/>
      <c r="BG41" s="9"/>
      <c r="BH41" s="8"/>
      <c r="BI41" s="8"/>
      <c r="BJ41" s="9"/>
      <c r="BK41" s="9"/>
      <c r="BL41" s="8"/>
      <c r="BM41" s="8"/>
      <c r="BN41" s="8"/>
      <c r="BO41" s="8"/>
      <c r="BP41" s="8"/>
      <c r="BQ41" s="9"/>
      <c r="BR41" s="9"/>
      <c r="BS41" s="8"/>
      <c r="BT41" s="8"/>
      <c r="BU41" s="8"/>
      <c r="BV41" s="8"/>
      <c r="BW41" s="8"/>
      <c r="BX41" s="8"/>
      <c r="BY41" s="9"/>
      <c r="BZ41" s="9"/>
      <c r="CA41" s="8"/>
    </row>
    <row r="42" spans="1:79" ht="78.599999999999994" x14ac:dyDescent="0.25">
      <c r="A42" s="81" t="s">
        <v>770</v>
      </c>
      <c r="B42" s="8"/>
      <c r="C42" s="81" t="s">
        <v>237</v>
      </c>
      <c r="D42" s="8" t="s">
        <v>7814</v>
      </c>
      <c r="E42" s="8"/>
      <c r="F42" s="9"/>
      <c r="G42" s="8"/>
      <c r="H42" s="81" t="s">
        <v>250</v>
      </c>
      <c r="I42" s="8"/>
      <c r="J42" s="8"/>
      <c r="K42" s="8"/>
      <c r="L42" s="8"/>
      <c r="M42" s="8"/>
      <c r="N42" s="8"/>
      <c r="O42" s="8"/>
      <c r="P42" s="9"/>
      <c r="Q42" s="8"/>
      <c r="R42" s="8"/>
      <c r="S42" s="8"/>
      <c r="T42" s="8"/>
      <c r="U42" s="8"/>
      <c r="V42" s="8"/>
      <c r="W42" s="8"/>
      <c r="X42" s="8"/>
      <c r="Y42" s="81" t="s">
        <v>33</v>
      </c>
      <c r="Z42" s="8"/>
      <c r="AA42" s="8"/>
      <c r="AB42" s="8"/>
      <c r="AC42" s="8"/>
      <c r="AD42" s="81" t="s">
        <v>761</v>
      </c>
      <c r="AE42" s="81" t="s">
        <v>8199</v>
      </c>
      <c r="AF42" s="81" t="s">
        <v>761</v>
      </c>
      <c r="AG42" s="8"/>
      <c r="AH42" s="8"/>
      <c r="AI42" s="8"/>
      <c r="AJ42" s="8"/>
      <c r="AK42" s="8"/>
      <c r="AL42" s="8"/>
      <c r="AM42" s="81" t="s">
        <v>762</v>
      </c>
      <c r="AN42" s="8"/>
      <c r="AO42" s="8"/>
      <c r="AP42" s="8"/>
      <c r="AQ42" s="8"/>
      <c r="AR42" s="9">
        <v>45698</v>
      </c>
      <c r="AS42" s="8" t="s">
        <v>8200</v>
      </c>
      <c r="AT42" s="8" t="s">
        <v>348</v>
      </c>
      <c r="AU42" s="9"/>
      <c r="AV42" s="81" t="s">
        <v>349</v>
      </c>
      <c r="AW42" s="8"/>
      <c r="AX42" s="8" t="s">
        <v>771</v>
      </c>
      <c r="AY42" s="8"/>
      <c r="AZ42" s="8"/>
      <c r="BA42" s="8"/>
      <c r="BB42" s="8"/>
      <c r="BC42" s="8"/>
      <c r="BD42" s="8"/>
      <c r="BE42" s="8"/>
      <c r="BF42" s="8"/>
      <c r="BG42" s="9"/>
      <c r="BH42" s="8"/>
      <c r="BI42" s="8"/>
      <c r="BJ42" s="9"/>
      <c r="BK42" s="9"/>
      <c r="BL42" s="8"/>
      <c r="BM42" s="8"/>
      <c r="BN42" s="8"/>
      <c r="BO42" s="8"/>
      <c r="BP42" s="8"/>
      <c r="BQ42" s="9"/>
      <c r="BR42" s="9"/>
      <c r="BS42" s="8"/>
      <c r="BT42" s="8"/>
      <c r="BU42" s="8"/>
      <c r="BV42" s="8"/>
      <c r="BW42" s="8"/>
      <c r="BX42" s="8"/>
      <c r="BY42" s="9"/>
      <c r="BZ42" s="9"/>
      <c r="CA42" s="8"/>
    </row>
    <row r="43" spans="1:79" ht="157.19999999999999" x14ac:dyDescent="0.25">
      <c r="A43" s="81" t="s">
        <v>772</v>
      </c>
      <c r="B43" s="8"/>
      <c r="C43" s="81" t="s">
        <v>237</v>
      </c>
      <c r="D43" s="8" t="s">
        <v>7815</v>
      </c>
      <c r="E43" s="8"/>
      <c r="F43" s="9"/>
      <c r="G43" s="8"/>
      <c r="H43" s="81" t="s">
        <v>250</v>
      </c>
      <c r="I43" s="8"/>
      <c r="J43" s="8"/>
      <c r="K43" s="8"/>
      <c r="L43" s="8"/>
      <c r="M43" s="8"/>
      <c r="N43" s="8"/>
      <c r="O43" s="8"/>
      <c r="P43" s="9"/>
      <c r="Q43" s="8"/>
      <c r="R43" s="8"/>
      <c r="S43" s="8"/>
      <c r="T43" s="8"/>
      <c r="U43" s="8"/>
      <c r="V43" s="8"/>
      <c r="W43" s="8"/>
      <c r="X43" s="8"/>
      <c r="Y43" s="81" t="s">
        <v>33</v>
      </c>
      <c r="Z43" s="8"/>
      <c r="AA43" s="8"/>
      <c r="AB43" s="8"/>
      <c r="AC43" s="8"/>
      <c r="AD43" s="81" t="s">
        <v>773</v>
      </c>
      <c r="AE43" s="81" t="s">
        <v>8201</v>
      </c>
      <c r="AF43" s="81" t="s">
        <v>761</v>
      </c>
      <c r="AG43" s="81" t="s">
        <v>773</v>
      </c>
      <c r="AH43" s="8"/>
      <c r="AI43" s="8"/>
      <c r="AJ43" s="8"/>
      <c r="AK43" s="8"/>
      <c r="AL43" s="8"/>
      <c r="AM43" s="81" t="s">
        <v>762</v>
      </c>
      <c r="AN43" s="8"/>
      <c r="AO43" s="8"/>
      <c r="AP43" s="8"/>
      <c r="AQ43" s="8"/>
      <c r="AR43" s="9">
        <v>45698</v>
      </c>
      <c r="AS43" s="8" t="s">
        <v>8200</v>
      </c>
      <c r="AT43" s="8" t="s">
        <v>348</v>
      </c>
      <c r="AU43" s="9"/>
      <c r="AV43" s="81" t="s">
        <v>349</v>
      </c>
      <c r="AW43" s="8"/>
      <c r="AX43" s="8" t="s">
        <v>774</v>
      </c>
      <c r="AY43" s="8"/>
      <c r="AZ43" s="8"/>
      <c r="BA43" s="8"/>
      <c r="BB43" s="8"/>
      <c r="BC43" s="8"/>
      <c r="BD43" s="8"/>
      <c r="BE43" s="8"/>
      <c r="BF43" s="8"/>
      <c r="BG43" s="9"/>
      <c r="BH43" s="8"/>
      <c r="BI43" s="8"/>
      <c r="BJ43" s="9"/>
      <c r="BK43" s="9"/>
      <c r="BL43" s="8"/>
      <c r="BM43" s="8"/>
      <c r="BN43" s="8"/>
      <c r="BO43" s="8"/>
      <c r="BP43" s="8"/>
      <c r="BQ43" s="9"/>
      <c r="BR43" s="9"/>
      <c r="BS43" s="8"/>
      <c r="BT43" s="8"/>
      <c r="BU43" s="8"/>
      <c r="BV43" s="8"/>
      <c r="BW43" s="8"/>
      <c r="BX43" s="8"/>
      <c r="BY43" s="9"/>
      <c r="BZ43" s="9"/>
      <c r="CA43" s="8"/>
    </row>
    <row r="44" spans="1:79" ht="157.19999999999999" x14ac:dyDescent="0.25">
      <c r="A44" s="81" t="s">
        <v>775</v>
      </c>
      <c r="B44" s="8"/>
      <c r="C44" s="81" t="s">
        <v>237</v>
      </c>
      <c r="D44" s="8" t="s">
        <v>7816</v>
      </c>
      <c r="E44" s="8"/>
      <c r="F44" s="9"/>
      <c r="G44" s="8"/>
      <c r="H44" s="81" t="s">
        <v>250</v>
      </c>
      <c r="I44" s="8"/>
      <c r="J44" s="8"/>
      <c r="K44" s="8"/>
      <c r="L44" s="8"/>
      <c r="M44" s="8"/>
      <c r="N44" s="8"/>
      <c r="O44" s="8"/>
      <c r="P44" s="9"/>
      <c r="Q44" s="8"/>
      <c r="R44" s="8"/>
      <c r="S44" s="8"/>
      <c r="T44" s="8"/>
      <c r="U44" s="8"/>
      <c r="V44" s="8"/>
      <c r="W44" s="8"/>
      <c r="X44" s="8"/>
      <c r="Y44" s="81" t="s">
        <v>33</v>
      </c>
      <c r="Z44" s="8"/>
      <c r="AA44" s="8"/>
      <c r="AB44" s="8"/>
      <c r="AC44" s="8"/>
      <c r="AD44" s="81" t="s">
        <v>773</v>
      </c>
      <c r="AE44" s="81" t="s">
        <v>8201</v>
      </c>
      <c r="AF44" s="81" t="s">
        <v>761</v>
      </c>
      <c r="AG44" s="81" t="s">
        <v>773</v>
      </c>
      <c r="AH44" s="8"/>
      <c r="AI44" s="8"/>
      <c r="AJ44" s="8"/>
      <c r="AK44" s="8"/>
      <c r="AL44" s="8"/>
      <c r="AM44" s="81" t="s">
        <v>762</v>
      </c>
      <c r="AN44" s="8"/>
      <c r="AO44" s="8"/>
      <c r="AP44" s="8"/>
      <c r="AQ44" s="8"/>
      <c r="AR44" s="9">
        <v>45698</v>
      </c>
      <c r="AS44" s="8" t="s">
        <v>8200</v>
      </c>
      <c r="AT44" s="8" t="s">
        <v>348</v>
      </c>
      <c r="AU44" s="9"/>
      <c r="AV44" s="81" t="s">
        <v>349</v>
      </c>
      <c r="AW44" s="8"/>
      <c r="AX44" s="8" t="s">
        <v>776</v>
      </c>
      <c r="AY44" s="8"/>
      <c r="AZ44" s="8"/>
      <c r="BA44" s="8"/>
      <c r="BB44" s="8"/>
      <c r="BC44" s="8"/>
      <c r="BD44" s="8"/>
      <c r="BE44" s="8"/>
      <c r="BF44" s="8"/>
      <c r="BG44" s="9"/>
      <c r="BH44" s="8"/>
      <c r="BI44" s="8"/>
      <c r="BJ44" s="9"/>
      <c r="BK44" s="9"/>
      <c r="BL44" s="8"/>
      <c r="BM44" s="8"/>
      <c r="BN44" s="8"/>
      <c r="BO44" s="8"/>
      <c r="BP44" s="8"/>
      <c r="BQ44" s="9"/>
      <c r="BR44" s="9"/>
      <c r="BS44" s="8"/>
      <c r="BT44" s="8"/>
      <c r="BU44" s="8"/>
      <c r="BV44" s="8"/>
      <c r="BW44" s="8"/>
      <c r="BX44" s="8"/>
      <c r="BY44" s="9"/>
      <c r="BZ44" s="9"/>
      <c r="CA44" s="8"/>
    </row>
    <row r="45" spans="1:79" ht="157.19999999999999" x14ac:dyDescent="0.25">
      <c r="A45" s="81" t="s">
        <v>777</v>
      </c>
      <c r="B45" s="8"/>
      <c r="C45" s="81" t="s">
        <v>26</v>
      </c>
      <c r="D45" s="8" t="s">
        <v>7817</v>
      </c>
      <c r="E45" s="8" t="s">
        <v>778</v>
      </c>
      <c r="F45" s="9">
        <v>37066</v>
      </c>
      <c r="G45" s="8" t="s">
        <v>249</v>
      </c>
      <c r="H45" s="81" t="s">
        <v>250</v>
      </c>
      <c r="I45" s="81" t="s">
        <v>27</v>
      </c>
      <c r="J45" s="81" t="s">
        <v>270</v>
      </c>
      <c r="K45" s="81" t="s">
        <v>563</v>
      </c>
      <c r="L45" s="81" t="s">
        <v>102</v>
      </c>
      <c r="M45" s="81" t="s">
        <v>8202</v>
      </c>
      <c r="N45" s="81" t="s">
        <v>272</v>
      </c>
      <c r="O45" s="81" t="s">
        <v>253</v>
      </c>
      <c r="P45" s="9">
        <v>45133</v>
      </c>
      <c r="Q45" s="8" t="s">
        <v>8203</v>
      </c>
      <c r="R45" s="8"/>
      <c r="S45" s="8"/>
      <c r="T45" s="8"/>
      <c r="U45" s="8"/>
      <c r="V45" s="8"/>
      <c r="W45" s="8"/>
      <c r="X45" s="8" t="s">
        <v>779</v>
      </c>
      <c r="Y45" s="81" t="s">
        <v>33</v>
      </c>
      <c r="Z45" s="8"/>
      <c r="AA45" s="81" t="s">
        <v>634</v>
      </c>
      <c r="AB45" s="8"/>
      <c r="AC45" s="8"/>
      <c r="AD45" s="81" t="s">
        <v>635</v>
      </c>
      <c r="AE45" s="81" t="s">
        <v>8174</v>
      </c>
      <c r="AF45" s="81" t="s">
        <v>256</v>
      </c>
      <c r="AG45" s="81" t="s">
        <v>635</v>
      </c>
      <c r="AH45" s="8"/>
      <c r="AI45" s="8"/>
      <c r="AJ45" s="8"/>
      <c r="AK45" s="8"/>
      <c r="AL45" s="8"/>
      <c r="AM45" s="81" t="s">
        <v>243</v>
      </c>
      <c r="AN45" s="8"/>
      <c r="AO45" s="8"/>
      <c r="AP45" s="8"/>
      <c r="AQ45" s="8"/>
      <c r="AR45" s="9">
        <v>45693</v>
      </c>
      <c r="AS45" s="8" t="s">
        <v>8200</v>
      </c>
      <c r="AT45" s="8" t="s">
        <v>257</v>
      </c>
      <c r="AU45" s="9">
        <v>45754</v>
      </c>
      <c r="AV45" s="81" t="s">
        <v>322</v>
      </c>
      <c r="AW45" s="81" t="s">
        <v>256</v>
      </c>
      <c r="AX45" s="8" t="s">
        <v>781</v>
      </c>
      <c r="AY45" s="8"/>
      <c r="AZ45" s="8" t="s">
        <v>8204</v>
      </c>
      <c r="BA45" s="81" t="s">
        <v>399</v>
      </c>
      <c r="BB45" s="81" t="s">
        <v>782</v>
      </c>
      <c r="BC45" s="81" t="s">
        <v>777</v>
      </c>
      <c r="BD45" s="8" t="s">
        <v>783</v>
      </c>
      <c r="BE45" s="81" t="s">
        <v>261</v>
      </c>
      <c r="BF45" s="8" t="s">
        <v>784</v>
      </c>
      <c r="BG45" s="9">
        <v>47686</v>
      </c>
      <c r="BH45" s="81" t="s">
        <v>81</v>
      </c>
      <c r="BI45" s="81" t="s">
        <v>426</v>
      </c>
      <c r="BJ45" s="9">
        <v>43709</v>
      </c>
      <c r="BK45" s="9">
        <v>45107</v>
      </c>
      <c r="BL45" s="81" t="s">
        <v>786</v>
      </c>
      <c r="BM45" s="81" t="s">
        <v>82</v>
      </c>
      <c r="BN45" s="81" t="s">
        <v>787</v>
      </c>
      <c r="BO45" s="81" t="s">
        <v>788</v>
      </c>
      <c r="BP45" s="8" t="s">
        <v>8205</v>
      </c>
      <c r="BQ45" s="9">
        <v>45133</v>
      </c>
      <c r="BR45" s="9">
        <v>45678</v>
      </c>
      <c r="BS45" s="81" t="s">
        <v>8206</v>
      </c>
      <c r="BT45" s="81" t="s">
        <v>789</v>
      </c>
      <c r="BU45" s="81" t="s">
        <v>702</v>
      </c>
      <c r="BV45" s="8" t="s">
        <v>790</v>
      </c>
      <c r="BW45" s="81" t="s">
        <v>256</v>
      </c>
      <c r="BX45" s="81" t="s">
        <v>337</v>
      </c>
      <c r="BY45" s="9">
        <v>46058</v>
      </c>
      <c r="BZ45" s="9">
        <v>47177</v>
      </c>
      <c r="CA45" s="8" t="s">
        <v>257</v>
      </c>
    </row>
    <row r="46" spans="1:79" ht="157.19999999999999" x14ac:dyDescent="0.25">
      <c r="A46" s="81" t="s">
        <v>793</v>
      </c>
      <c r="B46" s="8"/>
      <c r="C46" s="81" t="s">
        <v>352</v>
      </c>
      <c r="D46" s="8" t="s">
        <v>7818</v>
      </c>
      <c r="E46" s="8"/>
      <c r="F46" s="9">
        <v>37496</v>
      </c>
      <c r="G46" s="8" t="s">
        <v>473</v>
      </c>
      <c r="H46" s="81" t="s">
        <v>250</v>
      </c>
      <c r="I46" s="81" t="s">
        <v>27</v>
      </c>
      <c r="J46" s="81" t="s">
        <v>270</v>
      </c>
      <c r="K46" s="81" t="s">
        <v>563</v>
      </c>
      <c r="L46" s="81" t="s">
        <v>102</v>
      </c>
      <c r="M46" s="81" t="s">
        <v>794</v>
      </c>
      <c r="N46" s="81" t="s">
        <v>272</v>
      </c>
      <c r="O46" s="81" t="s">
        <v>253</v>
      </c>
      <c r="P46" s="9">
        <v>45587</v>
      </c>
      <c r="Q46" s="8" t="s">
        <v>8207</v>
      </c>
      <c r="R46" s="8"/>
      <c r="S46" s="8"/>
      <c r="T46" s="8"/>
      <c r="U46" s="8"/>
      <c r="V46" s="8"/>
      <c r="W46" s="8"/>
      <c r="X46" s="8" t="s">
        <v>796</v>
      </c>
      <c r="Y46" s="81" t="s">
        <v>33</v>
      </c>
      <c r="Z46" s="8"/>
      <c r="AA46" s="81" t="s">
        <v>506</v>
      </c>
      <c r="AB46" s="8"/>
      <c r="AC46" s="8"/>
      <c r="AD46" s="81" t="s">
        <v>241</v>
      </c>
      <c r="AE46" s="81" t="s">
        <v>8114</v>
      </c>
      <c r="AF46" s="81" t="s">
        <v>242</v>
      </c>
      <c r="AG46" s="81" t="s">
        <v>241</v>
      </c>
      <c r="AH46" s="8"/>
      <c r="AI46" s="8"/>
      <c r="AJ46" s="8"/>
      <c r="AK46" s="8"/>
      <c r="AL46" s="8"/>
      <c r="AM46" s="81" t="s">
        <v>243</v>
      </c>
      <c r="AN46" s="8"/>
      <c r="AO46" s="8"/>
      <c r="AP46" s="8"/>
      <c r="AQ46" s="8"/>
      <c r="AR46" s="9">
        <v>45587</v>
      </c>
      <c r="AS46" s="8" t="s">
        <v>8207</v>
      </c>
      <c r="AT46" s="8" t="s">
        <v>257</v>
      </c>
      <c r="AU46" s="9">
        <v>45648</v>
      </c>
      <c r="AV46" s="81" t="s">
        <v>322</v>
      </c>
      <c r="AW46" s="81" t="s">
        <v>242</v>
      </c>
      <c r="AX46" s="8" t="s">
        <v>797</v>
      </c>
      <c r="AY46" s="8"/>
      <c r="AZ46" s="8"/>
      <c r="BA46" s="81" t="s">
        <v>399</v>
      </c>
      <c r="BB46" s="81" t="s">
        <v>798</v>
      </c>
      <c r="BC46" s="81" t="s">
        <v>793</v>
      </c>
      <c r="BD46" s="8" t="s">
        <v>799</v>
      </c>
      <c r="BE46" s="81" t="s">
        <v>261</v>
      </c>
      <c r="BF46" s="8" t="s">
        <v>800</v>
      </c>
      <c r="BG46" s="9">
        <v>47442</v>
      </c>
      <c r="BH46" s="81" t="s">
        <v>81</v>
      </c>
      <c r="BI46" s="81" t="s">
        <v>802</v>
      </c>
      <c r="BJ46" s="9">
        <v>44075</v>
      </c>
      <c r="BK46" s="9">
        <v>45473</v>
      </c>
      <c r="BL46" s="81" t="s">
        <v>786</v>
      </c>
      <c r="BM46" s="81" t="s">
        <v>82</v>
      </c>
      <c r="BN46" s="8"/>
      <c r="BO46" s="8"/>
      <c r="BP46" s="8"/>
      <c r="BQ46" s="9"/>
      <c r="BR46" s="9"/>
      <c r="BS46" s="8"/>
      <c r="BT46" s="81" t="s">
        <v>803</v>
      </c>
      <c r="BU46" s="81" t="s">
        <v>335</v>
      </c>
      <c r="BV46" s="8" t="s">
        <v>804</v>
      </c>
      <c r="BW46" s="81" t="s">
        <v>242</v>
      </c>
      <c r="BX46" s="81" t="s">
        <v>337</v>
      </c>
      <c r="BY46" s="9">
        <v>45952</v>
      </c>
      <c r="BZ46" s="9">
        <v>47057</v>
      </c>
      <c r="CA46" s="8" t="s">
        <v>257</v>
      </c>
    </row>
    <row r="47" spans="1:79" ht="157.19999999999999" x14ac:dyDescent="0.25">
      <c r="A47" s="81" t="s">
        <v>807</v>
      </c>
      <c r="B47" s="8"/>
      <c r="C47" s="81" t="s">
        <v>352</v>
      </c>
      <c r="D47" s="8" t="s">
        <v>7819</v>
      </c>
      <c r="E47" s="8"/>
      <c r="F47" s="9">
        <v>36425</v>
      </c>
      <c r="G47" s="8" t="s">
        <v>414</v>
      </c>
      <c r="H47" s="81" t="s">
        <v>250</v>
      </c>
      <c r="I47" s="81" t="s">
        <v>27</v>
      </c>
      <c r="J47" s="81" t="s">
        <v>474</v>
      </c>
      <c r="K47" s="81" t="s">
        <v>808</v>
      </c>
      <c r="L47" s="81" t="s">
        <v>102</v>
      </c>
      <c r="M47" s="81" t="s">
        <v>8208</v>
      </c>
      <c r="N47" s="81" t="s">
        <v>272</v>
      </c>
      <c r="O47" s="81" t="s">
        <v>253</v>
      </c>
      <c r="P47" s="9"/>
      <c r="Q47" s="8"/>
      <c r="R47" s="8"/>
      <c r="S47" s="8"/>
      <c r="T47" s="8"/>
      <c r="U47" s="8"/>
      <c r="V47" s="8"/>
      <c r="W47" s="8"/>
      <c r="X47" s="8" t="s">
        <v>809</v>
      </c>
      <c r="Y47" s="81" t="s">
        <v>33</v>
      </c>
      <c r="Z47" s="8"/>
      <c r="AA47" s="81" t="s">
        <v>634</v>
      </c>
      <c r="AB47" s="8"/>
      <c r="AC47" s="8"/>
      <c r="AD47" s="81" t="s">
        <v>635</v>
      </c>
      <c r="AE47" s="81" t="s">
        <v>8174</v>
      </c>
      <c r="AF47" s="81" t="s">
        <v>256</v>
      </c>
      <c r="AG47" s="81" t="s">
        <v>635</v>
      </c>
      <c r="AH47" s="8"/>
      <c r="AI47" s="8"/>
      <c r="AJ47" s="8"/>
      <c r="AK47" s="8"/>
      <c r="AL47" s="8"/>
      <c r="AM47" s="81" t="s">
        <v>243</v>
      </c>
      <c r="AN47" s="8"/>
      <c r="AO47" s="8"/>
      <c r="AP47" s="8"/>
      <c r="AQ47" s="8"/>
      <c r="AR47" s="9">
        <v>45579</v>
      </c>
      <c r="AS47" s="8" t="s">
        <v>8207</v>
      </c>
      <c r="AT47" s="8" t="s">
        <v>257</v>
      </c>
      <c r="AU47" s="9">
        <v>45640</v>
      </c>
      <c r="AV47" s="81" t="s">
        <v>322</v>
      </c>
      <c r="AW47" s="81" t="s">
        <v>256</v>
      </c>
      <c r="AX47" s="8" t="s">
        <v>811</v>
      </c>
      <c r="AY47" s="8"/>
      <c r="AZ47" s="8" t="s">
        <v>8209</v>
      </c>
      <c r="BA47" s="81" t="s">
        <v>399</v>
      </c>
      <c r="BB47" s="8"/>
      <c r="BC47" s="8"/>
      <c r="BD47" s="8"/>
      <c r="BE47" s="81" t="s">
        <v>261</v>
      </c>
      <c r="BF47" s="8" t="s">
        <v>812</v>
      </c>
      <c r="BG47" s="9">
        <v>46837</v>
      </c>
      <c r="BH47" s="81" t="s">
        <v>81</v>
      </c>
      <c r="BI47" s="81" t="s">
        <v>814</v>
      </c>
      <c r="BJ47" s="9">
        <v>43344</v>
      </c>
      <c r="BK47" s="9">
        <v>44742</v>
      </c>
      <c r="BL47" s="81" t="s">
        <v>405</v>
      </c>
      <c r="BM47" s="8"/>
      <c r="BN47" s="8"/>
      <c r="BO47" s="8"/>
      <c r="BP47" s="8"/>
      <c r="BQ47" s="9"/>
      <c r="BR47" s="9"/>
      <c r="BS47" s="8"/>
      <c r="BT47" s="8"/>
      <c r="BU47" s="8"/>
      <c r="BV47" s="8"/>
      <c r="BW47" s="81" t="s">
        <v>256</v>
      </c>
      <c r="BX47" s="81" t="s">
        <v>337</v>
      </c>
      <c r="BY47" s="9">
        <v>45944</v>
      </c>
      <c r="BZ47" s="9">
        <v>47057</v>
      </c>
      <c r="CA47" s="8" t="s">
        <v>257</v>
      </c>
    </row>
    <row r="48" spans="1:79" ht="141.6" x14ac:dyDescent="0.25">
      <c r="A48" s="81" t="s">
        <v>817</v>
      </c>
      <c r="B48" s="8"/>
      <c r="C48" s="81" t="s">
        <v>26</v>
      </c>
      <c r="D48" s="8" t="s">
        <v>7820</v>
      </c>
      <c r="E48" s="8" t="s">
        <v>818</v>
      </c>
      <c r="F48" s="9">
        <v>35883</v>
      </c>
      <c r="G48" s="8" t="s">
        <v>819</v>
      </c>
      <c r="H48" s="81" t="s">
        <v>250</v>
      </c>
      <c r="I48" s="81" t="s">
        <v>27</v>
      </c>
      <c r="J48" s="81" t="s">
        <v>270</v>
      </c>
      <c r="K48" s="81" t="s">
        <v>488</v>
      </c>
      <c r="L48" s="81" t="s">
        <v>102</v>
      </c>
      <c r="M48" s="81" t="s">
        <v>8210</v>
      </c>
      <c r="N48" s="81" t="s">
        <v>272</v>
      </c>
      <c r="O48" s="81" t="s">
        <v>253</v>
      </c>
      <c r="P48" s="9">
        <v>44013</v>
      </c>
      <c r="Q48" s="8" t="s">
        <v>8211</v>
      </c>
      <c r="R48" s="8"/>
      <c r="S48" s="8"/>
      <c r="T48" s="8"/>
      <c r="U48" s="8"/>
      <c r="V48" s="8"/>
      <c r="W48" s="8"/>
      <c r="X48" s="8" t="s">
        <v>820</v>
      </c>
      <c r="Y48" s="81" t="s">
        <v>33</v>
      </c>
      <c r="Z48" s="8"/>
      <c r="AA48" s="81" t="s">
        <v>506</v>
      </c>
      <c r="AB48" s="8"/>
      <c r="AC48" s="8"/>
      <c r="AD48" s="81" t="s">
        <v>255</v>
      </c>
      <c r="AE48" s="81" t="s">
        <v>8117</v>
      </c>
      <c r="AF48" s="81" t="s">
        <v>256</v>
      </c>
      <c r="AG48" s="81" t="s">
        <v>255</v>
      </c>
      <c r="AH48" s="8"/>
      <c r="AI48" s="8"/>
      <c r="AJ48" s="8"/>
      <c r="AK48" s="8"/>
      <c r="AL48" s="8"/>
      <c r="AM48" s="81" t="s">
        <v>243</v>
      </c>
      <c r="AN48" s="8"/>
      <c r="AO48" s="8"/>
      <c r="AP48" s="8"/>
      <c r="AQ48" s="8"/>
      <c r="AR48" s="9">
        <v>45544</v>
      </c>
      <c r="AS48" s="8" t="s">
        <v>8212</v>
      </c>
      <c r="AT48" s="8" t="s">
        <v>257</v>
      </c>
      <c r="AU48" s="9">
        <v>45605</v>
      </c>
      <c r="AV48" s="81" t="s">
        <v>322</v>
      </c>
      <c r="AW48" s="81" t="s">
        <v>256</v>
      </c>
      <c r="AX48" s="8" t="s">
        <v>822</v>
      </c>
      <c r="AY48" s="8"/>
      <c r="AZ48" s="8" t="s">
        <v>8213</v>
      </c>
      <c r="BA48" s="81" t="s">
        <v>399</v>
      </c>
      <c r="BB48" s="81" t="s">
        <v>823</v>
      </c>
      <c r="BC48" s="81" t="s">
        <v>817</v>
      </c>
      <c r="BD48" s="8" t="s">
        <v>824</v>
      </c>
      <c r="BE48" s="81" t="s">
        <v>261</v>
      </c>
      <c r="BF48" s="8" t="s">
        <v>825</v>
      </c>
      <c r="BG48" s="9">
        <v>46776</v>
      </c>
      <c r="BH48" s="81" t="s">
        <v>81</v>
      </c>
      <c r="BI48" s="81" t="s">
        <v>827</v>
      </c>
      <c r="BJ48" s="9">
        <v>42614</v>
      </c>
      <c r="BK48" s="9">
        <v>43988</v>
      </c>
      <c r="BL48" s="81" t="s">
        <v>828</v>
      </c>
      <c r="BM48" s="81" t="s">
        <v>82</v>
      </c>
      <c r="BN48" s="81" t="s">
        <v>829</v>
      </c>
      <c r="BO48" s="81" t="s">
        <v>830</v>
      </c>
      <c r="BP48" s="81" t="s">
        <v>831</v>
      </c>
      <c r="BQ48" s="9">
        <v>44013</v>
      </c>
      <c r="BR48" s="9">
        <v>45078</v>
      </c>
      <c r="BS48" s="8" t="s">
        <v>8214</v>
      </c>
      <c r="BT48" s="81" t="s">
        <v>832</v>
      </c>
      <c r="BU48" s="81" t="s">
        <v>266</v>
      </c>
      <c r="BV48" s="8" t="s">
        <v>833</v>
      </c>
      <c r="BW48" s="81" t="s">
        <v>256</v>
      </c>
      <c r="BX48" s="81" t="s">
        <v>337</v>
      </c>
      <c r="BY48" s="9">
        <v>45909</v>
      </c>
      <c r="BZ48" s="9">
        <v>47026</v>
      </c>
      <c r="CA48" s="8" t="s">
        <v>257</v>
      </c>
    </row>
    <row r="49" spans="1:79" ht="157.19999999999999" x14ac:dyDescent="0.25">
      <c r="A49" s="81" t="s">
        <v>835</v>
      </c>
      <c r="B49" s="8"/>
      <c r="C49" s="81" t="s">
        <v>26</v>
      </c>
      <c r="D49" s="8" t="s">
        <v>7821</v>
      </c>
      <c r="E49" s="8" t="s">
        <v>836</v>
      </c>
      <c r="F49" s="9">
        <v>34493</v>
      </c>
      <c r="G49" s="8" t="s">
        <v>837</v>
      </c>
      <c r="H49" s="81" t="s">
        <v>250</v>
      </c>
      <c r="I49" s="81" t="s">
        <v>838</v>
      </c>
      <c r="J49" s="81" t="s">
        <v>270</v>
      </c>
      <c r="K49" s="81" t="s">
        <v>839</v>
      </c>
      <c r="L49" s="81" t="s">
        <v>102</v>
      </c>
      <c r="M49" s="81" t="s">
        <v>8215</v>
      </c>
      <c r="N49" s="81" t="s">
        <v>272</v>
      </c>
      <c r="O49" s="81" t="s">
        <v>253</v>
      </c>
      <c r="P49" s="9">
        <v>42917</v>
      </c>
      <c r="Q49" s="8" t="s">
        <v>8216</v>
      </c>
      <c r="R49" s="8"/>
      <c r="S49" s="8"/>
      <c r="T49" s="8"/>
      <c r="U49" s="8"/>
      <c r="V49" s="8"/>
      <c r="W49" s="8"/>
      <c r="X49" s="8" t="s">
        <v>840</v>
      </c>
      <c r="Y49" s="81" t="s">
        <v>33</v>
      </c>
      <c r="Z49" s="8"/>
      <c r="AA49" s="81" t="s">
        <v>841</v>
      </c>
      <c r="AB49" s="8"/>
      <c r="AC49" s="8"/>
      <c r="AD49" s="81" t="s">
        <v>533</v>
      </c>
      <c r="AE49" s="81" t="s">
        <v>8157</v>
      </c>
      <c r="AF49" s="81" t="s">
        <v>242</v>
      </c>
      <c r="AG49" s="81" t="s">
        <v>533</v>
      </c>
      <c r="AH49" s="8"/>
      <c r="AI49" s="8"/>
      <c r="AJ49" s="8"/>
      <c r="AK49" s="8"/>
      <c r="AL49" s="8"/>
      <c r="AM49" s="81" t="s">
        <v>243</v>
      </c>
      <c r="AN49" s="8"/>
      <c r="AO49" s="8"/>
      <c r="AP49" s="8"/>
      <c r="AQ49" s="8"/>
      <c r="AR49" s="9">
        <v>45539</v>
      </c>
      <c r="AS49" s="8" t="s">
        <v>8212</v>
      </c>
      <c r="AT49" s="8" t="s">
        <v>257</v>
      </c>
      <c r="AU49" s="9">
        <v>45600</v>
      </c>
      <c r="AV49" s="81" t="s">
        <v>322</v>
      </c>
      <c r="AW49" s="81" t="s">
        <v>242</v>
      </c>
      <c r="AX49" s="8" t="s">
        <v>843</v>
      </c>
      <c r="AY49" s="8"/>
      <c r="AZ49" s="8" t="s">
        <v>8217</v>
      </c>
      <c r="BA49" s="81" t="s">
        <v>399</v>
      </c>
      <c r="BB49" s="81" t="s">
        <v>844</v>
      </c>
      <c r="BC49" s="81" t="s">
        <v>835</v>
      </c>
      <c r="BD49" s="8" t="s">
        <v>845</v>
      </c>
      <c r="BE49" s="81" t="s">
        <v>261</v>
      </c>
      <c r="BF49" s="8" t="s">
        <v>846</v>
      </c>
      <c r="BG49" s="9">
        <v>52048</v>
      </c>
      <c r="BH49" s="81" t="s">
        <v>81</v>
      </c>
      <c r="BI49" s="81" t="s">
        <v>83</v>
      </c>
      <c r="BJ49" s="9">
        <v>41153</v>
      </c>
      <c r="BK49" s="9">
        <v>42544</v>
      </c>
      <c r="BL49" s="81" t="s">
        <v>850</v>
      </c>
      <c r="BM49" s="81" t="s">
        <v>82</v>
      </c>
      <c r="BN49" s="81" t="s">
        <v>851</v>
      </c>
      <c r="BO49" s="81" t="s">
        <v>852</v>
      </c>
      <c r="BP49" s="81" t="s">
        <v>853</v>
      </c>
      <c r="BQ49" s="9">
        <v>45324</v>
      </c>
      <c r="BR49" s="9">
        <v>45394</v>
      </c>
      <c r="BS49" s="81" t="s">
        <v>8218</v>
      </c>
      <c r="BT49" s="81" t="s">
        <v>854</v>
      </c>
      <c r="BU49" s="81" t="s">
        <v>266</v>
      </c>
      <c r="BV49" s="8" t="s">
        <v>855</v>
      </c>
      <c r="BW49" s="81" t="s">
        <v>242</v>
      </c>
      <c r="BX49" s="81" t="s">
        <v>337</v>
      </c>
      <c r="BY49" s="9">
        <v>45904</v>
      </c>
      <c r="BZ49" s="9">
        <v>47026</v>
      </c>
      <c r="CA49" s="8" t="s">
        <v>257</v>
      </c>
    </row>
    <row r="50" spans="1:79" ht="157.19999999999999" x14ac:dyDescent="0.25">
      <c r="A50" s="81" t="s">
        <v>857</v>
      </c>
      <c r="B50" s="8"/>
      <c r="C50" s="81" t="s">
        <v>26</v>
      </c>
      <c r="D50" s="8" t="s">
        <v>7822</v>
      </c>
      <c r="E50" s="8" t="s">
        <v>858</v>
      </c>
      <c r="F50" s="9">
        <v>35529</v>
      </c>
      <c r="G50" s="8" t="s">
        <v>529</v>
      </c>
      <c r="H50" s="81" t="s">
        <v>250</v>
      </c>
      <c r="I50" s="81" t="s">
        <v>27</v>
      </c>
      <c r="J50" s="81" t="s">
        <v>270</v>
      </c>
      <c r="K50" s="81" t="s">
        <v>488</v>
      </c>
      <c r="L50" s="81" t="s">
        <v>102</v>
      </c>
      <c r="M50" s="81" t="s">
        <v>8219</v>
      </c>
      <c r="N50" s="81" t="s">
        <v>272</v>
      </c>
      <c r="O50" s="81" t="s">
        <v>253</v>
      </c>
      <c r="P50" s="9">
        <v>43652</v>
      </c>
      <c r="Q50" s="8" t="s">
        <v>8182</v>
      </c>
      <c r="R50" s="8"/>
      <c r="S50" s="8"/>
      <c r="T50" s="8"/>
      <c r="U50" s="8"/>
      <c r="V50" s="8"/>
      <c r="W50" s="8"/>
      <c r="X50" s="8" t="s">
        <v>859</v>
      </c>
      <c r="Y50" s="81" t="s">
        <v>33</v>
      </c>
      <c r="Z50" s="8"/>
      <c r="AA50" s="81" t="s">
        <v>860</v>
      </c>
      <c r="AB50" s="8"/>
      <c r="AC50" s="8"/>
      <c r="AD50" s="81" t="s">
        <v>861</v>
      </c>
      <c r="AE50" s="81" t="s">
        <v>8220</v>
      </c>
      <c r="AF50" s="81" t="s">
        <v>492</v>
      </c>
      <c r="AG50" s="81" t="s">
        <v>861</v>
      </c>
      <c r="AH50" s="8"/>
      <c r="AI50" s="8"/>
      <c r="AJ50" s="8"/>
      <c r="AK50" s="8"/>
      <c r="AL50" s="8"/>
      <c r="AM50" s="81" t="s">
        <v>243</v>
      </c>
      <c r="AN50" s="8"/>
      <c r="AO50" s="8"/>
      <c r="AP50" s="8"/>
      <c r="AQ50" s="8"/>
      <c r="AR50" s="9">
        <v>45510</v>
      </c>
      <c r="AS50" s="8" t="s">
        <v>8221</v>
      </c>
      <c r="AT50" s="8" t="s">
        <v>257</v>
      </c>
      <c r="AU50" s="9">
        <v>45570</v>
      </c>
      <c r="AV50" s="81" t="s">
        <v>322</v>
      </c>
      <c r="AW50" s="81" t="s">
        <v>242</v>
      </c>
      <c r="AX50" s="8" t="s">
        <v>863</v>
      </c>
      <c r="AY50" s="8"/>
      <c r="AZ50" s="8" t="s">
        <v>8184</v>
      </c>
      <c r="BA50" s="81" t="s">
        <v>399</v>
      </c>
      <c r="BB50" s="81" t="s">
        <v>864</v>
      </c>
      <c r="BC50" s="81" t="s">
        <v>857</v>
      </c>
      <c r="BD50" s="8" t="s">
        <v>865</v>
      </c>
      <c r="BE50" s="81" t="s">
        <v>261</v>
      </c>
      <c r="BF50" s="8" t="s">
        <v>866</v>
      </c>
      <c r="BG50" s="9">
        <v>52649</v>
      </c>
      <c r="BH50" s="81" t="s">
        <v>81</v>
      </c>
      <c r="BI50" s="81" t="s">
        <v>426</v>
      </c>
      <c r="BJ50" s="9">
        <v>42248</v>
      </c>
      <c r="BK50" s="9">
        <v>43647</v>
      </c>
      <c r="BL50" s="81" t="s">
        <v>285</v>
      </c>
      <c r="BM50" s="81" t="s">
        <v>82</v>
      </c>
      <c r="BN50" s="81" t="s">
        <v>868</v>
      </c>
      <c r="BO50" s="8"/>
      <c r="BP50" s="8"/>
      <c r="BQ50" s="9">
        <v>43652</v>
      </c>
      <c r="BR50" s="9"/>
      <c r="BS50" s="8"/>
      <c r="BT50" s="81" t="s">
        <v>869</v>
      </c>
      <c r="BU50" s="81" t="s">
        <v>335</v>
      </c>
      <c r="BV50" s="8" t="s">
        <v>870</v>
      </c>
      <c r="BW50" s="81" t="s">
        <v>242</v>
      </c>
      <c r="BX50" s="81" t="s">
        <v>337</v>
      </c>
      <c r="BY50" s="9">
        <v>45875</v>
      </c>
      <c r="BZ50" s="9">
        <v>46965</v>
      </c>
      <c r="CA50" s="8" t="s">
        <v>257</v>
      </c>
    </row>
    <row r="51" spans="1:79" ht="157.19999999999999" x14ac:dyDescent="0.25">
      <c r="A51" s="81" t="s">
        <v>873</v>
      </c>
      <c r="B51" s="8"/>
      <c r="C51" s="81" t="s">
        <v>26</v>
      </c>
      <c r="D51" s="8" t="s">
        <v>7823</v>
      </c>
      <c r="E51" s="8" t="s">
        <v>874</v>
      </c>
      <c r="F51" s="9">
        <v>35347</v>
      </c>
      <c r="G51" s="8" t="s">
        <v>529</v>
      </c>
      <c r="H51" s="81" t="s">
        <v>250</v>
      </c>
      <c r="I51" s="81" t="s">
        <v>251</v>
      </c>
      <c r="J51" s="81" t="s">
        <v>270</v>
      </c>
      <c r="K51" s="81" t="s">
        <v>394</v>
      </c>
      <c r="L51" s="81" t="s">
        <v>102</v>
      </c>
      <c r="M51" s="81" t="s">
        <v>875</v>
      </c>
      <c r="N51" s="81" t="s">
        <v>272</v>
      </c>
      <c r="O51" s="81" t="s">
        <v>253</v>
      </c>
      <c r="P51" s="9">
        <v>44027</v>
      </c>
      <c r="Q51" s="8" t="s">
        <v>8222</v>
      </c>
      <c r="R51" s="8"/>
      <c r="S51" s="8"/>
      <c r="T51" s="8"/>
      <c r="U51" s="8"/>
      <c r="V51" s="8"/>
      <c r="W51" s="8"/>
      <c r="X51" s="8" t="s">
        <v>876</v>
      </c>
      <c r="Y51" s="81" t="s">
        <v>33</v>
      </c>
      <c r="Z51" s="8"/>
      <c r="AA51" s="81" t="s">
        <v>877</v>
      </c>
      <c r="AB51" s="8"/>
      <c r="AC51" s="8"/>
      <c r="AD51" s="81" t="s">
        <v>878</v>
      </c>
      <c r="AE51" s="81" t="s">
        <v>8223</v>
      </c>
      <c r="AF51" s="81" t="s">
        <v>492</v>
      </c>
      <c r="AG51" s="81" t="s">
        <v>878</v>
      </c>
      <c r="AH51" s="8"/>
      <c r="AI51" s="8"/>
      <c r="AJ51" s="8"/>
      <c r="AK51" s="8"/>
      <c r="AL51" s="8"/>
      <c r="AM51" s="81" t="s">
        <v>243</v>
      </c>
      <c r="AN51" s="8"/>
      <c r="AO51" s="8"/>
      <c r="AP51" s="8"/>
      <c r="AQ51" s="8"/>
      <c r="AR51" s="9">
        <v>45505</v>
      </c>
      <c r="AS51" s="8" t="s">
        <v>8221</v>
      </c>
      <c r="AT51" s="8" t="s">
        <v>245</v>
      </c>
      <c r="AU51" s="9">
        <v>45536</v>
      </c>
      <c r="AV51" s="81" t="s">
        <v>322</v>
      </c>
      <c r="AW51" s="81" t="s">
        <v>492</v>
      </c>
      <c r="AX51" s="8" t="s">
        <v>881</v>
      </c>
      <c r="AY51" s="8"/>
      <c r="AZ51" s="8" t="s">
        <v>8224</v>
      </c>
      <c r="BA51" s="81" t="s">
        <v>676</v>
      </c>
      <c r="BB51" s="81" t="s">
        <v>882</v>
      </c>
      <c r="BC51" s="81" t="s">
        <v>873</v>
      </c>
      <c r="BD51" s="8" t="s">
        <v>883</v>
      </c>
      <c r="BE51" s="81" t="s">
        <v>261</v>
      </c>
      <c r="BF51" s="8" t="s">
        <v>884</v>
      </c>
      <c r="BG51" s="9">
        <v>52916</v>
      </c>
      <c r="BH51" s="81" t="s">
        <v>81</v>
      </c>
      <c r="BI51" s="81" t="s">
        <v>886</v>
      </c>
      <c r="BJ51" s="9">
        <v>42614</v>
      </c>
      <c r="BK51" s="9">
        <v>44013</v>
      </c>
      <c r="BL51" s="81" t="s">
        <v>887</v>
      </c>
      <c r="BM51" s="81" t="s">
        <v>82</v>
      </c>
      <c r="BN51" s="81" t="s">
        <v>888</v>
      </c>
      <c r="BO51" s="81" t="s">
        <v>889</v>
      </c>
      <c r="BP51" s="81" t="s">
        <v>890</v>
      </c>
      <c r="BQ51" s="9">
        <v>45170</v>
      </c>
      <c r="BR51" s="9">
        <v>45494</v>
      </c>
      <c r="BS51" s="81" t="s">
        <v>891</v>
      </c>
      <c r="BT51" s="81" t="s">
        <v>892</v>
      </c>
      <c r="BU51" s="81" t="s">
        <v>517</v>
      </c>
      <c r="BV51" s="8" t="s">
        <v>893</v>
      </c>
      <c r="BW51" s="81" t="s">
        <v>492</v>
      </c>
      <c r="BX51" s="81" t="s">
        <v>337</v>
      </c>
      <c r="BY51" s="9">
        <v>45870</v>
      </c>
      <c r="BZ51" s="9">
        <v>47695</v>
      </c>
      <c r="CA51" s="8" t="s">
        <v>257</v>
      </c>
    </row>
    <row r="52" spans="1:79" ht="173.4" x14ac:dyDescent="0.25">
      <c r="A52" s="81" t="s">
        <v>895</v>
      </c>
      <c r="B52" s="8"/>
      <c r="C52" s="81" t="s">
        <v>26</v>
      </c>
      <c r="D52" s="8" t="s">
        <v>7824</v>
      </c>
      <c r="E52" s="8"/>
      <c r="F52" s="9">
        <v>37548</v>
      </c>
      <c r="G52" s="8" t="s">
        <v>473</v>
      </c>
      <c r="H52" s="81" t="s">
        <v>250</v>
      </c>
      <c r="I52" s="81" t="s">
        <v>27</v>
      </c>
      <c r="J52" s="81" t="s">
        <v>252</v>
      </c>
      <c r="K52" s="81" t="s">
        <v>294</v>
      </c>
      <c r="L52" s="81" t="s">
        <v>102</v>
      </c>
      <c r="M52" s="81" t="s">
        <v>8225</v>
      </c>
      <c r="N52" s="81" t="s">
        <v>272</v>
      </c>
      <c r="O52" s="81" t="s">
        <v>29</v>
      </c>
      <c r="P52" s="9"/>
      <c r="Q52" s="8"/>
      <c r="R52" s="8"/>
      <c r="S52" s="8"/>
      <c r="T52" s="8"/>
      <c r="U52" s="8"/>
      <c r="V52" s="8"/>
      <c r="W52" s="8"/>
      <c r="X52" s="8" t="s">
        <v>896</v>
      </c>
      <c r="Y52" s="81" t="s">
        <v>33</v>
      </c>
      <c r="Z52" s="8"/>
      <c r="AA52" s="81" t="s">
        <v>551</v>
      </c>
      <c r="AB52" s="8"/>
      <c r="AC52" s="8"/>
      <c r="AD52" s="81" t="s">
        <v>552</v>
      </c>
      <c r="AE52" s="81" t="s">
        <v>8160</v>
      </c>
      <c r="AF52" s="81" t="s">
        <v>492</v>
      </c>
      <c r="AG52" s="81" t="s">
        <v>553</v>
      </c>
      <c r="AH52" s="81" t="s">
        <v>552</v>
      </c>
      <c r="AI52" s="8"/>
      <c r="AJ52" s="8"/>
      <c r="AK52" s="8"/>
      <c r="AL52" s="8"/>
      <c r="AM52" s="81" t="s">
        <v>243</v>
      </c>
      <c r="AN52" s="8"/>
      <c r="AO52" s="8"/>
      <c r="AP52" s="8"/>
      <c r="AQ52" s="8"/>
      <c r="AR52" s="9">
        <v>45499</v>
      </c>
      <c r="AS52" s="8" t="s">
        <v>8221</v>
      </c>
      <c r="AT52" s="8" t="s">
        <v>245</v>
      </c>
      <c r="AU52" s="9">
        <v>45530</v>
      </c>
      <c r="AV52" s="81" t="s">
        <v>322</v>
      </c>
      <c r="AW52" s="81" t="s">
        <v>492</v>
      </c>
      <c r="AX52" s="8" t="s">
        <v>897</v>
      </c>
      <c r="AY52" s="8"/>
      <c r="AZ52" s="8" t="s">
        <v>8226</v>
      </c>
      <c r="BA52" s="81" t="s">
        <v>556</v>
      </c>
      <c r="BB52" s="8"/>
      <c r="BC52" s="8"/>
      <c r="BD52" s="8"/>
      <c r="BE52" s="81" t="s">
        <v>261</v>
      </c>
      <c r="BF52" s="8" t="s">
        <v>899</v>
      </c>
      <c r="BG52" s="9">
        <v>47828</v>
      </c>
      <c r="BH52" s="81" t="s">
        <v>305</v>
      </c>
      <c r="BI52" s="81" t="s">
        <v>559</v>
      </c>
      <c r="BJ52" s="9">
        <v>44440</v>
      </c>
      <c r="BK52" s="9">
        <v>45474</v>
      </c>
      <c r="BL52" s="81" t="s">
        <v>901</v>
      </c>
      <c r="BM52" s="8"/>
      <c r="BN52" s="8"/>
      <c r="BO52" s="8"/>
      <c r="BP52" s="8"/>
      <c r="BQ52" s="9"/>
      <c r="BR52" s="9"/>
      <c r="BS52" s="8"/>
      <c r="BT52" s="8"/>
      <c r="BU52" s="8"/>
      <c r="BV52" s="8"/>
      <c r="BW52" s="81" t="s">
        <v>492</v>
      </c>
      <c r="BX52" s="81" t="s">
        <v>337</v>
      </c>
      <c r="BY52" s="9">
        <v>45962</v>
      </c>
      <c r="BZ52" s="9">
        <v>46965</v>
      </c>
      <c r="CA52" s="8" t="s">
        <v>245</v>
      </c>
    </row>
    <row r="53" spans="1:79" ht="189" x14ac:dyDescent="0.25">
      <c r="A53" s="81" t="s">
        <v>902</v>
      </c>
      <c r="B53" s="8"/>
      <c r="C53" s="81" t="s">
        <v>26</v>
      </c>
      <c r="D53" s="8" t="s">
        <v>7825</v>
      </c>
      <c r="E53" s="8"/>
      <c r="F53" s="9">
        <v>34902</v>
      </c>
      <c r="G53" s="8" t="s">
        <v>741</v>
      </c>
      <c r="H53" s="81" t="s">
        <v>250</v>
      </c>
      <c r="I53" s="81" t="s">
        <v>27</v>
      </c>
      <c r="J53" s="81" t="s">
        <v>252</v>
      </c>
      <c r="K53" s="81" t="s">
        <v>415</v>
      </c>
      <c r="L53" s="81" t="s">
        <v>102</v>
      </c>
      <c r="M53" s="81" t="s">
        <v>8227</v>
      </c>
      <c r="N53" s="81" t="s">
        <v>119</v>
      </c>
      <c r="O53" s="81" t="s">
        <v>253</v>
      </c>
      <c r="P53" s="9"/>
      <c r="Q53" s="8"/>
      <c r="R53" s="8"/>
      <c r="S53" s="8"/>
      <c r="T53" s="8"/>
      <c r="U53" s="8"/>
      <c r="V53" s="8"/>
      <c r="W53" s="8"/>
      <c r="X53" s="8" t="s">
        <v>903</v>
      </c>
      <c r="Y53" s="81" t="s">
        <v>33</v>
      </c>
      <c r="Z53" s="8"/>
      <c r="AA53" s="81" t="s">
        <v>904</v>
      </c>
      <c r="AB53" s="8"/>
      <c r="AC53" s="8"/>
      <c r="AD53" s="81" t="s">
        <v>878</v>
      </c>
      <c r="AE53" s="81" t="s">
        <v>8228</v>
      </c>
      <c r="AF53" s="81" t="s">
        <v>242</v>
      </c>
      <c r="AG53" s="81" t="s">
        <v>459</v>
      </c>
      <c r="AH53" s="81" t="s">
        <v>878</v>
      </c>
      <c r="AI53" s="8"/>
      <c r="AJ53" s="8"/>
      <c r="AK53" s="8"/>
      <c r="AL53" s="8"/>
      <c r="AM53" s="81" t="s">
        <v>243</v>
      </c>
      <c r="AN53" s="8"/>
      <c r="AO53" s="8"/>
      <c r="AP53" s="8"/>
      <c r="AQ53" s="8"/>
      <c r="AR53" s="9">
        <v>45481</v>
      </c>
      <c r="AS53" s="8" t="s">
        <v>8122</v>
      </c>
      <c r="AT53" s="8" t="s">
        <v>905</v>
      </c>
      <c r="AU53" s="9">
        <v>45665</v>
      </c>
      <c r="AV53" s="81" t="s">
        <v>322</v>
      </c>
      <c r="AW53" s="81" t="s">
        <v>242</v>
      </c>
      <c r="AX53" s="8" t="s">
        <v>906</v>
      </c>
      <c r="AY53" s="8"/>
      <c r="AZ53" s="8" t="s">
        <v>8229</v>
      </c>
      <c r="BA53" s="81" t="s">
        <v>361</v>
      </c>
      <c r="BB53" s="8"/>
      <c r="BC53" s="8"/>
      <c r="BD53" s="8"/>
      <c r="BE53" s="81" t="s">
        <v>261</v>
      </c>
      <c r="BF53" s="8" t="s">
        <v>907</v>
      </c>
      <c r="BG53" s="9">
        <v>53245</v>
      </c>
      <c r="BH53" s="81" t="s">
        <v>87</v>
      </c>
      <c r="BI53" s="81" t="s">
        <v>909</v>
      </c>
      <c r="BJ53" s="9">
        <v>43191</v>
      </c>
      <c r="BK53" s="9">
        <v>44370</v>
      </c>
      <c r="BL53" s="81" t="s">
        <v>122</v>
      </c>
      <c r="BM53" s="81" t="s">
        <v>87</v>
      </c>
      <c r="BN53" s="8"/>
      <c r="BO53" s="8"/>
      <c r="BP53" s="8"/>
      <c r="BQ53" s="9"/>
      <c r="BR53" s="9"/>
      <c r="BS53" s="8"/>
      <c r="BT53" s="8"/>
      <c r="BU53" s="8"/>
      <c r="BV53" s="8"/>
      <c r="BW53" s="81" t="s">
        <v>242</v>
      </c>
      <c r="BX53" s="81" t="s">
        <v>337</v>
      </c>
      <c r="BY53" s="9">
        <v>45481</v>
      </c>
      <c r="BZ53" s="9">
        <v>46575</v>
      </c>
      <c r="CA53" s="8" t="s">
        <v>245</v>
      </c>
    </row>
    <row r="54" spans="1:79" ht="141.6" x14ac:dyDescent="0.25">
      <c r="A54" s="81" t="s">
        <v>913</v>
      </c>
      <c r="B54" s="8"/>
      <c r="C54" s="81" t="s">
        <v>26</v>
      </c>
      <c r="D54" s="8" t="s">
        <v>7826</v>
      </c>
      <c r="E54" s="8" t="s">
        <v>914</v>
      </c>
      <c r="F54" s="9">
        <v>37198</v>
      </c>
      <c r="G54" s="8" t="s">
        <v>249</v>
      </c>
      <c r="H54" s="81" t="s">
        <v>250</v>
      </c>
      <c r="I54" s="81" t="s">
        <v>27</v>
      </c>
      <c r="J54" s="81" t="s">
        <v>270</v>
      </c>
      <c r="K54" s="81" t="s">
        <v>601</v>
      </c>
      <c r="L54" s="81" t="s">
        <v>102</v>
      </c>
      <c r="M54" s="81" t="s">
        <v>915</v>
      </c>
      <c r="N54" s="81" t="s">
        <v>272</v>
      </c>
      <c r="O54" s="81" t="s">
        <v>253</v>
      </c>
      <c r="P54" s="9">
        <v>45474</v>
      </c>
      <c r="Q54" s="8" t="s">
        <v>8122</v>
      </c>
      <c r="R54" s="8"/>
      <c r="S54" s="8"/>
      <c r="T54" s="8"/>
      <c r="U54" s="8"/>
      <c r="V54" s="8"/>
      <c r="W54" s="8"/>
      <c r="X54" s="8" t="s">
        <v>916</v>
      </c>
      <c r="Y54" s="81" t="s">
        <v>33</v>
      </c>
      <c r="Z54" s="8"/>
      <c r="AA54" s="81" t="s">
        <v>419</v>
      </c>
      <c r="AB54" s="8"/>
      <c r="AC54" s="8"/>
      <c r="AD54" s="81" t="s">
        <v>459</v>
      </c>
      <c r="AE54" s="81" t="s">
        <v>8147</v>
      </c>
      <c r="AF54" s="81" t="s">
        <v>242</v>
      </c>
      <c r="AG54" s="81" t="s">
        <v>459</v>
      </c>
      <c r="AH54" s="8"/>
      <c r="AI54" s="8"/>
      <c r="AJ54" s="8"/>
      <c r="AK54" s="8"/>
      <c r="AL54" s="8"/>
      <c r="AM54" s="81" t="s">
        <v>243</v>
      </c>
      <c r="AN54" s="8"/>
      <c r="AO54" s="8"/>
      <c r="AP54" s="8"/>
      <c r="AQ54" s="8"/>
      <c r="AR54" s="9">
        <v>45474</v>
      </c>
      <c r="AS54" s="8" t="s">
        <v>8122</v>
      </c>
      <c r="AT54" s="8" t="s">
        <v>257</v>
      </c>
      <c r="AU54" s="9">
        <v>45536</v>
      </c>
      <c r="AV54" s="81" t="s">
        <v>322</v>
      </c>
      <c r="AW54" s="81" t="s">
        <v>242</v>
      </c>
      <c r="AX54" s="8" t="s">
        <v>917</v>
      </c>
      <c r="AY54" s="8"/>
      <c r="AZ54" s="8" t="s">
        <v>8230</v>
      </c>
      <c r="BA54" s="81" t="s">
        <v>361</v>
      </c>
      <c r="BB54" s="81" t="s">
        <v>782</v>
      </c>
      <c r="BC54" s="81" t="s">
        <v>913</v>
      </c>
      <c r="BD54" s="8" t="s">
        <v>918</v>
      </c>
      <c r="BE54" s="81" t="s">
        <v>261</v>
      </c>
      <c r="BF54" s="8" t="s">
        <v>919</v>
      </c>
      <c r="BG54" s="9">
        <v>47867</v>
      </c>
      <c r="BH54" s="81" t="s">
        <v>81</v>
      </c>
      <c r="BI54" s="81" t="s">
        <v>327</v>
      </c>
      <c r="BJ54" s="9">
        <v>44075</v>
      </c>
      <c r="BK54" s="9">
        <v>45474</v>
      </c>
      <c r="BL54" s="81" t="s">
        <v>330</v>
      </c>
      <c r="BM54" s="81" t="s">
        <v>82</v>
      </c>
      <c r="BN54" s="8"/>
      <c r="BO54" s="8"/>
      <c r="BP54" s="8"/>
      <c r="BQ54" s="9"/>
      <c r="BR54" s="9"/>
      <c r="BS54" s="8"/>
      <c r="BT54" s="81" t="s">
        <v>921</v>
      </c>
      <c r="BU54" s="81" t="s">
        <v>266</v>
      </c>
      <c r="BV54" s="8" t="s">
        <v>922</v>
      </c>
      <c r="BW54" s="81" t="s">
        <v>242</v>
      </c>
      <c r="BX54" s="81" t="s">
        <v>337</v>
      </c>
      <c r="BY54" s="9">
        <v>45839</v>
      </c>
      <c r="BZ54" s="9">
        <v>46934</v>
      </c>
      <c r="CA54" s="8" t="s">
        <v>257</v>
      </c>
    </row>
    <row r="55" spans="1:79" ht="173.4" x14ac:dyDescent="0.25">
      <c r="A55" s="81" t="s">
        <v>924</v>
      </c>
      <c r="B55" s="8"/>
      <c r="C55" s="81" t="s">
        <v>26</v>
      </c>
      <c r="D55" s="8" t="s">
        <v>7827</v>
      </c>
      <c r="E55" s="8" t="s">
        <v>925</v>
      </c>
      <c r="F55" s="9">
        <v>37291</v>
      </c>
      <c r="G55" s="8" t="s">
        <v>249</v>
      </c>
      <c r="H55" s="81" t="s">
        <v>250</v>
      </c>
      <c r="I55" s="81" t="s">
        <v>251</v>
      </c>
      <c r="J55" s="81" t="s">
        <v>293</v>
      </c>
      <c r="K55" s="81" t="s">
        <v>30</v>
      </c>
      <c r="L55" s="81" t="s">
        <v>102</v>
      </c>
      <c r="M55" s="81" t="s">
        <v>8231</v>
      </c>
      <c r="N55" s="81" t="s">
        <v>272</v>
      </c>
      <c r="O55" s="81" t="s">
        <v>253</v>
      </c>
      <c r="P55" s="9">
        <v>45352</v>
      </c>
      <c r="Q55" s="8" t="s">
        <v>8232</v>
      </c>
      <c r="R55" s="8"/>
      <c r="S55" s="8"/>
      <c r="T55" s="8"/>
      <c r="U55" s="8"/>
      <c r="V55" s="8"/>
      <c r="W55" s="8"/>
      <c r="X55" s="8" t="s">
        <v>927</v>
      </c>
      <c r="Y55" s="81" t="s">
        <v>33</v>
      </c>
      <c r="Z55" s="8"/>
      <c r="AA55" s="81" t="s">
        <v>733</v>
      </c>
      <c r="AB55" s="8"/>
      <c r="AC55" s="8"/>
      <c r="AD55" s="81" t="s">
        <v>552</v>
      </c>
      <c r="AE55" s="81" t="s">
        <v>8160</v>
      </c>
      <c r="AF55" s="81" t="s">
        <v>492</v>
      </c>
      <c r="AG55" s="81" t="s">
        <v>553</v>
      </c>
      <c r="AH55" s="81" t="s">
        <v>552</v>
      </c>
      <c r="AI55" s="8"/>
      <c r="AJ55" s="8"/>
      <c r="AK55" s="8"/>
      <c r="AL55" s="8"/>
      <c r="AM55" s="81" t="s">
        <v>243</v>
      </c>
      <c r="AN55" s="8"/>
      <c r="AO55" s="8"/>
      <c r="AP55" s="8"/>
      <c r="AQ55" s="8"/>
      <c r="AR55" s="9">
        <v>45474</v>
      </c>
      <c r="AS55" s="8" t="s">
        <v>8122</v>
      </c>
      <c r="AT55" s="8" t="s">
        <v>245</v>
      </c>
      <c r="AU55" s="9">
        <v>45505</v>
      </c>
      <c r="AV55" s="81" t="s">
        <v>322</v>
      </c>
      <c r="AW55" s="81" t="s">
        <v>492</v>
      </c>
      <c r="AX55" s="8" t="s">
        <v>928</v>
      </c>
      <c r="AY55" s="8"/>
      <c r="AZ55" s="8" t="s">
        <v>8230</v>
      </c>
      <c r="BA55" s="81" t="s">
        <v>556</v>
      </c>
      <c r="BB55" s="81" t="s">
        <v>929</v>
      </c>
      <c r="BC55" s="81" t="s">
        <v>924</v>
      </c>
      <c r="BD55" s="8" t="s">
        <v>930</v>
      </c>
      <c r="BE55" s="81" t="s">
        <v>261</v>
      </c>
      <c r="BF55" s="8" t="s">
        <v>931</v>
      </c>
      <c r="BG55" s="9">
        <v>47810</v>
      </c>
      <c r="BH55" s="81" t="s">
        <v>305</v>
      </c>
      <c r="BI55" s="81" t="s">
        <v>559</v>
      </c>
      <c r="BJ55" s="9">
        <v>44433</v>
      </c>
      <c r="BK55" s="9">
        <v>45444</v>
      </c>
      <c r="BL55" s="81" t="s">
        <v>933</v>
      </c>
      <c r="BM55" s="81" t="s">
        <v>517</v>
      </c>
      <c r="BN55" s="81" t="s">
        <v>934</v>
      </c>
      <c r="BO55" s="81" t="s">
        <v>935</v>
      </c>
      <c r="BP55" s="81" t="s">
        <v>936</v>
      </c>
      <c r="BQ55" s="9">
        <v>45385</v>
      </c>
      <c r="BR55" s="9">
        <v>45402</v>
      </c>
      <c r="BS55" s="8"/>
      <c r="BT55" s="81" t="s">
        <v>937</v>
      </c>
      <c r="BU55" s="81" t="s">
        <v>266</v>
      </c>
      <c r="BV55" s="8" t="s">
        <v>938</v>
      </c>
      <c r="BW55" s="81" t="s">
        <v>492</v>
      </c>
      <c r="BX55" s="81" t="s">
        <v>337</v>
      </c>
      <c r="BY55" s="9">
        <v>45962</v>
      </c>
      <c r="BZ55" s="9">
        <v>47664</v>
      </c>
      <c r="CA55" s="8" t="s">
        <v>245</v>
      </c>
    </row>
    <row r="56" spans="1:79" ht="205.2" x14ac:dyDescent="0.25">
      <c r="A56" s="81" t="s">
        <v>940</v>
      </c>
      <c r="B56" s="8"/>
      <c r="C56" s="81" t="s">
        <v>26</v>
      </c>
      <c r="D56" s="8" t="s">
        <v>7828</v>
      </c>
      <c r="E56" s="8"/>
      <c r="F56" s="9">
        <v>37185</v>
      </c>
      <c r="G56" s="8" t="s">
        <v>249</v>
      </c>
      <c r="H56" s="81" t="s">
        <v>250</v>
      </c>
      <c r="I56" s="81" t="s">
        <v>435</v>
      </c>
      <c r="J56" s="81" t="s">
        <v>270</v>
      </c>
      <c r="K56" s="81" t="s">
        <v>608</v>
      </c>
      <c r="L56" s="81" t="s">
        <v>102</v>
      </c>
      <c r="M56" s="81" t="s">
        <v>8233</v>
      </c>
      <c r="N56" s="81" t="s">
        <v>119</v>
      </c>
      <c r="O56" s="81" t="s">
        <v>253</v>
      </c>
      <c r="P56" s="9"/>
      <c r="Q56" s="8"/>
      <c r="R56" s="8"/>
      <c r="S56" s="8"/>
      <c r="T56" s="8"/>
      <c r="U56" s="8"/>
      <c r="V56" s="8"/>
      <c r="W56" s="8"/>
      <c r="X56" s="8" t="s">
        <v>941</v>
      </c>
      <c r="Y56" s="81" t="s">
        <v>33</v>
      </c>
      <c r="Z56" s="8"/>
      <c r="AA56" s="81" t="s">
        <v>574</v>
      </c>
      <c r="AB56" s="8"/>
      <c r="AC56" s="8"/>
      <c r="AD56" s="81" t="s">
        <v>344</v>
      </c>
      <c r="AE56" s="81" t="s">
        <v>8129</v>
      </c>
      <c r="AF56" s="81" t="s">
        <v>242</v>
      </c>
      <c r="AG56" s="81" t="s">
        <v>345</v>
      </c>
      <c r="AH56" s="81" t="s">
        <v>346</v>
      </c>
      <c r="AI56" s="81" t="s">
        <v>344</v>
      </c>
      <c r="AJ56" s="8"/>
      <c r="AK56" s="8"/>
      <c r="AL56" s="8"/>
      <c r="AM56" s="81" t="s">
        <v>243</v>
      </c>
      <c r="AN56" s="8"/>
      <c r="AO56" s="8"/>
      <c r="AP56" s="8"/>
      <c r="AQ56" s="8"/>
      <c r="AR56" s="9">
        <v>45474</v>
      </c>
      <c r="AS56" s="8" t="s">
        <v>8122</v>
      </c>
      <c r="AT56" s="8" t="s">
        <v>245</v>
      </c>
      <c r="AU56" s="9">
        <v>45505</v>
      </c>
      <c r="AV56" s="81" t="s">
        <v>322</v>
      </c>
      <c r="AW56" s="81" t="s">
        <v>242</v>
      </c>
      <c r="AX56" s="8" t="s">
        <v>942</v>
      </c>
      <c r="AY56" s="8"/>
      <c r="AZ56" s="8" t="s">
        <v>8230</v>
      </c>
      <c r="BA56" s="81" t="s">
        <v>556</v>
      </c>
      <c r="BB56" s="8"/>
      <c r="BC56" s="8"/>
      <c r="BD56" s="8"/>
      <c r="BE56" s="81" t="s">
        <v>261</v>
      </c>
      <c r="BF56" s="8" t="s">
        <v>943</v>
      </c>
      <c r="BG56" s="9">
        <v>47942</v>
      </c>
      <c r="BH56" s="81" t="s">
        <v>305</v>
      </c>
      <c r="BI56" s="81" t="s">
        <v>559</v>
      </c>
      <c r="BJ56" s="9">
        <v>44440</v>
      </c>
      <c r="BK56" s="9">
        <v>45474</v>
      </c>
      <c r="BL56" s="81" t="s">
        <v>945</v>
      </c>
      <c r="BM56" s="8"/>
      <c r="BN56" s="8"/>
      <c r="BO56" s="8"/>
      <c r="BP56" s="8"/>
      <c r="BQ56" s="9"/>
      <c r="BR56" s="9"/>
      <c r="BS56" s="8"/>
      <c r="BT56" s="8"/>
      <c r="BU56" s="8"/>
      <c r="BV56" s="8"/>
      <c r="BW56" s="81" t="s">
        <v>242</v>
      </c>
      <c r="BX56" s="81" t="s">
        <v>337</v>
      </c>
      <c r="BY56" s="9">
        <v>45870</v>
      </c>
      <c r="BZ56" s="9">
        <v>46203</v>
      </c>
      <c r="CA56" s="8" t="s">
        <v>245</v>
      </c>
    </row>
    <row r="57" spans="1:79" ht="157.19999999999999" x14ac:dyDescent="0.25">
      <c r="A57" s="81" t="s">
        <v>946</v>
      </c>
      <c r="B57" s="8"/>
      <c r="C57" s="81" t="s">
        <v>26</v>
      </c>
      <c r="D57" s="8" t="s">
        <v>7829</v>
      </c>
      <c r="E57" s="8"/>
      <c r="F57" s="9">
        <v>37314</v>
      </c>
      <c r="G57" s="8" t="s">
        <v>249</v>
      </c>
      <c r="H57" s="81" t="s">
        <v>250</v>
      </c>
      <c r="I57" s="81" t="s">
        <v>27</v>
      </c>
      <c r="J57" s="81" t="s">
        <v>474</v>
      </c>
      <c r="K57" s="81" t="s">
        <v>601</v>
      </c>
      <c r="L57" s="81" t="s">
        <v>102</v>
      </c>
      <c r="M57" s="81" t="s">
        <v>8234</v>
      </c>
      <c r="N57" s="81" t="s">
        <v>272</v>
      </c>
      <c r="O57" s="81" t="s">
        <v>253</v>
      </c>
      <c r="P57" s="9"/>
      <c r="Q57" s="8"/>
      <c r="R57" s="8"/>
      <c r="S57" s="8"/>
      <c r="T57" s="8"/>
      <c r="U57" s="8"/>
      <c r="V57" s="8"/>
      <c r="W57" s="8"/>
      <c r="X57" s="8" t="s">
        <v>947</v>
      </c>
      <c r="Y57" s="81" t="s">
        <v>33</v>
      </c>
      <c r="Z57" s="8"/>
      <c r="AA57" s="81" t="s">
        <v>565</v>
      </c>
      <c r="AB57" s="8"/>
      <c r="AC57" s="8"/>
      <c r="AD57" s="81" t="s">
        <v>566</v>
      </c>
      <c r="AE57" s="81" t="s">
        <v>8162</v>
      </c>
      <c r="AF57" s="81" t="s">
        <v>256</v>
      </c>
      <c r="AG57" s="81" t="s">
        <v>566</v>
      </c>
      <c r="AH57" s="8"/>
      <c r="AI57" s="8"/>
      <c r="AJ57" s="8"/>
      <c r="AK57" s="8"/>
      <c r="AL57" s="8"/>
      <c r="AM57" s="81" t="s">
        <v>243</v>
      </c>
      <c r="AN57" s="8"/>
      <c r="AO57" s="8"/>
      <c r="AP57" s="8"/>
      <c r="AQ57" s="8"/>
      <c r="AR57" s="9">
        <v>45474</v>
      </c>
      <c r="AS57" s="8" t="s">
        <v>8122</v>
      </c>
      <c r="AT57" s="8" t="s">
        <v>348</v>
      </c>
      <c r="AU57" s="9"/>
      <c r="AV57" s="81" t="s">
        <v>322</v>
      </c>
      <c r="AW57" s="81" t="s">
        <v>256</v>
      </c>
      <c r="AX57" s="8" t="s">
        <v>948</v>
      </c>
      <c r="AY57" s="8"/>
      <c r="AZ57" s="8" t="s">
        <v>8235</v>
      </c>
      <c r="BA57" s="81" t="s">
        <v>556</v>
      </c>
      <c r="BB57" s="8"/>
      <c r="BC57" s="8"/>
      <c r="BD57" s="8"/>
      <c r="BE57" s="81" t="s">
        <v>261</v>
      </c>
      <c r="BF57" s="8" t="s">
        <v>950</v>
      </c>
      <c r="BG57" s="9">
        <v>47814</v>
      </c>
      <c r="BH57" s="81" t="s">
        <v>305</v>
      </c>
      <c r="BI57" s="81" t="s">
        <v>559</v>
      </c>
      <c r="BJ57" s="9">
        <v>44440</v>
      </c>
      <c r="BK57" s="9">
        <v>45474</v>
      </c>
      <c r="BL57" s="81" t="s">
        <v>570</v>
      </c>
      <c r="BM57" s="8"/>
      <c r="BN57" s="8"/>
      <c r="BO57" s="8"/>
      <c r="BP57" s="8"/>
      <c r="BQ57" s="9"/>
      <c r="BR57" s="9"/>
      <c r="BS57" s="8"/>
      <c r="BT57" s="8"/>
      <c r="BU57" s="8"/>
      <c r="BV57" s="8"/>
      <c r="BW57" s="81" t="s">
        <v>256</v>
      </c>
      <c r="BX57" s="81" t="s">
        <v>337</v>
      </c>
      <c r="BY57" s="9">
        <v>45839</v>
      </c>
      <c r="BZ57" s="9">
        <v>46934</v>
      </c>
      <c r="CA57" s="8" t="s">
        <v>257</v>
      </c>
    </row>
    <row r="58" spans="1:79" ht="157.19999999999999" x14ac:dyDescent="0.25">
      <c r="A58" s="81" t="s">
        <v>952</v>
      </c>
      <c r="B58" s="8"/>
      <c r="C58" s="81" t="s">
        <v>26</v>
      </c>
      <c r="D58" s="8" t="s">
        <v>7830</v>
      </c>
      <c r="E58" s="8"/>
      <c r="F58" s="9">
        <v>37484</v>
      </c>
      <c r="G58" s="8" t="s">
        <v>473</v>
      </c>
      <c r="H58" s="81" t="s">
        <v>250</v>
      </c>
      <c r="I58" s="81" t="s">
        <v>27</v>
      </c>
      <c r="J58" s="81" t="s">
        <v>270</v>
      </c>
      <c r="K58" s="81" t="s">
        <v>601</v>
      </c>
      <c r="L58" s="81" t="s">
        <v>102</v>
      </c>
      <c r="M58" s="81" t="s">
        <v>8236</v>
      </c>
      <c r="N58" s="81" t="s">
        <v>272</v>
      </c>
      <c r="O58" s="81" t="s">
        <v>253</v>
      </c>
      <c r="P58" s="9"/>
      <c r="Q58" s="8"/>
      <c r="R58" s="8"/>
      <c r="S58" s="8"/>
      <c r="T58" s="8"/>
      <c r="U58" s="8"/>
      <c r="V58" s="8"/>
      <c r="W58" s="8"/>
      <c r="X58" s="8" t="s">
        <v>953</v>
      </c>
      <c r="Y58" s="81" t="s">
        <v>33</v>
      </c>
      <c r="Z58" s="8"/>
      <c r="AA58" s="81" t="s">
        <v>565</v>
      </c>
      <c r="AB58" s="8"/>
      <c r="AC58" s="8"/>
      <c r="AD58" s="81" t="s">
        <v>566</v>
      </c>
      <c r="AE58" s="81" t="s">
        <v>8162</v>
      </c>
      <c r="AF58" s="81" t="s">
        <v>256</v>
      </c>
      <c r="AG58" s="81" t="s">
        <v>566</v>
      </c>
      <c r="AH58" s="8"/>
      <c r="AI58" s="8"/>
      <c r="AJ58" s="8"/>
      <c r="AK58" s="8"/>
      <c r="AL58" s="8"/>
      <c r="AM58" s="81" t="s">
        <v>243</v>
      </c>
      <c r="AN58" s="8"/>
      <c r="AO58" s="8"/>
      <c r="AP58" s="8"/>
      <c r="AQ58" s="8"/>
      <c r="AR58" s="9">
        <v>45474</v>
      </c>
      <c r="AS58" s="8" t="s">
        <v>8122</v>
      </c>
      <c r="AT58" s="8" t="s">
        <v>348</v>
      </c>
      <c r="AU58" s="9"/>
      <c r="AV58" s="81" t="s">
        <v>322</v>
      </c>
      <c r="AW58" s="81" t="s">
        <v>256</v>
      </c>
      <c r="AX58" s="8" t="s">
        <v>954</v>
      </c>
      <c r="AY58" s="8"/>
      <c r="AZ58" s="8" t="s">
        <v>8235</v>
      </c>
      <c r="BA58" s="81" t="s">
        <v>556</v>
      </c>
      <c r="BB58" s="8"/>
      <c r="BC58" s="8"/>
      <c r="BD58" s="8"/>
      <c r="BE58" s="81" t="s">
        <v>261</v>
      </c>
      <c r="BF58" s="8" t="s">
        <v>955</v>
      </c>
      <c r="BG58" s="9">
        <v>47710</v>
      </c>
      <c r="BH58" s="81" t="s">
        <v>305</v>
      </c>
      <c r="BI58" s="81" t="s">
        <v>559</v>
      </c>
      <c r="BJ58" s="9">
        <v>44440</v>
      </c>
      <c r="BK58" s="9">
        <v>45474</v>
      </c>
      <c r="BL58" s="81" t="s">
        <v>945</v>
      </c>
      <c r="BM58" s="8"/>
      <c r="BN58" s="8"/>
      <c r="BO58" s="8"/>
      <c r="BP58" s="8"/>
      <c r="BQ58" s="9"/>
      <c r="BR58" s="9"/>
      <c r="BS58" s="8"/>
      <c r="BT58" s="8"/>
      <c r="BU58" s="8"/>
      <c r="BV58" s="8"/>
      <c r="BW58" s="81" t="s">
        <v>256</v>
      </c>
      <c r="BX58" s="81" t="s">
        <v>337</v>
      </c>
      <c r="BY58" s="9">
        <v>45839</v>
      </c>
      <c r="BZ58" s="9">
        <v>46934</v>
      </c>
      <c r="CA58" s="8" t="s">
        <v>257</v>
      </c>
    </row>
    <row r="59" spans="1:79" ht="157.19999999999999" x14ac:dyDescent="0.25">
      <c r="A59" s="81" t="s">
        <v>957</v>
      </c>
      <c r="B59" s="8"/>
      <c r="C59" s="81" t="s">
        <v>26</v>
      </c>
      <c r="D59" s="8" t="s">
        <v>7831</v>
      </c>
      <c r="E59" s="8"/>
      <c r="F59" s="9">
        <v>37231</v>
      </c>
      <c r="G59" s="8" t="s">
        <v>249</v>
      </c>
      <c r="H59" s="81" t="s">
        <v>250</v>
      </c>
      <c r="I59" s="81" t="s">
        <v>27</v>
      </c>
      <c r="J59" s="81" t="s">
        <v>270</v>
      </c>
      <c r="K59" s="81" t="s">
        <v>601</v>
      </c>
      <c r="L59" s="81" t="s">
        <v>102</v>
      </c>
      <c r="M59" s="81" t="s">
        <v>8237</v>
      </c>
      <c r="N59" s="81" t="s">
        <v>119</v>
      </c>
      <c r="O59" s="81" t="s">
        <v>253</v>
      </c>
      <c r="P59" s="9"/>
      <c r="Q59" s="8"/>
      <c r="R59" s="8"/>
      <c r="S59" s="8"/>
      <c r="T59" s="8"/>
      <c r="U59" s="8"/>
      <c r="V59" s="8"/>
      <c r="W59" s="8"/>
      <c r="X59" s="8" t="s">
        <v>958</v>
      </c>
      <c r="Y59" s="81" t="s">
        <v>33</v>
      </c>
      <c r="Z59" s="8"/>
      <c r="AA59" s="81" t="s">
        <v>565</v>
      </c>
      <c r="AB59" s="8"/>
      <c r="AC59" s="8"/>
      <c r="AD59" s="81" t="s">
        <v>566</v>
      </c>
      <c r="AE59" s="81" t="s">
        <v>8162</v>
      </c>
      <c r="AF59" s="81" t="s">
        <v>256</v>
      </c>
      <c r="AG59" s="81" t="s">
        <v>566</v>
      </c>
      <c r="AH59" s="8"/>
      <c r="AI59" s="8"/>
      <c r="AJ59" s="8"/>
      <c r="AK59" s="8"/>
      <c r="AL59" s="8"/>
      <c r="AM59" s="81" t="s">
        <v>243</v>
      </c>
      <c r="AN59" s="8"/>
      <c r="AO59" s="8"/>
      <c r="AP59" s="8"/>
      <c r="AQ59" s="8"/>
      <c r="AR59" s="9">
        <v>45474</v>
      </c>
      <c r="AS59" s="8" t="s">
        <v>8122</v>
      </c>
      <c r="AT59" s="8" t="s">
        <v>348</v>
      </c>
      <c r="AU59" s="9"/>
      <c r="AV59" s="81" t="s">
        <v>322</v>
      </c>
      <c r="AW59" s="81" t="s">
        <v>256</v>
      </c>
      <c r="AX59" s="8" t="s">
        <v>959</v>
      </c>
      <c r="AY59" s="8"/>
      <c r="AZ59" s="8" t="s">
        <v>8235</v>
      </c>
      <c r="BA59" s="81" t="s">
        <v>556</v>
      </c>
      <c r="BB59" s="8"/>
      <c r="BC59" s="8"/>
      <c r="BD59" s="8"/>
      <c r="BE59" s="81" t="s">
        <v>261</v>
      </c>
      <c r="BF59" s="8" t="s">
        <v>960</v>
      </c>
      <c r="BG59" s="9">
        <v>48568</v>
      </c>
      <c r="BH59" s="81" t="s">
        <v>305</v>
      </c>
      <c r="BI59" s="81" t="s">
        <v>559</v>
      </c>
      <c r="BJ59" s="9">
        <v>44440</v>
      </c>
      <c r="BK59" s="9">
        <v>45474</v>
      </c>
      <c r="BL59" s="81" t="s">
        <v>962</v>
      </c>
      <c r="BM59" s="8"/>
      <c r="BN59" s="8"/>
      <c r="BO59" s="8"/>
      <c r="BP59" s="8"/>
      <c r="BQ59" s="9"/>
      <c r="BR59" s="9"/>
      <c r="BS59" s="8"/>
      <c r="BT59" s="8"/>
      <c r="BU59" s="8"/>
      <c r="BV59" s="8"/>
      <c r="BW59" s="81" t="s">
        <v>256</v>
      </c>
      <c r="BX59" s="81" t="s">
        <v>337</v>
      </c>
      <c r="BY59" s="9">
        <v>45839</v>
      </c>
      <c r="BZ59" s="9">
        <v>46934</v>
      </c>
      <c r="CA59" s="8" t="s">
        <v>257</v>
      </c>
    </row>
    <row r="60" spans="1:79" ht="141.6" x14ac:dyDescent="0.25">
      <c r="A60" s="81" t="s">
        <v>963</v>
      </c>
      <c r="B60" s="8"/>
      <c r="C60" s="81" t="s">
        <v>26</v>
      </c>
      <c r="D60" s="8" t="s">
        <v>7832</v>
      </c>
      <c r="E60" s="8"/>
      <c r="F60" s="9">
        <v>38035</v>
      </c>
      <c r="G60" s="8" t="s">
        <v>549</v>
      </c>
      <c r="H60" s="81" t="s">
        <v>250</v>
      </c>
      <c r="I60" s="81" t="s">
        <v>27</v>
      </c>
      <c r="J60" s="81" t="s">
        <v>270</v>
      </c>
      <c r="K60" s="81" t="s">
        <v>488</v>
      </c>
      <c r="L60" s="81" t="s">
        <v>102</v>
      </c>
      <c r="M60" s="81" t="s">
        <v>8238</v>
      </c>
      <c r="N60" s="81" t="s">
        <v>272</v>
      </c>
      <c r="O60" s="81" t="s">
        <v>253</v>
      </c>
      <c r="P60" s="9"/>
      <c r="Q60" s="8"/>
      <c r="R60" s="8"/>
      <c r="S60" s="8"/>
      <c r="T60" s="8"/>
      <c r="U60" s="8"/>
      <c r="V60" s="81" t="s">
        <v>8239</v>
      </c>
      <c r="W60" s="81" t="s">
        <v>965</v>
      </c>
      <c r="X60" s="8" t="s">
        <v>966</v>
      </c>
      <c r="Y60" s="81" t="s">
        <v>33</v>
      </c>
      <c r="Z60" s="8"/>
      <c r="AA60" s="81" t="s">
        <v>733</v>
      </c>
      <c r="AB60" s="8"/>
      <c r="AC60" s="8"/>
      <c r="AD60" s="81" t="s">
        <v>553</v>
      </c>
      <c r="AE60" s="81" t="s">
        <v>8194</v>
      </c>
      <c r="AF60" s="81" t="s">
        <v>492</v>
      </c>
      <c r="AG60" s="81" t="s">
        <v>553</v>
      </c>
      <c r="AH60" s="8"/>
      <c r="AI60" s="8"/>
      <c r="AJ60" s="8"/>
      <c r="AK60" s="8"/>
      <c r="AL60" s="8"/>
      <c r="AM60" s="81" t="s">
        <v>243</v>
      </c>
      <c r="AN60" s="8"/>
      <c r="AO60" s="8"/>
      <c r="AP60" s="8"/>
      <c r="AQ60" s="8"/>
      <c r="AR60" s="9">
        <v>45474</v>
      </c>
      <c r="AS60" s="8" t="s">
        <v>8122</v>
      </c>
      <c r="AT60" s="8" t="s">
        <v>245</v>
      </c>
      <c r="AU60" s="9">
        <v>45505</v>
      </c>
      <c r="AV60" s="81" t="s">
        <v>322</v>
      </c>
      <c r="AW60" s="81" t="s">
        <v>492</v>
      </c>
      <c r="AX60" s="8" t="s">
        <v>967</v>
      </c>
      <c r="AY60" s="8"/>
      <c r="AZ60" s="8" t="s">
        <v>8230</v>
      </c>
      <c r="BA60" s="81" t="s">
        <v>556</v>
      </c>
      <c r="BB60" s="8"/>
      <c r="BC60" s="8"/>
      <c r="BD60" s="8"/>
      <c r="BE60" s="81" t="s">
        <v>261</v>
      </c>
      <c r="BF60" s="8" t="s">
        <v>968</v>
      </c>
      <c r="BG60" s="9">
        <v>47691</v>
      </c>
      <c r="BH60" s="81" t="s">
        <v>305</v>
      </c>
      <c r="BI60" s="81" t="s">
        <v>559</v>
      </c>
      <c r="BJ60" s="9">
        <v>44440</v>
      </c>
      <c r="BK60" s="9">
        <v>45474</v>
      </c>
      <c r="BL60" s="81" t="s">
        <v>970</v>
      </c>
      <c r="BM60" s="8"/>
      <c r="BN60" s="8"/>
      <c r="BO60" s="8"/>
      <c r="BP60" s="8"/>
      <c r="BQ60" s="9"/>
      <c r="BR60" s="9"/>
      <c r="BS60" s="8"/>
      <c r="BT60" s="8"/>
      <c r="BU60" s="8"/>
      <c r="BV60" s="8"/>
      <c r="BW60" s="81" t="s">
        <v>492</v>
      </c>
      <c r="BX60" s="81" t="s">
        <v>337</v>
      </c>
      <c r="BY60" s="9">
        <v>45839</v>
      </c>
      <c r="BZ60" s="9">
        <v>47664</v>
      </c>
      <c r="CA60" s="8" t="s">
        <v>257</v>
      </c>
    </row>
    <row r="61" spans="1:79" ht="157.19999999999999" x14ac:dyDescent="0.25">
      <c r="A61" s="81" t="s">
        <v>971</v>
      </c>
      <c r="B61" s="8"/>
      <c r="C61" s="81" t="s">
        <v>352</v>
      </c>
      <c r="D61" s="8" t="s">
        <v>7833</v>
      </c>
      <c r="E61" s="8"/>
      <c r="F61" s="9">
        <v>36684</v>
      </c>
      <c r="G61" s="8" t="s">
        <v>972</v>
      </c>
      <c r="H61" s="81" t="s">
        <v>250</v>
      </c>
      <c r="I61" s="81" t="s">
        <v>973</v>
      </c>
      <c r="J61" s="81" t="s">
        <v>270</v>
      </c>
      <c r="K61" s="81" t="s">
        <v>974</v>
      </c>
      <c r="L61" s="81" t="s">
        <v>102</v>
      </c>
      <c r="M61" s="81" t="s">
        <v>975</v>
      </c>
      <c r="N61" s="81" t="s">
        <v>119</v>
      </c>
      <c r="O61" s="81" t="s">
        <v>253</v>
      </c>
      <c r="P61" s="9"/>
      <c r="Q61" s="8"/>
      <c r="R61" s="8"/>
      <c r="S61" s="8"/>
      <c r="T61" s="8"/>
      <c r="U61" s="8"/>
      <c r="V61" s="8"/>
      <c r="W61" s="8"/>
      <c r="X61" s="8" t="s">
        <v>976</v>
      </c>
      <c r="Y61" s="81" t="s">
        <v>33</v>
      </c>
      <c r="Z61" s="8"/>
      <c r="AA61" s="81" t="s">
        <v>477</v>
      </c>
      <c r="AB61" s="8"/>
      <c r="AC61" s="8"/>
      <c r="AD61" s="81" t="s">
        <v>533</v>
      </c>
      <c r="AE61" s="81" t="s">
        <v>8157</v>
      </c>
      <c r="AF61" s="81" t="s">
        <v>242</v>
      </c>
      <c r="AG61" s="81" t="s">
        <v>533</v>
      </c>
      <c r="AH61" s="8"/>
      <c r="AI61" s="8"/>
      <c r="AJ61" s="8"/>
      <c r="AK61" s="8"/>
      <c r="AL61" s="8"/>
      <c r="AM61" s="81" t="s">
        <v>243</v>
      </c>
      <c r="AN61" s="8"/>
      <c r="AO61" s="8"/>
      <c r="AP61" s="8"/>
      <c r="AQ61" s="8"/>
      <c r="AR61" s="9">
        <v>45474</v>
      </c>
      <c r="AS61" s="8" t="s">
        <v>8122</v>
      </c>
      <c r="AT61" s="8" t="s">
        <v>348</v>
      </c>
      <c r="AU61" s="9"/>
      <c r="AV61" s="81" t="s">
        <v>322</v>
      </c>
      <c r="AW61" s="81" t="s">
        <v>242</v>
      </c>
      <c r="AX61" s="8" t="s">
        <v>977</v>
      </c>
      <c r="AY61" s="8"/>
      <c r="AZ61" s="8" t="s">
        <v>8235</v>
      </c>
      <c r="BA61" s="81" t="s">
        <v>399</v>
      </c>
      <c r="BB61" s="8"/>
      <c r="BC61" s="8"/>
      <c r="BD61" s="8"/>
      <c r="BE61" s="81" t="s">
        <v>261</v>
      </c>
      <c r="BF61" s="8" t="s">
        <v>978</v>
      </c>
      <c r="BG61" s="9">
        <v>48512</v>
      </c>
      <c r="BH61" s="81" t="s">
        <v>81</v>
      </c>
      <c r="BI61" s="81" t="s">
        <v>83</v>
      </c>
      <c r="BJ61" s="9">
        <v>44075</v>
      </c>
      <c r="BK61" s="9">
        <v>45457</v>
      </c>
      <c r="BL61" s="81" t="s">
        <v>981</v>
      </c>
      <c r="BM61" s="81" t="s">
        <v>82</v>
      </c>
      <c r="BN61" s="8"/>
      <c r="BO61" s="8"/>
      <c r="BP61" s="8"/>
      <c r="BQ61" s="9"/>
      <c r="BR61" s="9"/>
      <c r="BS61" s="8"/>
      <c r="BT61" s="8"/>
      <c r="BU61" s="8"/>
      <c r="BV61" s="8"/>
      <c r="BW61" s="81" t="s">
        <v>242</v>
      </c>
      <c r="BX61" s="81" t="s">
        <v>337</v>
      </c>
      <c r="BY61" s="9">
        <v>45839</v>
      </c>
      <c r="BZ61" s="9">
        <v>46934</v>
      </c>
      <c r="CA61" s="8" t="s">
        <v>257</v>
      </c>
    </row>
    <row r="62" spans="1:79" ht="173.4" x14ac:dyDescent="0.25">
      <c r="A62" s="81" t="s">
        <v>982</v>
      </c>
      <c r="B62" s="8"/>
      <c r="C62" s="81" t="s">
        <v>26</v>
      </c>
      <c r="D62" s="8" t="s">
        <v>7834</v>
      </c>
      <c r="E62" s="8"/>
      <c r="F62" s="9">
        <v>37420</v>
      </c>
      <c r="G62" s="8" t="s">
        <v>473</v>
      </c>
      <c r="H62" s="81" t="s">
        <v>250</v>
      </c>
      <c r="I62" s="81" t="s">
        <v>983</v>
      </c>
      <c r="J62" s="81" t="s">
        <v>270</v>
      </c>
      <c r="K62" s="81" t="s">
        <v>488</v>
      </c>
      <c r="L62" s="81" t="s">
        <v>102</v>
      </c>
      <c r="M62" s="81" t="s">
        <v>8240</v>
      </c>
      <c r="N62" s="81" t="s">
        <v>119</v>
      </c>
      <c r="O62" s="81" t="s">
        <v>253</v>
      </c>
      <c r="P62" s="9"/>
      <c r="Q62" s="8"/>
      <c r="R62" s="8"/>
      <c r="S62" s="8"/>
      <c r="T62" s="8"/>
      <c r="U62" s="8"/>
      <c r="V62" s="8"/>
      <c r="W62" s="8"/>
      <c r="X62" s="8" t="s">
        <v>984</v>
      </c>
      <c r="Y62" s="81" t="s">
        <v>33</v>
      </c>
      <c r="Z62" s="8"/>
      <c r="AA62" s="81" t="s">
        <v>733</v>
      </c>
      <c r="AB62" s="8"/>
      <c r="AC62" s="8"/>
      <c r="AD62" s="81" t="s">
        <v>552</v>
      </c>
      <c r="AE62" s="81" t="s">
        <v>8160</v>
      </c>
      <c r="AF62" s="81" t="s">
        <v>492</v>
      </c>
      <c r="AG62" s="81" t="s">
        <v>553</v>
      </c>
      <c r="AH62" s="81" t="s">
        <v>552</v>
      </c>
      <c r="AI62" s="8"/>
      <c r="AJ62" s="8"/>
      <c r="AK62" s="8"/>
      <c r="AL62" s="8"/>
      <c r="AM62" s="81" t="s">
        <v>243</v>
      </c>
      <c r="AN62" s="8"/>
      <c r="AO62" s="8"/>
      <c r="AP62" s="8"/>
      <c r="AQ62" s="8"/>
      <c r="AR62" s="9">
        <v>45474</v>
      </c>
      <c r="AS62" s="8" t="s">
        <v>8122</v>
      </c>
      <c r="AT62" s="8" t="s">
        <v>245</v>
      </c>
      <c r="AU62" s="9">
        <v>45505</v>
      </c>
      <c r="AV62" s="81" t="s">
        <v>322</v>
      </c>
      <c r="AW62" s="81" t="s">
        <v>492</v>
      </c>
      <c r="AX62" s="8" t="s">
        <v>985</v>
      </c>
      <c r="AY62" s="8"/>
      <c r="AZ62" s="8" t="s">
        <v>8230</v>
      </c>
      <c r="BA62" s="81" t="s">
        <v>556</v>
      </c>
      <c r="BB62" s="8"/>
      <c r="BC62" s="8"/>
      <c r="BD62" s="8"/>
      <c r="BE62" s="81" t="s">
        <v>261</v>
      </c>
      <c r="BF62" s="8" t="s">
        <v>986</v>
      </c>
      <c r="BG62" s="9">
        <v>48667</v>
      </c>
      <c r="BH62" s="81" t="s">
        <v>305</v>
      </c>
      <c r="BI62" s="81" t="s">
        <v>589</v>
      </c>
      <c r="BJ62" s="9">
        <v>44440</v>
      </c>
      <c r="BK62" s="9">
        <v>45473</v>
      </c>
      <c r="BL62" s="81" t="s">
        <v>613</v>
      </c>
      <c r="BM62" s="8"/>
      <c r="BN62" s="8"/>
      <c r="BO62" s="8"/>
      <c r="BP62" s="8"/>
      <c r="BQ62" s="9"/>
      <c r="BR62" s="9"/>
      <c r="BS62" s="8"/>
      <c r="BT62" s="8"/>
      <c r="BU62" s="8"/>
      <c r="BV62" s="8"/>
      <c r="BW62" s="81" t="s">
        <v>492</v>
      </c>
      <c r="BX62" s="81" t="s">
        <v>337</v>
      </c>
      <c r="BY62" s="9">
        <v>45962</v>
      </c>
      <c r="BZ62" s="9">
        <v>47664</v>
      </c>
      <c r="CA62" s="8" t="s">
        <v>245</v>
      </c>
    </row>
    <row r="63" spans="1:79" ht="173.4" x14ac:dyDescent="0.25">
      <c r="A63" s="81" t="s">
        <v>988</v>
      </c>
      <c r="B63" s="8"/>
      <c r="C63" s="81" t="s">
        <v>26</v>
      </c>
      <c r="D63" s="8" t="s">
        <v>7835</v>
      </c>
      <c r="E63" s="8"/>
      <c r="F63" s="9">
        <v>36994</v>
      </c>
      <c r="G63" s="8" t="s">
        <v>249</v>
      </c>
      <c r="H63" s="81" t="s">
        <v>250</v>
      </c>
      <c r="I63" s="81" t="s">
        <v>27</v>
      </c>
      <c r="J63" s="81" t="s">
        <v>270</v>
      </c>
      <c r="K63" s="81" t="s">
        <v>488</v>
      </c>
      <c r="L63" s="81" t="s">
        <v>102</v>
      </c>
      <c r="M63" s="81" t="s">
        <v>989</v>
      </c>
      <c r="N63" s="81" t="s">
        <v>119</v>
      </c>
      <c r="O63" s="81" t="s">
        <v>253</v>
      </c>
      <c r="P63" s="9"/>
      <c r="Q63" s="8"/>
      <c r="R63" s="8"/>
      <c r="S63" s="8"/>
      <c r="T63" s="8"/>
      <c r="U63" s="8"/>
      <c r="V63" s="8"/>
      <c r="W63" s="8"/>
      <c r="X63" s="8" t="s">
        <v>990</v>
      </c>
      <c r="Y63" s="81" t="s">
        <v>33</v>
      </c>
      <c r="Z63" s="8"/>
      <c r="AA63" s="81" t="s">
        <v>733</v>
      </c>
      <c r="AB63" s="8"/>
      <c r="AC63" s="8"/>
      <c r="AD63" s="81" t="s">
        <v>552</v>
      </c>
      <c r="AE63" s="81" t="s">
        <v>8160</v>
      </c>
      <c r="AF63" s="81" t="s">
        <v>492</v>
      </c>
      <c r="AG63" s="81" t="s">
        <v>553</v>
      </c>
      <c r="AH63" s="81" t="s">
        <v>552</v>
      </c>
      <c r="AI63" s="8"/>
      <c r="AJ63" s="8"/>
      <c r="AK63" s="8"/>
      <c r="AL63" s="8"/>
      <c r="AM63" s="81" t="s">
        <v>243</v>
      </c>
      <c r="AN63" s="8"/>
      <c r="AO63" s="8"/>
      <c r="AP63" s="8"/>
      <c r="AQ63" s="8"/>
      <c r="AR63" s="9">
        <v>45474</v>
      </c>
      <c r="AS63" s="8" t="s">
        <v>8122</v>
      </c>
      <c r="AT63" s="8" t="s">
        <v>245</v>
      </c>
      <c r="AU63" s="9">
        <v>45505</v>
      </c>
      <c r="AV63" s="81" t="s">
        <v>322</v>
      </c>
      <c r="AW63" s="81" t="s">
        <v>492</v>
      </c>
      <c r="AX63" s="8" t="s">
        <v>991</v>
      </c>
      <c r="AY63" s="8"/>
      <c r="AZ63" s="8" t="s">
        <v>8230</v>
      </c>
      <c r="BA63" s="81" t="s">
        <v>556</v>
      </c>
      <c r="BB63" s="8"/>
      <c r="BC63" s="8"/>
      <c r="BD63" s="8"/>
      <c r="BE63" s="81" t="s">
        <v>261</v>
      </c>
      <c r="BF63" s="8" t="s">
        <v>992</v>
      </c>
      <c r="BG63" s="9">
        <v>48079</v>
      </c>
      <c r="BH63" s="81" t="s">
        <v>305</v>
      </c>
      <c r="BI63" s="81" t="s">
        <v>589</v>
      </c>
      <c r="BJ63" s="9">
        <v>44440</v>
      </c>
      <c r="BK63" s="9">
        <v>45473</v>
      </c>
      <c r="BL63" s="81" t="s">
        <v>613</v>
      </c>
      <c r="BM63" s="8"/>
      <c r="BN63" s="8"/>
      <c r="BO63" s="8"/>
      <c r="BP63" s="8"/>
      <c r="BQ63" s="9"/>
      <c r="BR63" s="9"/>
      <c r="BS63" s="8"/>
      <c r="BT63" s="8"/>
      <c r="BU63" s="8"/>
      <c r="BV63" s="8"/>
      <c r="BW63" s="81" t="s">
        <v>492</v>
      </c>
      <c r="BX63" s="81" t="s">
        <v>337</v>
      </c>
      <c r="BY63" s="9">
        <v>45962</v>
      </c>
      <c r="BZ63" s="9">
        <v>46934</v>
      </c>
      <c r="CA63" s="8" t="s">
        <v>245</v>
      </c>
    </row>
    <row r="64" spans="1:79" ht="141.6" x14ac:dyDescent="0.25">
      <c r="A64" s="81" t="s">
        <v>994</v>
      </c>
      <c r="B64" s="8"/>
      <c r="C64" s="81" t="s">
        <v>26</v>
      </c>
      <c r="D64" s="8" t="s">
        <v>7836</v>
      </c>
      <c r="E64" s="8" t="s">
        <v>995</v>
      </c>
      <c r="F64" s="9">
        <v>36142</v>
      </c>
      <c r="G64" s="8" t="s">
        <v>393</v>
      </c>
      <c r="H64" s="81" t="s">
        <v>250</v>
      </c>
      <c r="I64" s="81" t="s">
        <v>27</v>
      </c>
      <c r="J64" s="81" t="s">
        <v>293</v>
      </c>
      <c r="K64" s="81" t="s">
        <v>608</v>
      </c>
      <c r="L64" s="81" t="s">
        <v>102</v>
      </c>
      <c r="M64" s="81" t="s">
        <v>8241</v>
      </c>
      <c r="N64" s="81" t="s">
        <v>272</v>
      </c>
      <c r="O64" s="81" t="s">
        <v>253</v>
      </c>
      <c r="P64" s="9">
        <v>44993</v>
      </c>
      <c r="Q64" s="8" t="s">
        <v>8242</v>
      </c>
      <c r="R64" s="8"/>
      <c r="S64" s="8"/>
      <c r="T64" s="8"/>
      <c r="U64" s="8"/>
      <c r="V64" s="8"/>
      <c r="W64" s="8"/>
      <c r="X64" s="8" t="s">
        <v>996</v>
      </c>
      <c r="Y64" s="81" t="s">
        <v>33</v>
      </c>
      <c r="Z64" s="8"/>
      <c r="AA64" s="81" t="s">
        <v>997</v>
      </c>
      <c r="AB64" s="8"/>
      <c r="AC64" s="8"/>
      <c r="AD64" s="81" t="s">
        <v>376</v>
      </c>
      <c r="AE64" s="81" t="s">
        <v>8135</v>
      </c>
      <c r="AF64" s="81" t="s">
        <v>242</v>
      </c>
      <c r="AG64" s="81" t="s">
        <v>376</v>
      </c>
      <c r="AH64" s="8"/>
      <c r="AI64" s="8"/>
      <c r="AJ64" s="8"/>
      <c r="AK64" s="8"/>
      <c r="AL64" s="8"/>
      <c r="AM64" s="81" t="s">
        <v>243</v>
      </c>
      <c r="AN64" s="8"/>
      <c r="AO64" s="8"/>
      <c r="AP64" s="8"/>
      <c r="AQ64" s="8"/>
      <c r="AR64" s="9">
        <v>45463</v>
      </c>
      <c r="AS64" s="8" t="s">
        <v>8122</v>
      </c>
      <c r="AT64" s="8" t="s">
        <v>905</v>
      </c>
      <c r="AU64" s="9">
        <v>45646</v>
      </c>
      <c r="AV64" s="81" t="s">
        <v>322</v>
      </c>
      <c r="AW64" s="81" t="s">
        <v>242</v>
      </c>
      <c r="AX64" s="8" t="s">
        <v>999</v>
      </c>
      <c r="AY64" s="8"/>
      <c r="AZ64" s="8" t="s">
        <v>8243</v>
      </c>
      <c r="BA64" s="81" t="s">
        <v>361</v>
      </c>
      <c r="BB64" s="81" t="s">
        <v>1000</v>
      </c>
      <c r="BC64" s="81" t="s">
        <v>994</v>
      </c>
      <c r="BD64" s="8" t="s">
        <v>1001</v>
      </c>
      <c r="BE64" s="81" t="s">
        <v>261</v>
      </c>
      <c r="BF64" s="8" t="s">
        <v>1002</v>
      </c>
      <c r="BG64" s="9">
        <v>46964</v>
      </c>
      <c r="BH64" s="81" t="s">
        <v>81</v>
      </c>
      <c r="BI64" s="81" t="s">
        <v>1004</v>
      </c>
      <c r="BJ64" s="9">
        <v>43351</v>
      </c>
      <c r="BK64" s="9">
        <v>44728</v>
      </c>
      <c r="BL64" s="81" t="s">
        <v>1006</v>
      </c>
      <c r="BM64" s="81" t="s">
        <v>82</v>
      </c>
      <c r="BN64" s="81" t="s">
        <v>8244</v>
      </c>
      <c r="BO64" s="8"/>
      <c r="BP64" s="8"/>
      <c r="BQ64" s="9">
        <v>44993</v>
      </c>
      <c r="BR64" s="9"/>
      <c r="BS64" s="8"/>
      <c r="BT64" s="81" t="s">
        <v>1007</v>
      </c>
      <c r="BU64" s="81" t="s">
        <v>335</v>
      </c>
      <c r="BV64" s="8" t="s">
        <v>1008</v>
      </c>
      <c r="BW64" s="81" t="s">
        <v>242</v>
      </c>
      <c r="BX64" s="81" t="s">
        <v>337</v>
      </c>
      <c r="BY64" s="9">
        <v>45463</v>
      </c>
      <c r="BZ64" s="9">
        <v>46557</v>
      </c>
      <c r="CA64" s="8"/>
    </row>
    <row r="65" spans="1:79" ht="157.19999999999999" x14ac:dyDescent="0.25">
      <c r="A65" s="81" t="s">
        <v>1010</v>
      </c>
      <c r="B65" s="8"/>
      <c r="C65" s="81" t="s">
        <v>26</v>
      </c>
      <c r="D65" s="8" t="s">
        <v>7837</v>
      </c>
      <c r="E65" s="8" t="s">
        <v>1011</v>
      </c>
      <c r="F65" s="9">
        <v>34835</v>
      </c>
      <c r="G65" s="8" t="s">
        <v>741</v>
      </c>
      <c r="H65" s="81" t="s">
        <v>250</v>
      </c>
      <c r="I65" s="81" t="s">
        <v>27</v>
      </c>
      <c r="J65" s="81" t="s">
        <v>474</v>
      </c>
      <c r="K65" s="81" t="s">
        <v>808</v>
      </c>
      <c r="L65" s="81" t="s">
        <v>102</v>
      </c>
      <c r="M65" s="81" t="s">
        <v>8245</v>
      </c>
      <c r="N65" s="81" t="s">
        <v>119</v>
      </c>
      <c r="O65" s="81" t="s">
        <v>253</v>
      </c>
      <c r="P65" s="9">
        <v>43294</v>
      </c>
      <c r="Q65" s="8" t="s">
        <v>8246</v>
      </c>
      <c r="R65" s="8"/>
      <c r="S65" s="8"/>
      <c r="T65" s="81" t="s">
        <v>8247</v>
      </c>
      <c r="U65" s="81" t="s">
        <v>1013</v>
      </c>
      <c r="V65" s="8"/>
      <c r="W65" s="8"/>
      <c r="X65" s="8" t="s">
        <v>1014</v>
      </c>
      <c r="Y65" s="81" t="s">
        <v>33</v>
      </c>
      <c r="Z65" s="8"/>
      <c r="AA65" s="81" t="s">
        <v>240</v>
      </c>
      <c r="AB65" s="8"/>
      <c r="AC65" s="8"/>
      <c r="AD65" s="81" t="s">
        <v>655</v>
      </c>
      <c r="AE65" s="81" t="s">
        <v>8178</v>
      </c>
      <c r="AF65" s="81" t="s">
        <v>242</v>
      </c>
      <c r="AG65" s="81" t="s">
        <v>655</v>
      </c>
      <c r="AH65" s="8"/>
      <c r="AI65" s="8"/>
      <c r="AJ65" s="8"/>
      <c r="AK65" s="8"/>
      <c r="AL65" s="8"/>
      <c r="AM65" s="81" t="s">
        <v>243</v>
      </c>
      <c r="AN65" s="8"/>
      <c r="AO65" s="8"/>
      <c r="AP65" s="8"/>
      <c r="AQ65" s="8"/>
      <c r="AR65" s="9">
        <v>45454</v>
      </c>
      <c r="AS65" s="8" t="s">
        <v>8248</v>
      </c>
      <c r="AT65" s="8" t="s">
        <v>245</v>
      </c>
      <c r="AU65" s="9">
        <v>45484</v>
      </c>
      <c r="AV65" s="81" t="s">
        <v>322</v>
      </c>
      <c r="AW65" s="81" t="s">
        <v>242</v>
      </c>
      <c r="AX65" s="8" t="s">
        <v>1016</v>
      </c>
      <c r="AY65" s="8"/>
      <c r="AZ65" s="8" t="s">
        <v>8229</v>
      </c>
      <c r="BA65" s="81" t="s">
        <v>399</v>
      </c>
      <c r="BB65" s="81" t="s">
        <v>301</v>
      </c>
      <c r="BC65" s="81" t="s">
        <v>1010</v>
      </c>
      <c r="BD65" s="8" t="s">
        <v>1017</v>
      </c>
      <c r="BE65" s="81" t="s">
        <v>261</v>
      </c>
      <c r="BF65" s="8" t="s">
        <v>1018</v>
      </c>
      <c r="BG65" s="9">
        <v>52753</v>
      </c>
      <c r="BH65" s="81" t="s">
        <v>81</v>
      </c>
      <c r="BI65" s="81" t="s">
        <v>827</v>
      </c>
      <c r="BJ65" s="9">
        <v>41852</v>
      </c>
      <c r="BK65" s="9">
        <v>43276</v>
      </c>
      <c r="BL65" s="81" t="s">
        <v>264</v>
      </c>
      <c r="BM65" s="81" t="s">
        <v>82</v>
      </c>
      <c r="BN65" s="81" t="s">
        <v>1021</v>
      </c>
      <c r="BO65" s="8"/>
      <c r="BP65" s="8"/>
      <c r="BQ65" s="9">
        <v>43294</v>
      </c>
      <c r="BR65" s="9">
        <v>45440</v>
      </c>
      <c r="BS65" s="8"/>
      <c r="BT65" s="81" t="s">
        <v>1022</v>
      </c>
      <c r="BU65" s="81" t="s">
        <v>702</v>
      </c>
      <c r="BV65" s="8" t="s">
        <v>1023</v>
      </c>
      <c r="BW65" s="81" t="s">
        <v>242</v>
      </c>
      <c r="BX65" s="81" t="s">
        <v>337</v>
      </c>
      <c r="BY65" s="9">
        <v>45819</v>
      </c>
      <c r="BZ65" s="9">
        <v>47664</v>
      </c>
      <c r="CA65" s="8" t="s">
        <v>257</v>
      </c>
    </row>
    <row r="66" spans="1:79" ht="157.19999999999999" x14ac:dyDescent="0.25">
      <c r="A66" s="81" t="s">
        <v>1025</v>
      </c>
      <c r="B66" s="8"/>
      <c r="C66" s="81" t="s">
        <v>352</v>
      </c>
      <c r="D66" s="8" t="s">
        <v>7838</v>
      </c>
      <c r="E66" s="8"/>
      <c r="F66" s="9">
        <v>36542</v>
      </c>
      <c r="G66" s="8" t="s">
        <v>414</v>
      </c>
      <c r="H66" s="81" t="s">
        <v>250</v>
      </c>
      <c r="I66" s="81" t="s">
        <v>27</v>
      </c>
      <c r="J66" s="81" t="s">
        <v>293</v>
      </c>
      <c r="K66" s="81" t="s">
        <v>294</v>
      </c>
      <c r="L66" s="81" t="s">
        <v>102</v>
      </c>
      <c r="M66" s="81" t="s">
        <v>8249</v>
      </c>
      <c r="N66" s="81" t="s">
        <v>272</v>
      </c>
      <c r="O66" s="81" t="s">
        <v>253</v>
      </c>
      <c r="P66" s="9"/>
      <c r="Q66" s="8"/>
      <c r="R66" s="8"/>
      <c r="S66" s="8"/>
      <c r="T66" s="8"/>
      <c r="U66" s="8"/>
      <c r="V66" s="8"/>
      <c r="W66" s="8"/>
      <c r="X66" s="8" t="s">
        <v>1026</v>
      </c>
      <c r="Y66" s="81" t="s">
        <v>33</v>
      </c>
      <c r="Z66" s="8"/>
      <c r="AA66" s="81" t="s">
        <v>1027</v>
      </c>
      <c r="AB66" s="8"/>
      <c r="AC66" s="8"/>
      <c r="AD66" s="81" t="s">
        <v>524</v>
      </c>
      <c r="AE66" s="81" t="s">
        <v>8155</v>
      </c>
      <c r="AF66" s="81" t="s">
        <v>242</v>
      </c>
      <c r="AG66" s="81" t="s">
        <v>524</v>
      </c>
      <c r="AH66" s="8"/>
      <c r="AI66" s="8"/>
      <c r="AJ66" s="8"/>
      <c r="AK66" s="8"/>
      <c r="AL66" s="8"/>
      <c r="AM66" s="81" t="s">
        <v>243</v>
      </c>
      <c r="AN66" s="8"/>
      <c r="AO66" s="8"/>
      <c r="AP66" s="8"/>
      <c r="AQ66" s="8"/>
      <c r="AR66" s="9">
        <v>45425</v>
      </c>
      <c r="AS66" s="8" t="s">
        <v>8248</v>
      </c>
      <c r="AT66" s="8" t="s">
        <v>257</v>
      </c>
      <c r="AU66" s="9">
        <v>45486</v>
      </c>
      <c r="AV66" s="81" t="s">
        <v>322</v>
      </c>
      <c r="AW66" s="81" t="s">
        <v>242</v>
      </c>
      <c r="AX66" s="8" t="s">
        <v>1029</v>
      </c>
      <c r="AY66" s="8"/>
      <c r="AZ66" s="8" t="s">
        <v>8250</v>
      </c>
      <c r="BA66" s="81" t="s">
        <v>399</v>
      </c>
      <c r="BB66" s="8"/>
      <c r="BC66" s="8"/>
      <c r="BD66" s="8"/>
      <c r="BE66" s="81" t="s">
        <v>261</v>
      </c>
      <c r="BF66" s="8" t="s">
        <v>1030</v>
      </c>
      <c r="BG66" s="9">
        <v>47700</v>
      </c>
      <c r="BH66" s="81" t="s">
        <v>81</v>
      </c>
      <c r="BI66" s="81" t="s">
        <v>1032</v>
      </c>
      <c r="BJ66" s="9">
        <v>43709</v>
      </c>
      <c r="BK66" s="9">
        <v>45108</v>
      </c>
      <c r="BL66" s="81" t="s">
        <v>1033</v>
      </c>
      <c r="BM66" s="81" t="s">
        <v>82</v>
      </c>
      <c r="BN66" s="8"/>
      <c r="BO66" s="8"/>
      <c r="BP66" s="8"/>
      <c r="BQ66" s="9"/>
      <c r="BR66" s="9"/>
      <c r="BS66" s="8"/>
      <c r="BT66" s="8"/>
      <c r="BU66" s="8"/>
      <c r="BV66" s="8"/>
      <c r="BW66" s="81" t="s">
        <v>242</v>
      </c>
      <c r="BX66" s="81" t="s">
        <v>337</v>
      </c>
      <c r="BY66" s="9">
        <v>45790</v>
      </c>
      <c r="BZ66" s="9">
        <v>46904</v>
      </c>
      <c r="CA66" s="8" t="s">
        <v>257</v>
      </c>
    </row>
    <row r="67" spans="1:79" ht="141.6" x14ac:dyDescent="0.25">
      <c r="A67" s="81" t="s">
        <v>1036</v>
      </c>
      <c r="B67" s="8"/>
      <c r="C67" s="81" t="s">
        <v>352</v>
      </c>
      <c r="D67" s="8" t="s">
        <v>7839</v>
      </c>
      <c r="E67" s="8" t="s">
        <v>1037</v>
      </c>
      <c r="F67" s="9">
        <v>36016</v>
      </c>
      <c r="G67" s="8" t="s">
        <v>393</v>
      </c>
      <c r="H67" s="81" t="s">
        <v>250</v>
      </c>
      <c r="I67" s="81" t="s">
        <v>27</v>
      </c>
      <c r="J67" s="81" t="s">
        <v>270</v>
      </c>
      <c r="K67" s="81" t="s">
        <v>488</v>
      </c>
      <c r="L67" s="81" t="s">
        <v>102</v>
      </c>
      <c r="M67" s="81" t="s">
        <v>1038</v>
      </c>
      <c r="N67" s="81" t="s">
        <v>272</v>
      </c>
      <c r="O67" s="81" t="s">
        <v>253</v>
      </c>
      <c r="P67" s="9">
        <v>44399</v>
      </c>
      <c r="Q67" s="8" t="s">
        <v>8251</v>
      </c>
      <c r="R67" s="8"/>
      <c r="S67" s="8"/>
      <c r="T67" s="8"/>
      <c r="U67" s="8"/>
      <c r="V67" s="8"/>
      <c r="W67" s="8"/>
      <c r="X67" s="8" t="s">
        <v>1039</v>
      </c>
      <c r="Y67" s="81" t="s">
        <v>33</v>
      </c>
      <c r="Z67" s="8"/>
      <c r="AA67" s="81" t="s">
        <v>506</v>
      </c>
      <c r="AB67" s="8"/>
      <c r="AC67" s="8"/>
      <c r="AD67" s="81" t="s">
        <v>255</v>
      </c>
      <c r="AE67" s="81" t="s">
        <v>8117</v>
      </c>
      <c r="AF67" s="81" t="s">
        <v>256</v>
      </c>
      <c r="AG67" s="81" t="s">
        <v>255</v>
      </c>
      <c r="AH67" s="8"/>
      <c r="AI67" s="8"/>
      <c r="AJ67" s="8"/>
      <c r="AK67" s="8"/>
      <c r="AL67" s="8"/>
      <c r="AM67" s="81" t="s">
        <v>243</v>
      </c>
      <c r="AN67" s="8"/>
      <c r="AO67" s="8"/>
      <c r="AP67" s="8"/>
      <c r="AQ67" s="8"/>
      <c r="AR67" s="9">
        <v>45418</v>
      </c>
      <c r="AS67" s="8" t="s">
        <v>8252</v>
      </c>
      <c r="AT67" s="8" t="s">
        <v>257</v>
      </c>
      <c r="AU67" s="9">
        <v>45479</v>
      </c>
      <c r="AV67" s="81" t="s">
        <v>322</v>
      </c>
      <c r="AW67" s="81" t="s">
        <v>256</v>
      </c>
      <c r="AX67" s="8" t="s">
        <v>1041</v>
      </c>
      <c r="AY67" s="8"/>
      <c r="AZ67" s="8" t="s">
        <v>8253</v>
      </c>
      <c r="BA67" s="81" t="s">
        <v>399</v>
      </c>
      <c r="BB67" s="8"/>
      <c r="BC67" s="81" t="s">
        <v>1036</v>
      </c>
      <c r="BD67" s="8" t="s">
        <v>1042</v>
      </c>
      <c r="BE67" s="81" t="s">
        <v>261</v>
      </c>
      <c r="BF67" s="8" t="s">
        <v>1043</v>
      </c>
      <c r="BG67" s="9">
        <v>46971</v>
      </c>
      <c r="BH67" s="81" t="s">
        <v>81</v>
      </c>
      <c r="BI67" s="81" t="s">
        <v>1045</v>
      </c>
      <c r="BJ67" s="9">
        <v>42979</v>
      </c>
      <c r="BK67" s="9">
        <v>44362</v>
      </c>
      <c r="BL67" s="81" t="s">
        <v>828</v>
      </c>
      <c r="BM67" s="81" t="s">
        <v>82</v>
      </c>
      <c r="BN67" s="81" t="s">
        <v>1047</v>
      </c>
      <c r="BO67" s="8"/>
      <c r="BP67" s="81" t="s">
        <v>634</v>
      </c>
      <c r="BQ67" s="9">
        <v>45091</v>
      </c>
      <c r="BR67" s="9">
        <v>45359</v>
      </c>
      <c r="BS67" s="8"/>
      <c r="BT67" s="81" t="s">
        <v>1050</v>
      </c>
      <c r="BU67" s="81" t="s">
        <v>266</v>
      </c>
      <c r="BV67" s="8" t="s">
        <v>1051</v>
      </c>
      <c r="BW67" s="81" t="s">
        <v>256</v>
      </c>
      <c r="BX67" s="81" t="s">
        <v>337</v>
      </c>
      <c r="BY67" s="9">
        <v>45783</v>
      </c>
      <c r="BZ67" s="9">
        <v>46904</v>
      </c>
      <c r="CA67" s="8" t="s">
        <v>257</v>
      </c>
    </row>
    <row r="68" spans="1:79" ht="157.19999999999999" x14ac:dyDescent="0.25">
      <c r="A68" s="81" t="s">
        <v>1053</v>
      </c>
      <c r="B68" s="8"/>
      <c r="C68" s="81" t="s">
        <v>26</v>
      </c>
      <c r="D68" s="8" t="s">
        <v>7840</v>
      </c>
      <c r="E68" s="8" t="s">
        <v>1054</v>
      </c>
      <c r="F68" s="9">
        <v>35087</v>
      </c>
      <c r="G68" s="8" t="s">
        <v>741</v>
      </c>
      <c r="H68" s="81" t="s">
        <v>250</v>
      </c>
      <c r="I68" s="81" t="s">
        <v>27</v>
      </c>
      <c r="J68" s="81" t="s">
        <v>474</v>
      </c>
      <c r="K68" s="81" t="s">
        <v>1055</v>
      </c>
      <c r="L68" s="81" t="s">
        <v>102</v>
      </c>
      <c r="M68" s="81" t="s">
        <v>8254</v>
      </c>
      <c r="N68" s="81" t="s">
        <v>272</v>
      </c>
      <c r="O68" s="81" t="s">
        <v>253</v>
      </c>
      <c r="P68" s="9">
        <v>43293</v>
      </c>
      <c r="Q68" s="8" t="s">
        <v>8246</v>
      </c>
      <c r="R68" s="8"/>
      <c r="S68" s="8"/>
      <c r="T68" s="8"/>
      <c r="U68" s="8"/>
      <c r="V68" s="8"/>
      <c r="W68" s="8"/>
      <c r="X68" s="8" t="s">
        <v>1056</v>
      </c>
      <c r="Y68" s="81" t="s">
        <v>33</v>
      </c>
      <c r="Z68" s="8"/>
      <c r="AA68" s="81" t="s">
        <v>477</v>
      </c>
      <c r="AB68" s="8"/>
      <c r="AC68" s="8"/>
      <c r="AD68" s="81" t="s">
        <v>533</v>
      </c>
      <c r="AE68" s="81" t="s">
        <v>8157</v>
      </c>
      <c r="AF68" s="81" t="s">
        <v>242</v>
      </c>
      <c r="AG68" s="81" t="s">
        <v>533</v>
      </c>
      <c r="AH68" s="8"/>
      <c r="AI68" s="8"/>
      <c r="AJ68" s="8"/>
      <c r="AK68" s="8"/>
      <c r="AL68" s="8"/>
      <c r="AM68" s="81" t="s">
        <v>243</v>
      </c>
      <c r="AN68" s="8"/>
      <c r="AO68" s="8"/>
      <c r="AP68" s="8"/>
      <c r="AQ68" s="8"/>
      <c r="AR68" s="9">
        <v>45407</v>
      </c>
      <c r="AS68" s="8" t="s">
        <v>8252</v>
      </c>
      <c r="AT68" s="8" t="s">
        <v>905</v>
      </c>
      <c r="AU68" s="9">
        <v>45538</v>
      </c>
      <c r="AV68" s="81" t="s">
        <v>322</v>
      </c>
      <c r="AW68" s="81" t="s">
        <v>242</v>
      </c>
      <c r="AX68" s="8" t="s">
        <v>1058</v>
      </c>
      <c r="AY68" s="8"/>
      <c r="AZ68" s="8" t="s">
        <v>8255</v>
      </c>
      <c r="BA68" s="81" t="s">
        <v>399</v>
      </c>
      <c r="BB68" s="81" t="s">
        <v>725</v>
      </c>
      <c r="BC68" s="81" t="s">
        <v>1053</v>
      </c>
      <c r="BD68" s="8" t="s">
        <v>1059</v>
      </c>
      <c r="BE68" s="81" t="s">
        <v>261</v>
      </c>
      <c r="BF68" s="8" t="s">
        <v>1060</v>
      </c>
      <c r="BG68" s="9">
        <v>51982</v>
      </c>
      <c r="BH68" s="81" t="s">
        <v>81</v>
      </c>
      <c r="BI68" s="81" t="s">
        <v>88</v>
      </c>
      <c r="BJ68" s="9">
        <v>41866</v>
      </c>
      <c r="BK68" s="9">
        <v>43277</v>
      </c>
      <c r="BL68" s="81" t="s">
        <v>1062</v>
      </c>
      <c r="BM68" s="81" t="s">
        <v>82</v>
      </c>
      <c r="BN68" s="81" t="s">
        <v>1063</v>
      </c>
      <c r="BO68" s="8"/>
      <c r="BP68" s="8"/>
      <c r="BQ68" s="9">
        <v>43293</v>
      </c>
      <c r="BR68" s="9"/>
      <c r="BS68" s="8"/>
      <c r="BT68" s="81" t="s">
        <v>1064</v>
      </c>
      <c r="BU68" s="81" t="s">
        <v>266</v>
      </c>
      <c r="BV68" s="8" t="s">
        <v>1065</v>
      </c>
      <c r="BW68" s="81" t="s">
        <v>242</v>
      </c>
      <c r="BX68" s="81" t="s">
        <v>337</v>
      </c>
      <c r="BY68" s="9">
        <v>45407</v>
      </c>
      <c r="BZ68" s="9">
        <v>46501</v>
      </c>
      <c r="CA68" s="8" t="s">
        <v>245</v>
      </c>
    </row>
    <row r="69" spans="1:79" ht="78.599999999999994" x14ac:dyDescent="0.25">
      <c r="A69" s="81" t="s">
        <v>1067</v>
      </c>
      <c r="B69" s="8"/>
      <c r="C69" s="81" t="s">
        <v>352</v>
      </c>
      <c r="D69" s="8" t="s">
        <v>7841</v>
      </c>
      <c r="E69" s="8"/>
      <c r="F69" s="9"/>
      <c r="G69" s="8"/>
      <c r="H69" s="81" t="s">
        <v>250</v>
      </c>
      <c r="I69" s="8"/>
      <c r="J69" s="8"/>
      <c r="K69" s="8"/>
      <c r="L69" s="8"/>
      <c r="M69" s="8"/>
      <c r="N69" s="8"/>
      <c r="O69" s="8"/>
      <c r="P69" s="9"/>
      <c r="Q69" s="8"/>
      <c r="R69" s="8"/>
      <c r="S69" s="8"/>
      <c r="T69" s="8"/>
      <c r="U69" s="8"/>
      <c r="V69" s="8"/>
      <c r="W69" s="8"/>
      <c r="X69" s="8"/>
      <c r="Y69" s="81" t="s">
        <v>33</v>
      </c>
      <c r="Z69" s="8"/>
      <c r="AA69" s="8"/>
      <c r="AB69" s="8"/>
      <c r="AC69" s="8"/>
      <c r="AD69" s="81" t="s">
        <v>761</v>
      </c>
      <c r="AE69" s="81" t="s">
        <v>8199</v>
      </c>
      <c r="AF69" s="81" t="s">
        <v>761</v>
      </c>
      <c r="AG69" s="8"/>
      <c r="AH69" s="8"/>
      <c r="AI69" s="8"/>
      <c r="AJ69" s="8"/>
      <c r="AK69" s="8"/>
      <c r="AL69" s="8"/>
      <c r="AM69" s="81" t="s">
        <v>762</v>
      </c>
      <c r="AN69" s="8"/>
      <c r="AO69" s="8"/>
      <c r="AP69" s="8"/>
      <c r="AQ69" s="8"/>
      <c r="AR69" s="9">
        <v>45406</v>
      </c>
      <c r="AS69" s="8" t="s">
        <v>8252</v>
      </c>
      <c r="AT69" s="8" t="s">
        <v>348</v>
      </c>
      <c r="AU69" s="9"/>
      <c r="AV69" s="81" t="s">
        <v>349</v>
      </c>
      <c r="AW69" s="8"/>
      <c r="AX69" s="8" t="s">
        <v>1068</v>
      </c>
      <c r="AY69" s="8"/>
      <c r="AZ69" s="8"/>
      <c r="BA69" s="8"/>
      <c r="BB69" s="8"/>
      <c r="BC69" s="8"/>
      <c r="BD69" s="8"/>
      <c r="BE69" s="8"/>
      <c r="BF69" s="8"/>
      <c r="BG69" s="9"/>
      <c r="BH69" s="8"/>
      <c r="BI69" s="8"/>
      <c r="BJ69" s="9"/>
      <c r="BK69" s="9"/>
      <c r="BL69" s="8"/>
      <c r="BM69" s="8"/>
      <c r="BN69" s="8"/>
      <c r="BO69" s="8"/>
      <c r="BP69" s="8"/>
      <c r="BQ69" s="9"/>
      <c r="BR69" s="9"/>
      <c r="BS69" s="8"/>
      <c r="BT69" s="8"/>
      <c r="BU69" s="8"/>
      <c r="BV69" s="8"/>
      <c r="BW69" s="8"/>
      <c r="BX69" s="8"/>
      <c r="BY69" s="9"/>
      <c r="BZ69" s="9"/>
      <c r="CA69" s="8"/>
    </row>
    <row r="70" spans="1:79" ht="78.599999999999994" x14ac:dyDescent="0.25">
      <c r="A70" s="81" t="s">
        <v>1069</v>
      </c>
      <c r="B70" s="8"/>
      <c r="C70" s="81" t="s">
        <v>26</v>
      </c>
      <c r="D70" s="8" t="s">
        <v>7842</v>
      </c>
      <c r="E70" s="8"/>
      <c r="F70" s="9"/>
      <c r="G70" s="8"/>
      <c r="H70" s="81" t="s">
        <v>250</v>
      </c>
      <c r="I70" s="8"/>
      <c r="J70" s="8"/>
      <c r="K70" s="8"/>
      <c r="L70" s="8"/>
      <c r="M70" s="8"/>
      <c r="N70" s="8"/>
      <c r="O70" s="8"/>
      <c r="P70" s="9"/>
      <c r="Q70" s="8"/>
      <c r="R70" s="8"/>
      <c r="S70" s="8"/>
      <c r="T70" s="8"/>
      <c r="U70" s="8"/>
      <c r="V70" s="8"/>
      <c r="W70" s="8"/>
      <c r="X70" s="8"/>
      <c r="Y70" s="81" t="s">
        <v>33</v>
      </c>
      <c r="Z70" s="8"/>
      <c r="AA70" s="8"/>
      <c r="AB70" s="8"/>
      <c r="AC70" s="8"/>
      <c r="AD70" s="81" t="s">
        <v>761</v>
      </c>
      <c r="AE70" s="81" t="s">
        <v>8199</v>
      </c>
      <c r="AF70" s="81" t="s">
        <v>761</v>
      </c>
      <c r="AG70" s="8"/>
      <c r="AH70" s="8"/>
      <c r="AI70" s="8"/>
      <c r="AJ70" s="8"/>
      <c r="AK70" s="8"/>
      <c r="AL70" s="8"/>
      <c r="AM70" s="81" t="s">
        <v>762</v>
      </c>
      <c r="AN70" s="8"/>
      <c r="AO70" s="8"/>
      <c r="AP70" s="8"/>
      <c r="AQ70" s="8"/>
      <c r="AR70" s="9">
        <v>45406</v>
      </c>
      <c r="AS70" s="8" t="s">
        <v>8252</v>
      </c>
      <c r="AT70" s="8" t="s">
        <v>348</v>
      </c>
      <c r="AU70" s="9"/>
      <c r="AV70" s="81" t="s">
        <v>349</v>
      </c>
      <c r="AW70" s="8"/>
      <c r="AX70" s="8" t="s">
        <v>1070</v>
      </c>
      <c r="AY70" s="8"/>
      <c r="AZ70" s="8"/>
      <c r="BA70" s="8"/>
      <c r="BB70" s="8"/>
      <c r="BC70" s="8"/>
      <c r="BD70" s="8"/>
      <c r="BE70" s="8"/>
      <c r="BF70" s="8"/>
      <c r="BG70" s="9"/>
      <c r="BH70" s="8"/>
      <c r="BI70" s="8"/>
      <c r="BJ70" s="9"/>
      <c r="BK70" s="9"/>
      <c r="BL70" s="8"/>
      <c r="BM70" s="8"/>
      <c r="BN70" s="8"/>
      <c r="BO70" s="8"/>
      <c r="BP70" s="8"/>
      <c r="BQ70" s="9"/>
      <c r="BR70" s="9"/>
      <c r="BS70" s="8"/>
      <c r="BT70" s="8"/>
      <c r="BU70" s="8"/>
      <c r="BV70" s="8"/>
      <c r="BW70" s="8"/>
      <c r="BX70" s="8"/>
      <c r="BY70" s="9"/>
      <c r="BZ70" s="9"/>
      <c r="CA70" s="8"/>
    </row>
    <row r="71" spans="1:79" ht="141.6" x14ac:dyDescent="0.25">
      <c r="A71" s="81" t="s">
        <v>1071</v>
      </c>
      <c r="B71" s="8"/>
      <c r="C71" s="81" t="s">
        <v>26</v>
      </c>
      <c r="D71" s="8" t="s">
        <v>7843</v>
      </c>
      <c r="E71" s="8" t="s">
        <v>1072</v>
      </c>
      <c r="F71" s="9">
        <v>35595</v>
      </c>
      <c r="G71" s="8" t="s">
        <v>819</v>
      </c>
      <c r="H71" s="81" t="s">
        <v>250</v>
      </c>
      <c r="I71" s="81" t="s">
        <v>27</v>
      </c>
      <c r="J71" s="81" t="s">
        <v>293</v>
      </c>
      <c r="K71" s="81" t="s">
        <v>294</v>
      </c>
      <c r="L71" s="81" t="s">
        <v>102</v>
      </c>
      <c r="M71" s="81" t="s">
        <v>8256</v>
      </c>
      <c r="N71" s="81" t="s">
        <v>272</v>
      </c>
      <c r="O71" s="81" t="s">
        <v>253</v>
      </c>
      <c r="P71" s="9">
        <v>44383</v>
      </c>
      <c r="Q71" s="8" t="s">
        <v>8195</v>
      </c>
      <c r="R71" s="8"/>
      <c r="S71" s="8"/>
      <c r="T71" s="8"/>
      <c r="U71" s="8"/>
      <c r="V71" s="8"/>
      <c r="W71" s="8"/>
      <c r="X71" s="8" t="s">
        <v>1074</v>
      </c>
      <c r="Y71" s="81" t="s">
        <v>33</v>
      </c>
      <c r="Z71" s="8"/>
      <c r="AA71" s="81" t="s">
        <v>506</v>
      </c>
      <c r="AB71" s="8"/>
      <c r="AC71" s="8"/>
      <c r="AD71" s="81" t="s">
        <v>255</v>
      </c>
      <c r="AE71" s="81" t="s">
        <v>8117</v>
      </c>
      <c r="AF71" s="81" t="s">
        <v>256</v>
      </c>
      <c r="AG71" s="81" t="s">
        <v>255</v>
      </c>
      <c r="AH71" s="8"/>
      <c r="AI71" s="8"/>
      <c r="AJ71" s="8"/>
      <c r="AK71" s="8"/>
      <c r="AL71" s="8"/>
      <c r="AM71" s="81" t="s">
        <v>243</v>
      </c>
      <c r="AN71" s="8"/>
      <c r="AO71" s="8"/>
      <c r="AP71" s="8"/>
      <c r="AQ71" s="8"/>
      <c r="AR71" s="9">
        <v>45405</v>
      </c>
      <c r="AS71" s="8" t="s">
        <v>8252</v>
      </c>
      <c r="AT71" s="8" t="s">
        <v>257</v>
      </c>
      <c r="AU71" s="9">
        <v>45466</v>
      </c>
      <c r="AV71" s="81" t="s">
        <v>322</v>
      </c>
      <c r="AW71" s="81" t="s">
        <v>256</v>
      </c>
      <c r="AX71" s="8" t="s">
        <v>1076</v>
      </c>
      <c r="AY71" s="8"/>
      <c r="AZ71" s="8" t="s">
        <v>8257</v>
      </c>
      <c r="BA71" s="81" t="s">
        <v>399</v>
      </c>
      <c r="BB71" s="81" t="s">
        <v>1077</v>
      </c>
      <c r="BC71" s="81" t="s">
        <v>1071</v>
      </c>
      <c r="BD71" s="8" t="s">
        <v>1078</v>
      </c>
      <c r="BE71" s="81" t="s">
        <v>261</v>
      </c>
      <c r="BF71" s="8" t="s">
        <v>1079</v>
      </c>
      <c r="BG71" s="9">
        <v>52675</v>
      </c>
      <c r="BH71" s="81" t="s">
        <v>81</v>
      </c>
      <c r="BI71" s="81" t="s">
        <v>1081</v>
      </c>
      <c r="BJ71" s="9">
        <v>42985</v>
      </c>
      <c r="BK71" s="9">
        <v>44377</v>
      </c>
      <c r="BL71" s="81" t="s">
        <v>1083</v>
      </c>
      <c r="BM71" s="81" t="s">
        <v>82</v>
      </c>
      <c r="BN71" s="81" t="s">
        <v>1084</v>
      </c>
      <c r="BO71" s="81" t="s">
        <v>57</v>
      </c>
      <c r="BP71" s="81" t="s">
        <v>1085</v>
      </c>
      <c r="BQ71" s="9">
        <v>44383</v>
      </c>
      <c r="BR71" s="9">
        <v>44721</v>
      </c>
      <c r="BS71" s="8"/>
      <c r="BT71" s="81" t="s">
        <v>1087</v>
      </c>
      <c r="BU71" s="81" t="s">
        <v>266</v>
      </c>
      <c r="BV71" s="8" t="s">
        <v>1088</v>
      </c>
      <c r="BW71" s="81" t="s">
        <v>256</v>
      </c>
      <c r="BX71" s="81" t="s">
        <v>337</v>
      </c>
      <c r="BY71" s="9">
        <v>45770</v>
      </c>
      <c r="BZ71" s="9">
        <v>46873</v>
      </c>
      <c r="CA71" s="8" t="s">
        <v>257</v>
      </c>
    </row>
    <row r="72" spans="1:79" ht="157.19999999999999" x14ac:dyDescent="0.25">
      <c r="A72" s="81" t="s">
        <v>1091</v>
      </c>
      <c r="B72" s="8"/>
      <c r="C72" s="81" t="s">
        <v>26</v>
      </c>
      <c r="D72" s="8" t="s">
        <v>7844</v>
      </c>
      <c r="E72" s="8" t="s">
        <v>1092</v>
      </c>
      <c r="F72" s="9">
        <v>36088</v>
      </c>
      <c r="G72" s="8" t="s">
        <v>393</v>
      </c>
      <c r="H72" s="81" t="s">
        <v>250</v>
      </c>
      <c r="I72" s="81" t="s">
        <v>27</v>
      </c>
      <c r="J72" s="81" t="s">
        <v>270</v>
      </c>
      <c r="K72" s="81" t="s">
        <v>488</v>
      </c>
      <c r="L72" s="81" t="s">
        <v>102</v>
      </c>
      <c r="M72" s="81" t="s">
        <v>1093</v>
      </c>
      <c r="N72" s="81" t="s">
        <v>272</v>
      </c>
      <c r="O72" s="81" t="s">
        <v>253</v>
      </c>
      <c r="P72" s="9">
        <v>44409</v>
      </c>
      <c r="Q72" s="8" t="s">
        <v>8251</v>
      </c>
      <c r="R72" s="8"/>
      <c r="S72" s="8"/>
      <c r="T72" s="81" t="s">
        <v>8141</v>
      </c>
      <c r="U72" s="81" t="s">
        <v>1095</v>
      </c>
      <c r="V72" s="8"/>
      <c r="W72" s="8"/>
      <c r="X72" s="8" t="s">
        <v>1096</v>
      </c>
      <c r="Y72" s="81" t="s">
        <v>33</v>
      </c>
      <c r="Z72" s="8" t="s">
        <v>1092</v>
      </c>
      <c r="AA72" s="81" t="s">
        <v>1097</v>
      </c>
      <c r="AB72" s="8"/>
      <c r="AC72" s="8"/>
      <c r="AD72" s="81" t="s">
        <v>861</v>
      </c>
      <c r="AE72" s="81" t="s">
        <v>8220</v>
      </c>
      <c r="AF72" s="81" t="s">
        <v>492</v>
      </c>
      <c r="AG72" s="81" t="s">
        <v>861</v>
      </c>
      <c r="AH72" s="8"/>
      <c r="AI72" s="8"/>
      <c r="AJ72" s="8"/>
      <c r="AK72" s="8"/>
      <c r="AL72" s="8"/>
      <c r="AM72" s="81" t="s">
        <v>243</v>
      </c>
      <c r="AN72" s="8"/>
      <c r="AO72" s="8"/>
      <c r="AP72" s="81" t="s">
        <v>8258</v>
      </c>
      <c r="AQ72" s="8"/>
      <c r="AR72" s="9">
        <v>45376</v>
      </c>
      <c r="AS72" s="8" t="s">
        <v>8259</v>
      </c>
      <c r="AT72" s="8" t="s">
        <v>348</v>
      </c>
      <c r="AU72" s="9">
        <v>45406</v>
      </c>
      <c r="AV72" s="81" t="s">
        <v>322</v>
      </c>
      <c r="AW72" s="81" t="s">
        <v>492</v>
      </c>
      <c r="AX72" s="8" t="s">
        <v>1099</v>
      </c>
      <c r="AY72" s="8"/>
      <c r="AZ72" s="8" t="s">
        <v>8260</v>
      </c>
      <c r="BA72" s="81" t="s">
        <v>399</v>
      </c>
      <c r="BB72" s="8"/>
      <c r="BC72" s="81" t="s">
        <v>1091</v>
      </c>
      <c r="BD72" s="8" t="s">
        <v>1100</v>
      </c>
      <c r="BE72" s="81" t="s">
        <v>261</v>
      </c>
      <c r="BF72" s="8" t="s">
        <v>1101</v>
      </c>
      <c r="BG72" s="9">
        <v>46989</v>
      </c>
      <c r="BH72" s="81" t="s">
        <v>81</v>
      </c>
      <c r="BI72" s="81" t="s">
        <v>1103</v>
      </c>
      <c r="BJ72" s="9">
        <v>42987</v>
      </c>
      <c r="BK72" s="9">
        <v>44377</v>
      </c>
      <c r="BL72" s="81" t="s">
        <v>405</v>
      </c>
      <c r="BM72" s="81" t="s">
        <v>82</v>
      </c>
      <c r="BN72" s="81" t="s">
        <v>1104</v>
      </c>
      <c r="BO72" s="81" t="s">
        <v>1105</v>
      </c>
      <c r="BP72" s="81" t="s">
        <v>1097</v>
      </c>
      <c r="BQ72" s="9">
        <v>44607</v>
      </c>
      <c r="BR72" s="9">
        <v>45369</v>
      </c>
      <c r="BS72" s="8"/>
      <c r="BT72" s="81" t="s">
        <v>1107</v>
      </c>
      <c r="BU72" s="81" t="s">
        <v>266</v>
      </c>
      <c r="BV72" s="8" t="s">
        <v>1108</v>
      </c>
      <c r="BW72" s="81" t="s">
        <v>492</v>
      </c>
      <c r="BX72" s="81" t="s">
        <v>337</v>
      </c>
      <c r="BY72" s="9">
        <v>45740</v>
      </c>
      <c r="BZ72" s="9">
        <v>46873</v>
      </c>
      <c r="CA72" s="8" t="s">
        <v>257</v>
      </c>
    </row>
    <row r="73" spans="1:79" ht="141.6" x14ac:dyDescent="0.25">
      <c r="A73" s="81" t="s">
        <v>1109</v>
      </c>
      <c r="B73" s="8"/>
      <c r="C73" s="81" t="s">
        <v>352</v>
      </c>
      <c r="D73" s="8" t="s">
        <v>7845</v>
      </c>
      <c r="E73" s="8" t="s">
        <v>1110</v>
      </c>
      <c r="F73" s="9">
        <v>36579</v>
      </c>
      <c r="G73" s="8" t="s">
        <v>414</v>
      </c>
      <c r="H73" s="81" t="s">
        <v>250</v>
      </c>
      <c r="I73" s="81" t="s">
        <v>27</v>
      </c>
      <c r="J73" s="81" t="s">
        <v>293</v>
      </c>
      <c r="K73" s="81" t="s">
        <v>488</v>
      </c>
      <c r="L73" s="81" t="s">
        <v>102</v>
      </c>
      <c r="M73" s="81" t="s">
        <v>1111</v>
      </c>
      <c r="N73" s="81" t="s">
        <v>28</v>
      </c>
      <c r="O73" s="81" t="s">
        <v>253</v>
      </c>
      <c r="P73" s="9">
        <v>44760</v>
      </c>
      <c r="Q73" s="8" t="s">
        <v>8261</v>
      </c>
      <c r="R73" s="8"/>
      <c r="S73" s="8"/>
      <c r="T73" s="8"/>
      <c r="U73" s="8"/>
      <c r="V73" s="8"/>
      <c r="W73" s="8"/>
      <c r="X73" s="8" t="s">
        <v>1112</v>
      </c>
      <c r="Y73" s="81" t="s">
        <v>33</v>
      </c>
      <c r="Z73" s="8"/>
      <c r="AA73" s="81" t="s">
        <v>1113</v>
      </c>
      <c r="AB73" s="8"/>
      <c r="AC73" s="8"/>
      <c r="AD73" s="81" t="s">
        <v>255</v>
      </c>
      <c r="AE73" s="81" t="s">
        <v>8117</v>
      </c>
      <c r="AF73" s="81" t="s">
        <v>256</v>
      </c>
      <c r="AG73" s="81" t="s">
        <v>255</v>
      </c>
      <c r="AH73" s="8"/>
      <c r="AI73" s="8"/>
      <c r="AJ73" s="8"/>
      <c r="AK73" s="8"/>
      <c r="AL73" s="8"/>
      <c r="AM73" s="81" t="s">
        <v>243</v>
      </c>
      <c r="AN73" s="8"/>
      <c r="AO73" s="8"/>
      <c r="AP73" s="81" t="s">
        <v>8262</v>
      </c>
      <c r="AQ73" s="8"/>
      <c r="AR73" s="9">
        <v>45369</v>
      </c>
      <c r="AS73" s="8" t="s">
        <v>8259</v>
      </c>
      <c r="AT73" s="8" t="s">
        <v>257</v>
      </c>
      <c r="AU73" s="9">
        <v>45430</v>
      </c>
      <c r="AV73" s="81" t="s">
        <v>322</v>
      </c>
      <c r="AW73" s="81" t="s">
        <v>256</v>
      </c>
      <c r="AX73" s="8" t="s">
        <v>1114</v>
      </c>
      <c r="AY73" s="8"/>
      <c r="AZ73" s="8" t="s">
        <v>8133</v>
      </c>
      <c r="BA73" s="81" t="s">
        <v>399</v>
      </c>
      <c r="BB73" s="81" t="s">
        <v>725</v>
      </c>
      <c r="BC73" s="81" t="s">
        <v>1109</v>
      </c>
      <c r="BD73" s="8" t="s">
        <v>1115</v>
      </c>
      <c r="BE73" s="81" t="s">
        <v>261</v>
      </c>
      <c r="BF73" s="8" t="s">
        <v>1116</v>
      </c>
      <c r="BG73" s="9">
        <v>47162</v>
      </c>
      <c r="BH73" s="81" t="s">
        <v>81</v>
      </c>
      <c r="BI73" s="81" t="s">
        <v>1118</v>
      </c>
      <c r="BJ73" s="9">
        <v>43353</v>
      </c>
      <c r="BK73" s="9">
        <v>44742</v>
      </c>
      <c r="BL73" s="81" t="s">
        <v>1062</v>
      </c>
      <c r="BM73" s="81" t="s">
        <v>82</v>
      </c>
      <c r="BN73" s="81" t="s">
        <v>1119</v>
      </c>
      <c r="BO73" s="81" t="s">
        <v>1120</v>
      </c>
      <c r="BP73" s="81" t="s">
        <v>1121</v>
      </c>
      <c r="BQ73" s="9">
        <v>44760</v>
      </c>
      <c r="BR73" s="9">
        <v>45205</v>
      </c>
      <c r="BS73" s="81" t="s">
        <v>1122</v>
      </c>
      <c r="BT73" s="81" t="s">
        <v>1123</v>
      </c>
      <c r="BU73" s="81" t="s">
        <v>266</v>
      </c>
      <c r="BV73" s="8" t="s">
        <v>1124</v>
      </c>
      <c r="BW73" s="81" t="s">
        <v>256</v>
      </c>
      <c r="BX73" s="81" t="s">
        <v>337</v>
      </c>
      <c r="BY73" s="9">
        <v>45734</v>
      </c>
      <c r="BZ73" s="9">
        <v>46843</v>
      </c>
      <c r="CA73" s="8" t="s">
        <v>257</v>
      </c>
    </row>
    <row r="74" spans="1:79" ht="141.6" x14ac:dyDescent="0.25">
      <c r="A74" s="81" t="s">
        <v>1127</v>
      </c>
      <c r="B74" s="8"/>
      <c r="C74" s="81" t="s">
        <v>352</v>
      </c>
      <c r="D74" s="8" t="s">
        <v>7846</v>
      </c>
      <c r="E74" s="8" t="s">
        <v>1128</v>
      </c>
      <c r="F74" s="9">
        <v>36396</v>
      </c>
      <c r="G74" s="8" t="s">
        <v>414</v>
      </c>
      <c r="H74" s="81" t="s">
        <v>250</v>
      </c>
      <c r="I74" s="81" t="s">
        <v>251</v>
      </c>
      <c r="J74" s="81" t="s">
        <v>270</v>
      </c>
      <c r="K74" s="81" t="s">
        <v>608</v>
      </c>
      <c r="L74" s="81" t="s">
        <v>102</v>
      </c>
      <c r="M74" s="81" t="s">
        <v>1129</v>
      </c>
      <c r="N74" s="81" t="s">
        <v>272</v>
      </c>
      <c r="O74" s="81" t="s">
        <v>253</v>
      </c>
      <c r="P74" s="9">
        <v>44753</v>
      </c>
      <c r="Q74" s="8" t="s">
        <v>8263</v>
      </c>
      <c r="R74" s="8"/>
      <c r="S74" s="8"/>
      <c r="T74" s="8"/>
      <c r="U74" s="8"/>
      <c r="V74" s="8"/>
      <c r="W74" s="8"/>
      <c r="X74" s="8" t="s">
        <v>1131</v>
      </c>
      <c r="Y74" s="81" t="s">
        <v>33</v>
      </c>
      <c r="Z74" s="8"/>
      <c r="AA74" s="81" t="s">
        <v>240</v>
      </c>
      <c r="AB74" s="8"/>
      <c r="AC74" s="8"/>
      <c r="AD74" s="81" t="s">
        <v>255</v>
      </c>
      <c r="AE74" s="81" t="s">
        <v>8117</v>
      </c>
      <c r="AF74" s="81" t="s">
        <v>256</v>
      </c>
      <c r="AG74" s="81" t="s">
        <v>255</v>
      </c>
      <c r="AH74" s="8"/>
      <c r="AI74" s="8"/>
      <c r="AJ74" s="8"/>
      <c r="AK74" s="8"/>
      <c r="AL74" s="8"/>
      <c r="AM74" s="81" t="s">
        <v>243</v>
      </c>
      <c r="AN74" s="8"/>
      <c r="AO74" s="8"/>
      <c r="AP74" s="81" t="s">
        <v>8262</v>
      </c>
      <c r="AQ74" s="8"/>
      <c r="AR74" s="9">
        <v>45369</v>
      </c>
      <c r="AS74" s="8" t="s">
        <v>8259</v>
      </c>
      <c r="AT74" s="8" t="s">
        <v>257</v>
      </c>
      <c r="AU74" s="9">
        <v>45430</v>
      </c>
      <c r="AV74" s="81" t="s">
        <v>322</v>
      </c>
      <c r="AW74" s="81" t="s">
        <v>256</v>
      </c>
      <c r="AX74" s="8" t="s">
        <v>1132</v>
      </c>
      <c r="AY74" s="8"/>
      <c r="AZ74" s="8" t="s">
        <v>8250</v>
      </c>
      <c r="BA74" s="81" t="s">
        <v>399</v>
      </c>
      <c r="BB74" s="81" t="s">
        <v>1133</v>
      </c>
      <c r="BC74" s="81" t="s">
        <v>1127</v>
      </c>
      <c r="BD74" s="8" t="s">
        <v>1134</v>
      </c>
      <c r="BE74" s="81" t="s">
        <v>261</v>
      </c>
      <c r="BF74" s="8" t="s">
        <v>1135</v>
      </c>
      <c r="BG74" s="9">
        <v>46926</v>
      </c>
      <c r="BH74" s="81" t="s">
        <v>81</v>
      </c>
      <c r="BI74" s="81" t="s">
        <v>1137</v>
      </c>
      <c r="BJ74" s="9">
        <v>43344</v>
      </c>
      <c r="BK74" s="9">
        <v>44742</v>
      </c>
      <c r="BL74" s="81" t="s">
        <v>405</v>
      </c>
      <c r="BM74" s="81" t="s">
        <v>82</v>
      </c>
      <c r="BN74" s="81" t="s">
        <v>1138</v>
      </c>
      <c r="BO74" s="81" t="s">
        <v>732</v>
      </c>
      <c r="BP74" s="81" t="s">
        <v>1139</v>
      </c>
      <c r="BQ74" s="9">
        <v>44753</v>
      </c>
      <c r="BR74" s="9">
        <v>45037</v>
      </c>
      <c r="BS74" s="8" t="s">
        <v>8264</v>
      </c>
      <c r="BT74" s="81" t="s">
        <v>1140</v>
      </c>
      <c r="BU74" s="81" t="s">
        <v>266</v>
      </c>
      <c r="BV74" s="8" t="s">
        <v>1141</v>
      </c>
      <c r="BW74" s="81" t="s">
        <v>256</v>
      </c>
      <c r="BX74" s="81" t="s">
        <v>337</v>
      </c>
      <c r="BY74" s="9">
        <v>45734</v>
      </c>
      <c r="BZ74" s="9">
        <v>46843</v>
      </c>
      <c r="CA74" s="8" t="s">
        <v>257</v>
      </c>
    </row>
    <row r="75" spans="1:79" ht="125.4" x14ac:dyDescent="0.25">
      <c r="A75" s="81" t="s">
        <v>8265</v>
      </c>
      <c r="B75" s="8"/>
      <c r="C75" s="81" t="s">
        <v>352</v>
      </c>
      <c r="D75" s="8" t="s">
        <v>7847</v>
      </c>
      <c r="E75" s="8"/>
      <c r="F75" s="9"/>
      <c r="G75" s="8"/>
      <c r="H75" s="81" t="s">
        <v>250</v>
      </c>
      <c r="I75" s="8"/>
      <c r="J75" s="8"/>
      <c r="K75" s="8"/>
      <c r="L75" s="8"/>
      <c r="M75" s="8"/>
      <c r="N75" s="8"/>
      <c r="O75" s="8"/>
      <c r="P75" s="9"/>
      <c r="Q75" s="8"/>
      <c r="R75" s="8"/>
      <c r="S75" s="8"/>
      <c r="T75" s="8"/>
      <c r="U75" s="8"/>
      <c r="V75" s="8"/>
      <c r="W75" s="8"/>
      <c r="X75" s="8"/>
      <c r="Y75" s="81" t="s">
        <v>33</v>
      </c>
      <c r="Z75" s="8"/>
      <c r="AA75" s="8"/>
      <c r="AB75" s="8"/>
      <c r="AC75" s="8"/>
      <c r="AD75" s="81" t="s">
        <v>492</v>
      </c>
      <c r="AE75" s="81" t="s">
        <v>8266</v>
      </c>
      <c r="AF75" s="81" t="s">
        <v>492</v>
      </c>
      <c r="AG75" s="8"/>
      <c r="AH75" s="8"/>
      <c r="AI75" s="8"/>
      <c r="AJ75" s="8"/>
      <c r="AK75" s="8"/>
      <c r="AL75" s="8"/>
      <c r="AM75" s="81" t="s">
        <v>243</v>
      </c>
      <c r="AN75" s="8"/>
      <c r="AO75" s="8"/>
      <c r="AP75" s="8"/>
      <c r="AQ75" s="8"/>
      <c r="AR75" s="9">
        <v>45364</v>
      </c>
      <c r="AS75" s="8" t="s">
        <v>8259</v>
      </c>
      <c r="AT75" s="8" t="s">
        <v>348</v>
      </c>
      <c r="AU75" s="9"/>
      <c r="AV75" s="81" t="s">
        <v>322</v>
      </c>
      <c r="AW75" s="81" t="s">
        <v>492</v>
      </c>
      <c r="AX75" s="8" t="s">
        <v>1143</v>
      </c>
      <c r="AY75" s="8"/>
      <c r="AZ75" s="8"/>
      <c r="BA75" s="8"/>
      <c r="BB75" s="8"/>
      <c r="BC75" s="8"/>
      <c r="BD75" s="8"/>
      <c r="BE75" s="8"/>
      <c r="BF75" s="8"/>
      <c r="BG75" s="9"/>
      <c r="BH75" s="8"/>
      <c r="BI75" s="8"/>
      <c r="BJ75" s="9"/>
      <c r="BK75" s="9"/>
      <c r="BL75" s="8"/>
      <c r="BM75" s="8"/>
      <c r="BN75" s="8"/>
      <c r="BO75" s="8"/>
      <c r="BP75" s="8"/>
      <c r="BQ75" s="9"/>
      <c r="BR75" s="9"/>
      <c r="BS75" s="8"/>
      <c r="BT75" s="8"/>
      <c r="BU75" s="8"/>
      <c r="BV75" s="8"/>
      <c r="BW75" s="8"/>
      <c r="BX75" s="8"/>
      <c r="BY75" s="9"/>
      <c r="BZ75" s="9"/>
      <c r="CA75" s="8"/>
    </row>
    <row r="76" spans="1:79" ht="125.4" x14ac:dyDescent="0.25">
      <c r="A76" s="81" t="s">
        <v>8267</v>
      </c>
      <c r="B76" s="8"/>
      <c r="C76" s="81" t="s">
        <v>26</v>
      </c>
      <c r="D76" s="8" t="s">
        <v>7848</v>
      </c>
      <c r="E76" s="8"/>
      <c r="F76" s="9"/>
      <c r="G76" s="8"/>
      <c r="H76" s="81" t="s">
        <v>250</v>
      </c>
      <c r="I76" s="8"/>
      <c r="J76" s="8"/>
      <c r="K76" s="8"/>
      <c r="L76" s="8"/>
      <c r="M76" s="8"/>
      <c r="N76" s="8"/>
      <c r="O76" s="8"/>
      <c r="P76" s="9"/>
      <c r="Q76" s="8"/>
      <c r="R76" s="8"/>
      <c r="S76" s="8"/>
      <c r="T76" s="8"/>
      <c r="U76" s="8"/>
      <c r="V76" s="8"/>
      <c r="W76" s="8"/>
      <c r="X76" s="8"/>
      <c r="Y76" s="81" t="s">
        <v>33</v>
      </c>
      <c r="Z76" s="8"/>
      <c r="AA76" s="8"/>
      <c r="AB76" s="8"/>
      <c r="AC76" s="8"/>
      <c r="AD76" s="81" t="s">
        <v>256</v>
      </c>
      <c r="AE76" s="81" t="s">
        <v>8268</v>
      </c>
      <c r="AF76" s="81" t="s">
        <v>256</v>
      </c>
      <c r="AG76" s="8"/>
      <c r="AH76" s="8"/>
      <c r="AI76" s="8"/>
      <c r="AJ76" s="8"/>
      <c r="AK76" s="8"/>
      <c r="AL76" s="8"/>
      <c r="AM76" s="81" t="s">
        <v>243</v>
      </c>
      <c r="AN76" s="8"/>
      <c r="AO76" s="8"/>
      <c r="AP76" s="8"/>
      <c r="AQ76" s="8"/>
      <c r="AR76" s="9">
        <v>45363</v>
      </c>
      <c r="AS76" s="8" t="s">
        <v>8259</v>
      </c>
      <c r="AT76" s="8" t="s">
        <v>348</v>
      </c>
      <c r="AU76" s="9"/>
      <c r="AV76" s="81" t="s">
        <v>322</v>
      </c>
      <c r="AW76" s="81" t="s">
        <v>256</v>
      </c>
      <c r="AX76" s="8" t="s">
        <v>1145</v>
      </c>
      <c r="AY76" s="8"/>
      <c r="AZ76" s="8"/>
      <c r="BA76" s="8"/>
      <c r="BB76" s="8"/>
      <c r="BC76" s="8"/>
      <c r="BD76" s="8"/>
      <c r="BE76" s="8"/>
      <c r="BF76" s="8"/>
      <c r="BG76" s="9"/>
      <c r="BH76" s="8"/>
      <c r="BI76" s="8"/>
      <c r="BJ76" s="9"/>
      <c r="BK76" s="9"/>
      <c r="BL76" s="8"/>
      <c r="BM76" s="8"/>
      <c r="BN76" s="8"/>
      <c r="BO76" s="8"/>
      <c r="BP76" s="8"/>
      <c r="BQ76" s="9"/>
      <c r="BR76" s="9"/>
      <c r="BS76" s="8"/>
      <c r="BT76" s="8"/>
      <c r="BU76" s="8"/>
      <c r="BV76" s="8"/>
      <c r="BW76" s="8"/>
      <c r="BX76" s="8"/>
      <c r="BY76" s="9"/>
      <c r="BZ76" s="9"/>
      <c r="CA76" s="8"/>
    </row>
    <row r="77" spans="1:79" ht="157.19999999999999" x14ac:dyDescent="0.25">
      <c r="A77" s="81" t="s">
        <v>1146</v>
      </c>
      <c r="B77" s="8"/>
      <c r="C77" s="81" t="s">
        <v>26</v>
      </c>
      <c r="D77" s="8" t="s">
        <v>7849</v>
      </c>
      <c r="E77" s="8" t="s">
        <v>1147</v>
      </c>
      <c r="F77" s="9">
        <v>35462</v>
      </c>
      <c r="G77" s="8" t="s">
        <v>529</v>
      </c>
      <c r="H77" s="81" t="s">
        <v>250</v>
      </c>
      <c r="I77" s="81" t="s">
        <v>27</v>
      </c>
      <c r="J77" s="81" t="s">
        <v>270</v>
      </c>
      <c r="K77" s="81" t="s">
        <v>808</v>
      </c>
      <c r="L77" s="81" t="s">
        <v>102</v>
      </c>
      <c r="M77" s="81" t="s">
        <v>1148</v>
      </c>
      <c r="N77" s="81" t="s">
        <v>119</v>
      </c>
      <c r="O77" s="81" t="s">
        <v>29</v>
      </c>
      <c r="P77" s="9">
        <v>44027</v>
      </c>
      <c r="Q77" s="8" t="s">
        <v>8222</v>
      </c>
      <c r="R77" s="8"/>
      <c r="S77" s="8"/>
      <c r="T77" s="8"/>
      <c r="U77" s="8"/>
      <c r="V77" s="8"/>
      <c r="W77" s="8"/>
      <c r="X77" s="8" t="s">
        <v>1149</v>
      </c>
      <c r="Y77" s="81" t="s">
        <v>33</v>
      </c>
      <c r="Z77" s="8"/>
      <c r="AA77" s="81" t="s">
        <v>1097</v>
      </c>
      <c r="AB77" s="8"/>
      <c r="AC77" s="8"/>
      <c r="AD77" s="81" t="s">
        <v>861</v>
      </c>
      <c r="AE77" s="81" t="s">
        <v>8220</v>
      </c>
      <c r="AF77" s="81" t="s">
        <v>492</v>
      </c>
      <c r="AG77" s="81" t="s">
        <v>861</v>
      </c>
      <c r="AH77" s="8"/>
      <c r="AI77" s="8"/>
      <c r="AJ77" s="8"/>
      <c r="AK77" s="8"/>
      <c r="AL77" s="8"/>
      <c r="AM77" s="81" t="s">
        <v>243</v>
      </c>
      <c r="AN77" s="8"/>
      <c r="AO77" s="8"/>
      <c r="AP77" s="8"/>
      <c r="AQ77" s="8"/>
      <c r="AR77" s="9">
        <v>45358</v>
      </c>
      <c r="AS77" s="8" t="s">
        <v>8232</v>
      </c>
      <c r="AT77" s="8" t="s">
        <v>245</v>
      </c>
      <c r="AU77" s="9">
        <v>45388</v>
      </c>
      <c r="AV77" s="81" t="s">
        <v>322</v>
      </c>
      <c r="AW77" s="81" t="s">
        <v>492</v>
      </c>
      <c r="AX77" s="8" t="s">
        <v>1151</v>
      </c>
      <c r="AY77" s="8"/>
      <c r="AZ77" s="8" t="s">
        <v>8269</v>
      </c>
      <c r="BA77" s="81" t="s">
        <v>399</v>
      </c>
      <c r="BB77" s="8"/>
      <c r="BC77" s="81" t="s">
        <v>1146</v>
      </c>
      <c r="BD77" s="8" t="s">
        <v>1152</v>
      </c>
      <c r="BE77" s="81" t="s">
        <v>261</v>
      </c>
      <c r="BF77" s="8" t="s">
        <v>1153</v>
      </c>
      <c r="BG77" s="9">
        <v>46938</v>
      </c>
      <c r="BH77" s="81" t="s">
        <v>81</v>
      </c>
      <c r="BI77" s="81" t="s">
        <v>1032</v>
      </c>
      <c r="BJ77" s="9">
        <v>42606</v>
      </c>
      <c r="BK77" s="9">
        <v>44022</v>
      </c>
      <c r="BL77" s="81" t="s">
        <v>1156</v>
      </c>
      <c r="BM77" s="81" t="s">
        <v>82</v>
      </c>
      <c r="BN77" s="81" t="s">
        <v>1157</v>
      </c>
      <c r="BO77" s="81" t="s">
        <v>1158</v>
      </c>
      <c r="BP77" s="81" t="s">
        <v>1159</v>
      </c>
      <c r="BQ77" s="9">
        <v>44256</v>
      </c>
      <c r="BR77" s="9">
        <v>45351</v>
      </c>
      <c r="BS77" s="81" t="s">
        <v>1162</v>
      </c>
      <c r="BT77" s="81" t="s">
        <v>1163</v>
      </c>
      <c r="BU77" s="81" t="s">
        <v>118</v>
      </c>
      <c r="BV77" s="8" t="s">
        <v>1164</v>
      </c>
      <c r="BW77" s="81" t="s">
        <v>492</v>
      </c>
      <c r="BX77" s="81" t="s">
        <v>337</v>
      </c>
      <c r="BY77" s="9">
        <v>45722</v>
      </c>
      <c r="BZ77" s="9">
        <v>47603</v>
      </c>
      <c r="CA77" s="8" t="s">
        <v>257</v>
      </c>
    </row>
    <row r="78" spans="1:79" ht="157.19999999999999" x14ac:dyDescent="0.25">
      <c r="A78" s="81" t="s">
        <v>1167</v>
      </c>
      <c r="B78" s="8"/>
      <c r="C78" s="81" t="s">
        <v>26</v>
      </c>
      <c r="D78" s="8" t="s">
        <v>7850</v>
      </c>
      <c r="E78" s="8" t="s">
        <v>1168</v>
      </c>
      <c r="F78" s="9">
        <v>34894</v>
      </c>
      <c r="G78" s="8" t="s">
        <v>741</v>
      </c>
      <c r="H78" s="81" t="s">
        <v>250</v>
      </c>
      <c r="I78" s="81" t="s">
        <v>27</v>
      </c>
      <c r="J78" s="81" t="s">
        <v>293</v>
      </c>
      <c r="K78" s="81" t="s">
        <v>1169</v>
      </c>
      <c r="L78" s="81" t="s">
        <v>1170</v>
      </c>
      <c r="M78" s="81" t="s">
        <v>8270</v>
      </c>
      <c r="N78" s="81" t="s">
        <v>272</v>
      </c>
      <c r="O78" s="81" t="s">
        <v>29</v>
      </c>
      <c r="P78" s="9"/>
      <c r="Q78" s="8"/>
      <c r="R78" s="8"/>
      <c r="S78" s="8"/>
      <c r="T78" s="8"/>
      <c r="U78" s="8"/>
      <c r="V78" s="8"/>
      <c r="W78" s="8"/>
      <c r="X78" s="8" t="s">
        <v>1171</v>
      </c>
      <c r="Y78" s="81" t="s">
        <v>33</v>
      </c>
      <c r="Z78" s="8"/>
      <c r="AA78" s="81" t="s">
        <v>240</v>
      </c>
      <c r="AB78" s="8"/>
      <c r="AC78" s="8"/>
      <c r="AD78" s="81" t="s">
        <v>655</v>
      </c>
      <c r="AE78" s="81" t="s">
        <v>8178</v>
      </c>
      <c r="AF78" s="81" t="s">
        <v>242</v>
      </c>
      <c r="AG78" s="81" t="s">
        <v>655</v>
      </c>
      <c r="AH78" s="8"/>
      <c r="AI78" s="8"/>
      <c r="AJ78" s="8"/>
      <c r="AK78" s="8"/>
      <c r="AL78" s="8"/>
      <c r="AM78" s="81" t="s">
        <v>243</v>
      </c>
      <c r="AN78" s="8"/>
      <c r="AO78" s="8"/>
      <c r="AP78" s="8"/>
      <c r="AQ78" s="8"/>
      <c r="AR78" s="9">
        <v>45294</v>
      </c>
      <c r="AS78" s="8" t="s">
        <v>8271</v>
      </c>
      <c r="AT78" s="8" t="s">
        <v>245</v>
      </c>
      <c r="AU78" s="9">
        <v>45324</v>
      </c>
      <c r="AV78" s="81" t="s">
        <v>322</v>
      </c>
      <c r="AW78" s="81" t="s">
        <v>242</v>
      </c>
      <c r="AX78" s="8" t="s">
        <v>1173</v>
      </c>
      <c r="AY78" s="8"/>
      <c r="AZ78" s="8" t="s">
        <v>8272</v>
      </c>
      <c r="BA78" s="81" t="s">
        <v>399</v>
      </c>
      <c r="BB78" s="81" t="s">
        <v>1174</v>
      </c>
      <c r="BC78" s="81" t="s">
        <v>1167</v>
      </c>
      <c r="BD78" s="8" t="s">
        <v>1175</v>
      </c>
      <c r="BE78" s="81" t="s">
        <v>261</v>
      </c>
      <c r="BF78" s="8" t="s">
        <v>1176</v>
      </c>
      <c r="BG78" s="9">
        <v>52152</v>
      </c>
      <c r="BH78" s="81" t="s">
        <v>81</v>
      </c>
      <c r="BI78" s="81" t="s">
        <v>1178</v>
      </c>
      <c r="BJ78" s="9">
        <v>41518</v>
      </c>
      <c r="BK78" s="9">
        <v>42916</v>
      </c>
      <c r="BL78" s="81" t="s">
        <v>405</v>
      </c>
      <c r="BM78" s="81" t="s">
        <v>82</v>
      </c>
      <c r="BN78" s="81" t="s">
        <v>1179</v>
      </c>
      <c r="BO78" s="8"/>
      <c r="BP78" s="8"/>
      <c r="BQ78" s="9">
        <v>44013</v>
      </c>
      <c r="BR78" s="9"/>
      <c r="BS78" s="8"/>
      <c r="BT78" s="81" t="s">
        <v>1180</v>
      </c>
      <c r="BU78" s="81" t="s">
        <v>266</v>
      </c>
      <c r="BV78" s="8" t="s">
        <v>1181</v>
      </c>
      <c r="BW78" s="81" t="s">
        <v>242</v>
      </c>
      <c r="BX78" s="81" t="s">
        <v>337</v>
      </c>
      <c r="BY78" s="9">
        <v>45660</v>
      </c>
      <c r="BZ78" s="9">
        <v>46783</v>
      </c>
      <c r="CA78" s="8" t="s">
        <v>257</v>
      </c>
    </row>
    <row r="79" spans="1:79" ht="141.6" x14ac:dyDescent="0.25">
      <c r="A79" s="81" t="s">
        <v>1183</v>
      </c>
      <c r="B79" s="8"/>
      <c r="C79" s="81" t="s">
        <v>26</v>
      </c>
      <c r="D79" s="8" t="s">
        <v>7851</v>
      </c>
      <c r="E79" s="8"/>
      <c r="F79" s="9">
        <v>36832</v>
      </c>
      <c r="G79" s="8" t="s">
        <v>972</v>
      </c>
      <c r="H79" s="81" t="s">
        <v>250</v>
      </c>
      <c r="I79" s="81" t="s">
        <v>27</v>
      </c>
      <c r="J79" s="81" t="s">
        <v>293</v>
      </c>
      <c r="K79" s="81" t="s">
        <v>601</v>
      </c>
      <c r="L79" s="81" t="s">
        <v>102</v>
      </c>
      <c r="M79" s="81" t="s">
        <v>8273</v>
      </c>
      <c r="N79" s="81" t="s">
        <v>272</v>
      </c>
      <c r="O79" s="81" t="s">
        <v>253</v>
      </c>
      <c r="P79" s="9"/>
      <c r="Q79" s="8"/>
      <c r="R79" s="8"/>
      <c r="S79" s="8"/>
      <c r="T79" s="8"/>
      <c r="U79" s="8"/>
      <c r="V79" s="8"/>
      <c r="W79" s="8"/>
      <c r="X79" s="8" t="s">
        <v>1184</v>
      </c>
      <c r="Y79" s="81" t="s">
        <v>33</v>
      </c>
      <c r="Z79" s="8"/>
      <c r="AA79" s="81" t="s">
        <v>240</v>
      </c>
      <c r="AB79" s="8"/>
      <c r="AC79" s="8"/>
      <c r="AD79" s="81" t="s">
        <v>255</v>
      </c>
      <c r="AE79" s="81" t="s">
        <v>8117</v>
      </c>
      <c r="AF79" s="81" t="s">
        <v>256</v>
      </c>
      <c r="AG79" s="81" t="s">
        <v>255</v>
      </c>
      <c r="AH79" s="8"/>
      <c r="AI79" s="8"/>
      <c r="AJ79" s="8"/>
      <c r="AK79" s="8"/>
      <c r="AL79" s="8"/>
      <c r="AM79" s="81" t="s">
        <v>243</v>
      </c>
      <c r="AN79" s="8"/>
      <c r="AO79" s="8"/>
      <c r="AP79" s="8"/>
      <c r="AQ79" s="8"/>
      <c r="AR79" s="9">
        <v>45267</v>
      </c>
      <c r="AS79" s="8" t="s">
        <v>8274</v>
      </c>
      <c r="AT79" s="8" t="s">
        <v>348</v>
      </c>
      <c r="AU79" s="9">
        <v>45327</v>
      </c>
      <c r="AV79" s="81" t="s">
        <v>322</v>
      </c>
      <c r="AW79" s="81" t="s">
        <v>256</v>
      </c>
      <c r="AX79" s="8" t="s">
        <v>1187</v>
      </c>
      <c r="AY79" s="8"/>
      <c r="AZ79" s="8" t="s">
        <v>8275</v>
      </c>
      <c r="BA79" s="81" t="s">
        <v>399</v>
      </c>
      <c r="BB79" s="81" t="s">
        <v>725</v>
      </c>
      <c r="BC79" s="81" t="s">
        <v>1183</v>
      </c>
      <c r="BD79" s="8" t="s">
        <v>1188</v>
      </c>
      <c r="BE79" s="81" t="s">
        <v>261</v>
      </c>
      <c r="BF79" s="8" t="s">
        <v>1189</v>
      </c>
      <c r="BG79" s="9">
        <v>46984</v>
      </c>
      <c r="BH79" s="81" t="s">
        <v>81</v>
      </c>
      <c r="BI79" s="81" t="s">
        <v>1045</v>
      </c>
      <c r="BJ79" s="9">
        <v>43709</v>
      </c>
      <c r="BK79" s="9">
        <v>45225</v>
      </c>
      <c r="BL79" s="81" t="s">
        <v>405</v>
      </c>
      <c r="BM79" s="81" t="s">
        <v>82</v>
      </c>
      <c r="BN79" s="8"/>
      <c r="BO79" s="8"/>
      <c r="BP79" s="8"/>
      <c r="BQ79" s="9"/>
      <c r="BR79" s="9"/>
      <c r="BS79" s="8"/>
      <c r="BT79" s="8"/>
      <c r="BU79" s="8"/>
      <c r="BV79" s="8"/>
      <c r="BW79" s="81" t="s">
        <v>256</v>
      </c>
      <c r="BX79" s="81" t="s">
        <v>337</v>
      </c>
      <c r="BY79" s="9">
        <v>45633</v>
      </c>
      <c r="BZ79" s="9">
        <v>46752</v>
      </c>
      <c r="CA79" s="8" t="s">
        <v>257</v>
      </c>
    </row>
    <row r="80" spans="1:79" ht="157.19999999999999" x14ac:dyDescent="0.25">
      <c r="A80" s="81" t="s">
        <v>1194</v>
      </c>
      <c r="B80" s="8"/>
      <c r="C80" s="81" t="s">
        <v>26</v>
      </c>
      <c r="D80" s="8" t="s">
        <v>7852</v>
      </c>
      <c r="E80" s="8"/>
      <c r="F80" s="9">
        <v>34169</v>
      </c>
      <c r="G80" s="8" t="s">
        <v>667</v>
      </c>
      <c r="H80" s="81" t="s">
        <v>250</v>
      </c>
      <c r="I80" s="81" t="s">
        <v>27</v>
      </c>
      <c r="J80" s="81" t="s">
        <v>270</v>
      </c>
      <c r="K80" s="81" t="s">
        <v>608</v>
      </c>
      <c r="L80" s="81" t="s">
        <v>102</v>
      </c>
      <c r="M80" s="81" t="s">
        <v>8276</v>
      </c>
      <c r="N80" s="81" t="s">
        <v>272</v>
      </c>
      <c r="O80" s="81" t="s">
        <v>29</v>
      </c>
      <c r="P80" s="9"/>
      <c r="Q80" s="8"/>
      <c r="R80" s="8"/>
      <c r="S80" s="8"/>
      <c r="T80" s="8"/>
      <c r="U80" s="8"/>
      <c r="V80" s="8"/>
      <c r="W80" s="8"/>
      <c r="X80" s="8" t="s">
        <v>1195</v>
      </c>
      <c r="Y80" s="81" t="s">
        <v>33</v>
      </c>
      <c r="Z80" s="8"/>
      <c r="AA80" s="81" t="s">
        <v>477</v>
      </c>
      <c r="AB80" s="8"/>
      <c r="AC80" s="8"/>
      <c r="AD80" s="81" t="s">
        <v>533</v>
      </c>
      <c r="AE80" s="81" t="s">
        <v>8157</v>
      </c>
      <c r="AF80" s="81" t="s">
        <v>242</v>
      </c>
      <c r="AG80" s="81" t="s">
        <v>533</v>
      </c>
      <c r="AH80" s="8"/>
      <c r="AI80" s="8"/>
      <c r="AJ80" s="8"/>
      <c r="AK80" s="8"/>
      <c r="AL80" s="8"/>
      <c r="AM80" s="81" t="s">
        <v>243</v>
      </c>
      <c r="AN80" s="8"/>
      <c r="AO80" s="8"/>
      <c r="AP80" s="8"/>
      <c r="AQ80" s="8"/>
      <c r="AR80" s="9">
        <v>45211</v>
      </c>
      <c r="AS80" s="8" t="s">
        <v>8277</v>
      </c>
      <c r="AT80" s="8" t="s">
        <v>348</v>
      </c>
      <c r="AU80" s="9">
        <v>45271</v>
      </c>
      <c r="AV80" s="81" t="s">
        <v>322</v>
      </c>
      <c r="AW80" s="81" t="s">
        <v>242</v>
      </c>
      <c r="AX80" s="8" t="s">
        <v>1197</v>
      </c>
      <c r="AY80" s="8"/>
      <c r="AZ80" s="8" t="s">
        <v>8278</v>
      </c>
      <c r="BA80" s="81" t="s">
        <v>399</v>
      </c>
      <c r="BB80" s="8"/>
      <c r="BC80" s="8"/>
      <c r="BD80" s="8"/>
      <c r="BE80" s="81" t="s">
        <v>261</v>
      </c>
      <c r="BF80" s="8" t="s">
        <v>1198</v>
      </c>
      <c r="BG80" s="9">
        <v>51516</v>
      </c>
      <c r="BH80" s="81" t="s">
        <v>81</v>
      </c>
      <c r="BI80" s="81" t="s">
        <v>1032</v>
      </c>
      <c r="BJ80" s="9">
        <v>41153</v>
      </c>
      <c r="BK80" s="9">
        <v>42552</v>
      </c>
      <c r="BL80" s="81" t="s">
        <v>1200</v>
      </c>
      <c r="BM80" s="81" t="s">
        <v>82</v>
      </c>
      <c r="BN80" s="8"/>
      <c r="BO80" s="8"/>
      <c r="BP80" s="8"/>
      <c r="BQ80" s="9"/>
      <c r="BR80" s="9"/>
      <c r="BS80" s="8"/>
      <c r="BT80" s="81" t="s">
        <v>1201</v>
      </c>
      <c r="BU80" s="81" t="s">
        <v>335</v>
      </c>
      <c r="BV80" s="8" t="s">
        <v>1202</v>
      </c>
      <c r="BW80" s="81" t="s">
        <v>242</v>
      </c>
      <c r="BX80" s="81" t="s">
        <v>337</v>
      </c>
      <c r="BY80" s="9">
        <v>45577</v>
      </c>
      <c r="BZ80" s="9">
        <v>46691</v>
      </c>
      <c r="CA80" s="8" t="s">
        <v>257</v>
      </c>
    </row>
    <row r="81" spans="1:79" ht="157.19999999999999" x14ac:dyDescent="0.25">
      <c r="A81" s="81" t="s">
        <v>1205</v>
      </c>
      <c r="B81" s="8"/>
      <c r="C81" s="81" t="s">
        <v>26</v>
      </c>
      <c r="D81" s="8" t="s">
        <v>7853</v>
      </c>
      <c r="E81" s="8"/>
      <c r="F81" s="9">
        <v>35297</v>
      </c>
      <c r="G81" s="8" t="s">
        <v>529</v>
      </c>
      <c r="H81" s="81" t="s">
        <v>250</v>
      </c>
      <c r="I81" s="81" t="s">
        <v>27</v>
      </c>
      <c r="J81" s="81" t="s">
        <v>270</v>
      </c>
      <c r="K81" s="81" t="s">
        <v>1206</v>
      </c>
      <c r="L81" s="81" t="s">
        <v>1207</v>
      </c>
      <c r="M81" s="81" t="s">
        <v>8279</v>
      </c>
      <c r="N81" s="81" t="s">
        <v>28</v>
      </c>
      <c r="O81" s="81" t="s">
        <v>29</v>
      </c>
      <c r="P81" s="9"/>
      <c r="Q81" s="8"/>
      <c r="R81" s="8"/>
      <c r="S81" s="8"/>
      <c r="T81" s="8"/>
      <c r="U81" s="8"/>
      <c r="V81" s="8"/>
      <c r="W81" s="8"/>
      <c r="X81" s="8" t="s">
        <v>1208</v>
      </c>
      <c r="Y81" s="81" t="s">
        <v>33</v>
      </c>
      <c r="Z81" s="8"/>
      <c r="AA81" s="81" t="s">
        <v>1209</v>
      </c>
      <c r="AB81" s="8"/>
      <c r="AC81" s="8"/>
      <c r="AD81" s="81" t="s">
        <v>533</v>
      </c>
      <c r="AE81" s="81" t="s">
        <v>8157</v>
      </c>
      <c r="AF81" s="81" t="s">
        <v>242</v>
      </c>
      <c r="AG81" s="81" t="s">
        <v>533</v>
      </c>
      <c r="AH81" s="8"/>
      <c r="AI81" s="8"/>
      <c r="AJ81" s="8"/>
      <c r="AK81" s="8"/>
      <c r="AL81" s="8"/>
      <c r="AM81" s="81" t="s">
        <v>243</v>
      </c>
      <c r="AN81" s="8"/>
      <c r="AO81" s="8"/>
      <c r="AP81" s="8"/>
      <c r="AQ81" s="8"/>
      <c r="AR81" s="9">
        <v>45206</v>
      </c>
      <c r="AS81" s="8" t="s">
        <v>8280</v>
      </c>
      <c r="AT81" s="8" t="s">
        <v>348</v>
      </c>
      <c r="AU81" s="9">
        <v>45266</v>
      </c>
      <c r="AV81" s="81" t="s">
        <v>322</v>
      </c>
      <c r="AW81" s="81" t="s">
        <v>242</v>
      </c>
      <c r="AX81" s="8" t="s">
        <v>1211</v>
      </c>
      <c r="AY81" s="8"/>
      <c r="AZ81" s="8" t="s">
        <v>8281</v>
      </c>
      <c r="BA81" s="81" t="s">
        <v>399</v>
      </c>
      <c r="BB81" s="8"/>
      <c r="BC81" s="8"/>
      <c r="BD81" s="8"/>
      <c r="BE81" s="81" t="s">
        <v>261</v>
      </c>
      <c r="BF81" s="8" t="s">
        <v>1212</v>
      </c>
      <c r="BG81" s="9">
        <v>52481</v>
      </c>
      <c r="BH81" s="81" t="s">
        <v>81</v>
      </c>
      <c r="BI81" s="81" t="s">
        <v>1032</v>
      </c>
      <c r="BJ81" s="9">
        <v>42614</v>
      </c>
      <c r="BK81" s="9">
        <v>44013</v>
      </c>
      <c r="BL81" s="81" t="s">
        <v>1214</v>
      </c>
      <c r="BM81" s="81" t="s">
        <v>82</v>
      </c>
      <c r="BN81" s="8"/>
      <c r="BO81" s="8"/>
      <c r="BP81" s="8"/>
      <c r="BQ81" s="9"/>
      <c r="BR81" s="9"/>
      <c r="BS81" s="8"/>
      <c r="BT81" s="81" t="s">
        <v>1215</v>
      </c>
      <c r="BU81" s="81" t="s">
        <v>266</v>
      </c>
      <c r="BV81" s="8" t="s">
        <v>1216</v>
      </c>
      <c r="BW81" s="81" t="s">
        <v>242</v>
      </c>
      <c r="BX81" s="81" t="s">
        <v>337</v>
      </c>
      <c r="BY81" s="9">
        <v>45572</v>
      </c>
      <c r="BZ81" s="9">
        <v>46691</v>
      </c>
      <c r="CA81" s="8" t="s">
        <v>257</v>
      </c>
    </row>
    <row r="82" spans="1:79" ht="141.6" x14ac:dyDescent="0.25">
      <c r="A82" s="81" t="s">
        <v>1218</v>
      </c>
      <c r="B82" s="8"/>
      <c r="C82" s="81" t="s">
        <v>26</v>
      </c>
      <c r="D82" s="8" t="s">
        <v>7854</v>
      </c>
      <c r="E82" s="8"/>
      <c r="F82" s="9">
        <v>36646</v>
      </c>
      <c r="G82" s="8" t="s">
        <v>972</v>
      </c>
      <c r="H82" s="81" t="s">
        <v>250</v>
      </c>
      <c r="I82" s="81" t="s">
        <v>27</v>
      </c>
      <c r="J82" s="81" t="s">
        <v>293</v>
      </c>
      <c r="K82" s="81" t="s">
        <v>294</v>
      </c>
      <c r="L82" s="81" t="s">
        <v>102</v>
      </c>
      <c r="M82" s="81" t="s">
        <v>8282</v>
      </c>
      <c r="N82" s="81" t="s">
        <v>272</v>
      </c>
      <c r="O82" s="81" t="s">
        <v>253</v>
      </c>
      <c r="P82" s="9"/>
      <c r="Q82" s="8"/>
      <c r="R82" s="8"/>
      <c r="S82" s="8"/>
      <c r="T82" s="8"/>
      <c r="U82" s="8"/>
      <c r="V82" s="8"/>
      <c r="W82" s="8"/>
      <c r="X82" s="8" t="s">
        <v>1219</v>
      </c>
      <c r="Y82" s="81" t="s">
        <v>33</v>
      </c>
      <c r="Z82" s="8"/>
      <c r="AA82" s="81" t="s">
        <v>733</v>
      </c>
      <c r="AB82" s="8"/>
      <c r="AC82" s="8"/>
      <c r="AD82" s="81" t="s">
        <v>553</v>
      </c>
      <c r="AE82" s="81" t="s">
        <v>8194</v>
      </c>
      <c r="AF82" s="81" t="s">
        <v>492</v>
      </c>
      <c r="AG82" s="81" t="s">
        <v>553</v>
      </c>
      <c r="AH82" s="8"/>
      <c r="AI82" s="8"/>
      <c r="AJ82" s="8"/>
      <c r="AK82" s="8"/>
      <c r="AL82" s="8"/>
      <c r="AM82" s="81" t="s">
        <v>243</v>
      </c>
      <c r="AN82" s="8"/>
      <c r="AO82" s="8"/>
      <c r="AP82" s="8"/>
      <c r="AQ82" s="8"/>
      <c r="AR82" s="9">
        <v>45190</v>
      </c>
      <c r="AS82" s="8" t="s">
        <v>8280</v>
      </c>
      <c r="AT82" s="8" t="s">
        <v>348</v>
      </c>
      <c r="AU82" s="9"/>
      <c r="AV82" s="81" t="s">
        <v>322</v>
      </c>
      <c r="AW82" s="81" t="s">
        <v>492</v>
      </c>
      <c r="AX82" s="8" t="s">
        <v>1221</v>
      </c>
      <c r="AY82" s="8"/>
      <c r="AZ82" s="8" t="s">
        <v>8283</v>
      </c>
      <c r="BA82" s="81" t="s">
        <v>556</v>
      </c>
      <c r="BB82" s="8"/>
      <c r="BC82" s="8"/>
      <c r="BD82" s="8"/>
      <c r="BE82" s="81" t="s">
        <v>261</v>
      </c>
      <c r="BF82" s="8" t="s">
        <v>1222</v>
      </c>
      <c r="BG82" s="9">
        <v>48861</v>
      </c>
      <c r="BH82" s="81" t="s">
        <v>305</v>
      </c>
      <c r="BI82" s="81" t="s">
        <v>1137</v>
      </c>
      <c r="BJ82" s="9">
        <v>44575</v>
      </c>
      <c r="BK82" s="9">
        <v>45473</v>
      </c>
      <c r="BL82" s="81" t="s">
        <v>1225</v>
      </c>
      <c r="BM82" s="8"/>
      <c r="BN82" s="8"/>
      <c r="BO82" s="8"/>
      <c r="BP82" s="8"/>
      <c r="BQ82" s="9"/>
      <c r="BR82" s="9"/>
      <c r="BS82" s="8"/>
      <c r="BT82" s="81" t="s">
        <v>1226</v>
      </c>
      <c r="BU82" s="81" t="s">
        <v>266</v>
      </c>
      <c r="BV82" s="8" t="s">
        <v>1227</v>
      </c>
      <c r="BW82" s="81" t="s">
        <v>492</v>
      </c>
      <c r="BX82" s="81" t="s">
        <v>337</v>
      </c>
      <c r="BY82" s="9">
        <v>45556</v>
      </c>
      <c r="BZ82" s="9">
        <v>46507</v>
      </c>
      <c r="CA82" s="8" t="s">
        <v>257</v>
      </c>
    </row>
    <row r="83" spans="1:79" ht="141.6" x14ac:dyDescent="0.25">
      <c r="A83" s="81" t="s">
        <v>1230</v>
      </c>
      <c r="B83" s="8"/>
      <c r="C83" s="81" t="s">
        <v>352</v>
      </c>
      <c r="D83" s="8" t="s">
        <v>7855</v>
      </c>
      <c r="E83" s="8"/>
      <c r="F83" s="9">
        <v>37137</v>
      </c>
      <c r="G83" s="8" t="s">
        <v>249</v>
      </c>
      <c r="H83" s="81" t="s">
        <v>250</v>
      </c>
      <c r="I83" s="81" t="s">
        <v>27</v>
      </c>
      <c r="J83" s="81" t="s">
        <v>293</v>
      </c>
      <c r="K83" s="81" t="s">
        <v>1231</v>
      </c>
      <c r="L83" s="81" t="s">
        <v>102</v>
      </c>
      <c r="M83" s="81" t="s">
        <v>8284</v>
      </c>
      <c r="N83" s="81" t="s">
        <v>272</v>
      </c>
      <c r="O83" s="81" t="s">
        <v>253</v>
      </c>
      <c r="P83" s="9"/>
      <c r="Q83" s="8"/>
      <c r="R83" s="8"/>
      <c r="S83" s="8"/>
      <c r="T83" s="8"/>
      <c r="U83" s="8"/>
      <c r="V83" s="8"/>
      <c r="W83" s="8"/>
      <c r="X83" s="8" t="s">
        <v>1232</v>
      </c>
      <c r="Y83" s="81" t="s">
        <v>33</v>
      </c>
      <c r="Z83" s="8"/>
      <c r="AA83" s="81" t="s">
        <v>240</v>
      </c>
      <c r="AB83" s="8"/>
      <c r="AC83" s="8"/>
      <c r="AD83" s="81" t="s">
        <v>255</v>
      </c>
      <c r="AE83" s="81" t="s">
        <v>8117</v>
      </c>
      <c r="AF83" s="81" t="s">
        <v>256</v>
      </c>
      <c r="AG83" s="81" t="s">
        <v>255</v>
      </c>
      <c r="AH83" s="8"/>
      <c r="AI83" s="8"/>
      <c r="AJ83" s="8"/>
      <c r="AK83" s="8"/>
      <c r="AL83" s="8"/>
      <c r="AM83" s="81" t="s">
        <v>243</v>
      </c>
      <c r="AN83" s="8"/>
      <c r="AO83" s="8"/>
      <c r="AP83" s="8"/>
      <c r="AQ83" s="8"/>
      <c r="AR83" s="9">
        <v>45159</v>
      </c>
      <c r="AS83" s="8" t="s">
        <v>8285</v>
      </c>
      <c r="AT83" s="8" t="s">
        <v>348</v>
      </c>
      <c r="AU83" s="9"/>
      <c r="AV83" s="81" t="s">
        <v>322</v>
      </c>
      <c r="AW83" s="81" t="s">
        <v>256</v>
      </c>
      <c r="AX83" s="8" t="s">
        <v>1234</v>
      </c>
      <c r="AY83" s="8"/>
      <c r="AZ83" s="8" t="s">
        <v>8286</v>
      </c>
      <c r="BA83" s="81" t="s">
        <v>399</v>
      </c>
      <c r="BB83" s="8"/>
      <c r="BC83" s="8"/>
      <c r="BD83" s="8"/>
      <c r="BE83" s="81" t="s">
        <v>261</v>
      </c>
      <c r="BF83" s="8" t="s">
        <v>1235</v>
      </c>
      <c r="BG83" s="9">
        <v>47295</v>
      </c>
      <c r="BH83" s="81" t="s">
        <v>81</v>
      </c>
      <c r="BI83" s="81" t="s">
        <v>1237</v>
      </c>
      <c r="BJ83" s="9">
        <v>43709</v>
      </c>
      <c r="BK83" s="9">
        <v>45093</v>
      </c>
      <c r="BL83" s="81" t="s">
        <v>1239</v>
      </c>
      <c r="BM83" s="81" t="s">
        <v>82</v>
      </c>
      <c r="BN83" s="8"/>
      <c r="BO83" s="8"/>
      <c r="BP83" s="8"/>
      <c r="BQ83" s="9"/>
      <c r="BR83" s="9"/>
      <c r="BS83" s="8"/>
      <c r="BT83" s="81" t="s">
        <v>1240</v>
      </c>
      <c r="BU83" s="81" t="s">
        <v>266</v>
      </c>
      <c r="BV83" s="8" t="s">
        <v>1241</v>
      </c>
      <c r="BW83" s="81" t="s">
        <v>256</v>
      </c>
      <c r="BX83" s="81" t="s">
        <v>337</v>
      </c>
      <c r="BY83" s="9">
        <v>45525</v>
      </c>
      <c r="BZ83" s="9">
        <v>46254</v>
      </c>
      <c r="CA83" s="8" t="s">
        <v>257</v>
      </c>
    </row>
    <row r="84" spans="1:79" ht="205.2" x14ac:dyDescent="0.25">
      <c r="A84" s="81" t="s">
        <v>1244</v>
      </c>
      <c r="B84" s="8"/>
      <c r="C84" s="81" t="s">
        <v>26</v>
      </c>
      <c r="D84" s="8" t="s">
        <v>7856</v>
      </c>
      <c r="E84" s="8"/>
      <c r="F84" s="9">
        <v>30114</v>
      </c>
      <c r="G84" s="8" t="s">
        <v>1245</v>
      </c>
      <c r="H84" s="81" t="s">
        <v>250</v>
      </c>
      <c r="I84" s="81" t="s">
        <v>27</v>
      </c>
      <c r="J84" s="81" t="s">
        <v>293</v>
      </c>
      <c r="K84" s="81" t="s">
        <v>1246</v>
      </c>
      <c r="L84" s="81" t="s">
        <v>102</v>
      </c>
      <c r="M84" s="81" t="s">
        <v>8287</v>
      </c>
      <c r="N84" s="81" t="s">
        <v>28</v>
      </c>
      <c r="O84" s="81" t="s">
        <v>29</v>
      </c>
      <c r="P84" s="9"/>
      <c r="Q84" s="8"/>
      <c r="R84" s="8"/>
      <c r="S84" s="8"/>
      <c r="T84" s="8"/>
      <c r="U84" s="8"/>
      <c r="V84" s="8"/>
      <c r="W84" s="8"/>
      <c r="X84" s="8" t="s">
        <v>1247</v>
      </c>
      <c r="Y84" s="81" t="s">
        <v>33</v>
      </c>
      <c r="Z84" s="8"/>
      <c r="AA84" s="81" t="s">
        <v>1248</v>
      </c>
      <c r="AB84" s="8"/>
      <c r="AC84" s="8"/>
      <c r="AD84" s="81" t="s">
        <v>344</v>
      </c>
      <c r="AE84" s="81" t="s">
        <v>8129</v>
      </c>
      <c r="AF84" s="81" t="s">
        <v>242</v>
      </c>
      <c r="AG84" s="81" t="s">
        <v>345</v>
      </c>
      <c r="AH84" s="81" t="s">
        <v>346</v>
      </c>
      <c r="AI84" s="81" t="s">
        <v>344</v>
      </c>
      <c r="AJ84" s="8"/>
      <c r="AK84" s="8"/>
      <c r="AL84" s="8"/>
      <c r="AM84" s="81" t="s">
        <v>243</v>
      </c>
      <c r="AN84" s="8"/>
      <c r="AO84" s="8"/>
      <c r="AP84" s="8"/>
      <c r="AQ84" s="8"/>
      <c r="AR84" s="9">
        <v>45153</v>
      </c>
      <c r="AS84" s="8" t="s">
        <v>8285</v>
      </c>
      <c r="AT84" s="8" t="s">
        <v>348</v>
      </c>
      <c r="AU84" s="9"/>
      <c r="AV84" s="81" t="s">
        <v>322</v>
      </c>
      <c r="AW84" s="81" t="s">
        <v>242</v>
      </c>
      <c r="AX84" s="8" t="s">
        <v>1249</v>
      </c>
      <c r="AY84" s="8"/>
      <c r="AZ84" s="8" t="s">
        <v>8288</v>
      </c>
      <c r="BA84" s="81" t="s">
        <v>556</v>
      </c>
      <c r="BB84" s="8"/>
      <c r="BC84" s="8"/>
      <c r="BD84" s="8"/>
      <c r="BE84" s="81" t="s">
        <v>261</v>
      </c>
      <c r="BF84" s="8" t="s">
        <v>1250</v>
      </c>
      <c r="BG84" s="9">
        <v>47153</v>
      </c>
      <c r="BH84" s="81" t="s">
        <v>1252</v>
      </c>
      <c r="BI84" s="81" t="s">
        <v>1253</v>
      </c>
      <c r="BJ84" s="9">
        <v>35674</v>
      </c>
      <c r="BK84" s="9">
        <v>36349</v>
      </c>
      <c r="BL84" s="81" t="s">
        <v>1256</v>
      </c>
      <c r="BM84" s="8"/>
      <c r="BN84" s="8"/>
      <c r="BO84" s="8"/>
      <c r="BP84" s="8"/>
      <c r="BQ84" s="9"/>
      <c r="BR84" s="9"/>
      <c r="BS84" s="8"/>
      <c r="BT84" s="81" t="s">
        <v>1257</v>
      </c>
      <c r="BU84" s="81" t="s">
        <v>118</v>
      </c>
      <c r="BV84" s="8" t="s">
        <v>1258</v>
      </c>
      <c r="BW84" s="81" t="s">
        <v>242</v>
      </c>
      <c r="BX84" s="81" t="s">
        <v>337</v>
      </c>
      <c r="BY84" s="9">
        <v>45870</v>
      </c>
      <c r="BZ84" s="9">
        <v>46507</v>
      </c>
      <c r="CA84" s="8" t="s">
        <v>245</v>
      </c>
    </row>
    <row r="85" spans="1:79" ht="157.19999999999999" x14ac:dyDescent="0.25">
      <c r="A85" s="81" t="s">
        <v>1259</v>
      </c>
      <c r="B85" s="8"/>
      <c r="C85" s="81" t="s">
        <v>26</v>
      </c>
      <c r="D85" s="8" t="s">
        <v>7857</v>
      </c>
      <c r="E85" s="8"/>
      <c r="F85" s="9">
        <v>36513</v>
      </c>
      <c r="G85" s="8" t="s">
        <v>414</v>
      </c>
      <c r="H85" s="81" t="s">
        <v>250</v>
      </c>
      <c r="I85" s="81" t="s">
        <v>27</v>
      </c>
      <c r="J85" s="81" t="s">
        <v>252</v>
      </c>
      <c r="K85" s="81" t="s">
        <v>668</v>
      </c>
      <c r="L85" s="81" t="s">
        <v>102</v>
      </c>
      <c r="M85" s="81" t="s">
        <v>8289</v>
      </c>
      <c r="N85" s="81" t="s">
        <v>272</v>
      </c>
      <c r="O85" s="81" t="s">
        <v>253</v>
      </c>
      <c r="P85" s="9"/>
      <c r="Q85" s="8"/>
      <c r="R85" s="8"/>
      <c r="S85" s="8"/>
      <c r="T85" s="8"/>
      <c r="U85" s="8"/>
      <c r="V85" s="8"/>
      <c r="W85" s="8"/>
      <c r="X85" s="8" t="s">
        <v>1260</v>
      </c>
      <c r="Y85" s="81" t="s">
        <v>33</v>
      </c>
      <c r="Z85" s="8"/>
      <c r="AA85" s="81" t="s">
        <v>733</v>
      </c>
      <c r="AB85" s="8"/>
      <c r="AC85" s="8"/>
      <c r="AD85" s="81" t="s">
        <v>566</v>
      </c>
      <c r="AE85" s="81" t="s">
        <v>8162</v>
      </c>
      <c r="AF85" s="81" t="s">
        <v>256</v>
      </c>
      <c r="AG85" s="81" t="s">
        <v>566</v>
      </c>
      <c r="AH85" s="8"/>
      <c r="AI85" s="8"/>
      <c r="AJ85" s="8"/>
      <c r="AK85" s="8"/>
      <c r="AL85" s="8"/>
      <c r="AM85" s="81" t="s">
        <v>243</v>
      </c>
      <c r="AN85" s="8"/>
      <c r="AO85" s="8"/>
      <c r="AP85" s="8"/>
      <c r="AQ85" s="8"/>
      <c r="AR85" s="9">
        <v>45146</v>
      </c>
      <c r="AS85" s="8" t="s">
        <v>8203</v>
      </c>
      <c r="AT85" s="8" t="s">
        <v>348</v>
      </c>
      <c r="AU85" s="9"/>
      <c r="AV85" s="81" t="s">
        <v>322</v>
      </c>
      <c r="AW85" s="81" t="s">
        <v>256</v>
      </c>
      <c r="AX85" s="8" t="s">
        <v>1262</v>
      </c>
      <c r="AY85" s="8"/>
      <c r="AZ85" s="8" t="s">
        <v>8290</v>
      </c>
      <c r="BA85" s="81" t="s">
        <v>556</v>
      </c>
      <c r="BB85" s="8"/>
      <c r="BC85" s="8"/>
      <c r="BD85" s="8"/>
      <c r="BE85" s="81" t="s">
        <v>261</v>
      </c>
      <c r="BF85" s="8" t="s">
        <v>1263</v>
      </c>
      <c r="BG85" s="9">
        <v>47929</v>
      </c>
      <c r="BH85" s="81" t="s">
        <v>81</v>
      </c>
      <c r="BI85" s="81" t="s">
        <v>1265</v>
      </c>
      <c r="BJ85" s="9">
        <v>43344</v>
      </c>
      <c r="BK85" s="9">
        <v>44378</v>
      </c>
      <c r="BL85" s="81" t="s">
        <v>1267</v>
      </c>
      <c r="BM85" s="81" t="s">
        <v>82</v>
      </c>
      <c r="BN85" s="8"/>
      <c r="BO85" s="8"/>
      <c r="BP85" s="8"/>
      <c r="BQ85" s="9"/>
      <c r="BR85" s="9"/>
      <c r="BS85" s="8"/>
      <c r="BT85" s="81" t="s">
        <v>1268</v>
      </c>
      <c r="BU85" s="81" t="s">
        <v>266</v>
      </c>
      <c r="BV85" s="8" t="s">
        <v>1269</v>
      </c>
      <c r="BW85" s="81" t="s">
        <v>256</v>
      </c>
      <c r="BX85" s="81" t="s">
        <v>337</v>
      </c>
      <c r="BY85" s="9">
        <v>45512</v>
      </c>
      <c r="BZ85" s="9">
        <v>46606</v>
      </c>
      <c r="CA85" s="8" t="s">
        <v>257</v>
      </c>
    </row>
    <row r="86" spans="1:79" ht="141.6" x14ac:dyDescent="0.25">
      <c r="A86" s="81" t="s">
        <v>1272</v>
      </c>
      <c r="B86" s="8"/>
      <c r="C86" s="81" t="s">
        <v>26</v>
      </c>
      <c r="D86" s="8" t="s">
        <v>7858</v>
      </c>
      <c r="E86" s="8"/>
      <c r="F86" s="9">
        <v>36453</v>
      </c>
      <c r="G86" s="8" t="s">
        <v>414</v>
      </c>
      <c r="H86" s="81" t="s">
        <v>250</v>
      </c>
      <c r="I86" s="81" t="s">
        <v>435</v>
      </c>
      <c r="J86" s="81" t="s">
        <v>270</v>
      </c>
      <c r="K86" s="81" t="s">
        <v>608</v>
      </c>
      <c r="L86" s="81" t="s">
        <v>102</v>
      </c>
      <c r="M86" s="81" t="s">
        <v>8291</v>
      </c>
      <c r="N86" s="81" t="s">
        <v>272</v>
      </c>
      <c r="O86" s="81" t="s">
        <v>253</v>
      </c>
      <c r="P86" s="9"/>
      <c r="Q86" s="8"/>
      <c r="R86" s="8"/>
      <c r="S86" s="8"/>
      <c r="T86" s="8"/>
      <c r="U86" s="8"/>
      <c r="V86" s="8"/>
      <c r="W86" s="8"/>
      <c r="X86" s="8" t="s">
        <v>1273</v>
      </c>
      <c r="Y86" s="81" t="s">
        <v>33</v>
      </c>
      <c r="Z86" s="8"/>
      <c r="AA86" s="81" t="s">
        <v>240</v>
      </c>
      <c r="AB86" s="8"/>
      <c r="AC86" s="8"/>
      <c r="AD86" s="81" t="s">
        <v>255</v>
      </c>
      <c r="AE86" s="81" t="s">
        <v>8117</v>
      </c>
      <c r="AF86" s="81" t="s">
        <v>256</v>
      </c>
      <c r="AG86" s="81" t="s">
        <v>255</v>
      </c>
      <c r="AH86" s="8"/>
      <c r="AI86" s="8"/>
      <c r="AJ86" s="8"/>
      <c r="AK86" s="8"/>
      <c r="AL86" s="8"/>
      <c r="AM86" s="81" t="s">
        <v>243</v>
      </c>
      <c r="AN86" s="8"/>
      <c r="AO86" s="8"/>
      <c r="AP86" s="8"/>
      <c r="AQ86" s="8"/>
      <c r="AR86" s="9">
        <v>45139</v>
      </c>
      <c r="AS86" s="8" t="s">
        <v>8203</v>
      </c>
      <c r="AT86" s="8" t="s">
        <v>348</v>
      </c>
      <c r="AU86" s="9"/>
      <c r="AV86" s="81" t="s">
        <v>322</v>
      </c>
      <c r="AW86" s="81" t="s">
        <v>256</v>
      </c>
      <c r="AX86" s="8" t="s">
        <v>1275</v>
      </c>
      <c r="AY86" s="8"/>
      <c r="AZ86" s="8" t="s">
        <v>8290</v>
      </c>
      <c r="BA86" s="81" t="s">
        <v>399</v>
      </c>
      <c r="BB86" s="8"/>
      <c r="BC86" s="8"/>
      <c r="BD86" s="8"/>
      <c r="BE86" s="81" t="s">
        <v>261</v>
      </c>
      <c r="BF86" s="8" t="s">
        <v>1276</v>
      </c>
      <c r="BG86" s="9">
        <v>46624</v>
      </c>
      <c r="BH86" s="81" t="s">
        <v>81</v>
      </c>
      <c r="BI86" s="81" t="s">
        <v>1278</v>
      </c>
      <c r="BJ86" s="9">
        <v>42979</v>
      </c>
      <c r="BK86" s="9">
        <v>44378</v>
      </c>
      <c r="BL86" s="81" t="s">
        <v>405</v>
      </c>
      <c r="BM86" s="81" t="s">
        <v>82</v>
      </c>
      <c r="BN86" s="8"/>
      <c r="BO86" s="8"/>
      <c r="BP86" s="8"/>
      <c r="BQ86" s="9"/>
      <c r="BR86" s="9"/>
      <c r="BS86" s="8"/>
      <c r="BT86" s="81" t="s">
        <v>1279</v>
      </c>
      <c r="BU86" s="81" t="s">
        <v>266</v>
      </c>
      <c r="BV86" s="8" t="s">
        <v>1280</v>
      </c>
      <c r="BW86" s="81" t="s">
        <v>256</v>
      </c>
      <c r="BX86" s="81" t="s">
        <v>337</v>
      </c>
      <c r="BY86" s="9">
        <v>45505</v>
      </c>
      <c r="BZ86" s="9">
        <v>46599</v>
      </c>
      <c r="CA86" s="8" t="s">
        <v>257</v>
      </c>
    </row>
    <row r="87" spans="1:79" ht="205.2" x14ac:dyDescent="0.25">
      <c r="A87" s="81" t="s">
        <v>1282</v>
      </c>
      <c r="B87" s="8"/>
      <c r="C87" s="81" t="s">
        <v>26</v>
      </c>
      <c r="D87" s="8" t="s">
        <v>7859</v>
      </c>
      <c r="E87" s="8" t="s">
        <v>1283</v>
      </c>
      <c r="F87" s="9">
        <v>36799</v>
      </c>
      <c r="G87" s="8" t="s">
        <v>972</v>
      </c>
      <c r="H87" s="81" t="s">
        <v>250</v>
      </c>
      <c r="I87" s="81" t="s">
        <v>27</v>
      </c>
      <c r="J87" s="81" t="s">
        <v>293</v>
      </c>
      <c r="K87" s="81" t="s">
        <v>294</v>
      </c>
      <c r="L87" s="81" t="s">
        <v>102</v>
      </c>
      <c r="M87" s="81" t="s">
        <v>8292</v>
      </c>
      <c r="N87" s="81" t="s">
        <v>272</v>
      </c>
      <c r="O87" s="81" t="s">
        <v>29</v>
      </c>
      <c r="P87" s="9"/>
      <c r="Q87" s="8"/>
      <c r="R87" s="8"/>
      <c r="S87" s="8"/>
      <c r="T87" s="8"/>
      <c r="U87" s="8"/>
      <c r="V87" s="8"/>
      <c r="W87" s="8"/>
      <c r="X87" s="8" t="s">
        <v>1284</v>
      </c>
      <c r="Y87" s="81" t="s">
        <v>33</v>
      </c>
      <c r="Z87" s="8"/>
      <c r="AA87" s="81" t="s">
        <v>1285</v>
      </c>
      <c r="AB87" s="8"/>
      <c r="AC87" s="8"/>
      <c r="AD87" s="81" t="s">
        <v>344</v>
      </c>
      <c r="AE87" s="81" t="s">
        <v>8129</v>
      </c>
      <c r="AF87" s="81" t="s">
        <v>242</v>
      </c>
      <c r="AG87" s="81" t="s">
        <v>345</v>
      </c>
      <c r="AH87" s="81" t="s">
        <v>346</v>
      </c>
      <c r="AI87" s="81" t="s">
        <v>344</v>
      </c>
      <c r="AJ87" s="8"/>
      <c r="AK87" s="8"/>
      <c r="AL87" s="8"/>
      <c r="AM87" s="81" t="s">
        <v>243</v>
      </c>
      <c r="AN87" s="8"/>
      <c r="AO87" s="8"/>
      <c r="AP87" s="8"/>
      <c r="AQ87" s="8"/>
      <c r="AR87" s="9">
        <v>45110</v>
      </c>
      <c r="AS87" s="8" t="s">
        <v>8173</v>
      </c>
      <c r="AT87" s="8" t="s">
        <v>348</v>
      </c>
      <c r="AU87" s="9"/>
      <c r="AV87" s="81" t="s">
        <v>322</v>
      </c>
      <c r="AW87" s="81" t="s">
        <v>242</v>
      </c>
      <c r="AX87" s="8" t="s">
        <v>1286</v>
      </c>
      <c r="AY87" s="8"/>
      <c r="AZ87" s="8" t="s">
        <v>8293</v>
      </c>
      <c r="BA87" s="81" t="s">
        <v>556</v>
      </c>
      <c r="BB87" s="8"/>
      <c r="BC87" s="8"/>
      <c r="BD87" s="8"/>
      <c r="BE87" s="81" t="s">
        <v>261</v>
      </c>
      <c r="BF87" s="8" t="s">
        <v>1288</v>
      </c>
      <c r="BG87" s="9">
        <v>47498</v>
      </c>
      <c r="BH87" s="81" t="s">
        <v>81</v>
      </c>
      <c r="BI87" s="81" t="s">
        <v>1032</v>
      </c>
      <c r="BJ87" s="9">
        <v>43709</v>
      </c>
      <c r="BK87" s="9">
        <v>45108</v>
      </c>
      <c r="BL87" s="81" t="s">
        <v>1290</v>
      </c>
      <c r="BM87" s="81" t="s">
        <v>82</v>
      </c>
      <c r="BN87" s="8"/>
      <c r="BO87" s="8"/>
      <c r="BP87" s="8"/>
      <c r="BQ87" s="9"/>
      <c r="BR87" s="9"/>
      <c r="BS87" s="8"/>
      <c r="BT87" s="8"/>
      <c r="BU87" s="8"/>
      <c r="BV87" s="8"/>
      <c r="BW87" s="81" t="s">
        <v>242</v>
      </c>
      <c r="BX87" s="81" t="s">
        <v>337</v>
      </c>
      <c r="BY87" s="9">
        <v>45870</v>
      </c>
      <c r="BZ87" s="9">
        <v>46507</v>
      </c>
      <c r="CA87" s="8" t="s">
        <v>245</v>
      </c>
    </row>
    <row r="88" spans="1:79" ht="141.6" x14ac:dyDescent="0.25">
      <c r="A88" s="81" t="s">
        <v>1291</v>
      </c>
      <c r="B88" s="8"/>
      <c r="C88" s="81" t="s">
        <v>26</v>
      </c>
      <c r="D88" s="8" t="s">
        <v>7860</v>
      </c>
      <c r="E88" s="8"/>
      <c r="F88" s="9">
        <v>37349</v>
      </c>
      <c r="G88" s="8" t="s">
        <v>249</v>
      </c>
      <c r="H88" s="81" t="s">
        <v>250</v>
      </c>
      <c r="I88" s="81" t="s">
        <v>251</v>
      </c>
      <c r="J88" s="81" t="s">
        <v>293</v>
      </c>
      <c r="K88" s="81" t="s">
        <v>294</v>
      </c>
      <c r="L88" s="81" t="s">
        <v>102</v>
      </c>
      <c r="M88" s="81" t="s">
        <v>8294</v>
      </c>
      <c r="N88" s="81" t="s">
        <v>119</v>
      </c>
      <c r="O88" s="81" t="s">
        <v>253</v>
      </c>
      <c r="P88" s="9"/>
      <c r="Q88" s="8"/>
      <c r="R88" s="8"/>
      <c r="S88" s="8"/>
      <c r="T88" s="8"/>
      <c r="U88" s="8"/>
      <c r="V88" s="8"/>
      <c r="W88" s="8"/>
      <c r="X88" s="8" t="s">
        <v>1292</v>
      </c>
      <c r="Y88" s="81" t="s">
        <v>33</v>
      </c>
      <c r="Z88" s="8"/>
      <c r="AA88" s="81" t="s">
        <v>733</v>
      </c>
      <c r="AB88" s="8"/>
      <c r="AC88" s="8"/>
      <c r="AD88" s="81" t="s">
        <v>553</v>
      </c>
      <c r="AE88" s="81" t="s">
        <v>8194</v>
      </c>
      <c r="AF88" s="81" t="s">
        <v>492</v>
      </c>
      <c r="AG88" s="81" t="s">
        <v>553</v>
      </c>
      <c r="AH88" s="8"/>
      <c r="AI88" s="8"/>
      <c r="AJ88" s="8"/>
      <c r="AK88" s="8"/>
      <c r="AL88" s="8"/>
      <c r="AM88" s="81" t="s">
        <v>243</v>
      </c>
      <c r="AN88" s="8"/>
      <c r="AO88" s="8"/>
      <c r="AP88" s="8"/>
      <c r="AQ88" s="8"/>
      <c r="AR88" s="9">
        <v>45102</v>
      </c>
      <c r="AS88" s="8" t="s">
        <v>8173</v>
      </c>
      <c r="AT88" s="8" t="s">
        <v>348</v>
      </c>
      <c r="AU88" s="9"/>
      <c r="AV88" s="81" t="s">
        <v>322</v>
      </c>
      <c r="AW88" s="81" t="s">
        <v>492</v>
      </c>
      <c r="AX88" s="8" t="s">
        <v>1294</v>
      </c>
      <c r="AY88" s="8"/>
      <c r="AZ88" s="8" t="s">
        <v>8293</v>
      </c>
      <c r="BA88" s="81" t="s">
        <v>556</v>
      </c>
      <c r="BB88" s="8"/>
      <c r="BC88" s="8"/>
      <c r="BD88" s="8"/>
      <c r="BE88" s="81" t="s">
        <v>261</v>
      </c>
      <c r="BF88" s="8" t="s">
        <v>1295</v>
      </c>
      <c r="BG88" s="9">
        <v>47869</v>
      </c>
      <c r="BH88" s="81" t="s">
        <v>305</v>
      </c>
      <c r="BI88" s="81" t="s">
        <v>1297</v>
      </c>
      <c r="BJ88" s="9">
        <v>43344</v>
      </c>
      <c r="BK88" s="9">
        <v>44773</v>
      </c>
      <c r="BL88" s="81" t="s">
        <v>1299</v>
      </c>
      <c r="BM88" s="8"/>
      <c r="BN88" s="8"/>
      <c r="BO88" s="8"/>
      <c r="BP88" s="8"/>
      <c r="BQ88" s="9"/>
      <c r="BR88" s="9"/>
      <c r="BS88" s="8"/>
      <c r="BT88" s="8"/>
      <c r="BU88" s="8"/>
      <c r="BV88" s="8"/>
      <c r="BW88" s="81" t="s">
        <v>492</v>
      </c>
      <c r="BX88" s="81" t="s">
        <v>337</v>
      </c>
      <c r="BY88" s="9">
        <v>45468</v>
      </c>
      <c r="BZ88" s="9">
        <v>46507</v>
      </c>
      <c r="CA88" s="8" t="s">
        <v>257</v>
      </c>
    </row>
    <row r="89" spans="1:79" ht="157.19999999999999" x14ac:dyDescent="0.25">
      <c r="A89" s="81" t="s">
        <v>1301</v>
      </c>
      <c r="B89" s="8"/>
      <c r="C89" s="81" t="s">
        <v>352</v>
      </c>
      <c r="D89" s="8" t="s">
        <v>7861</v>
      </c>
      <c r="E89" s="8" t="s">
        <v>1302</v>
      </c>
      <c r="F89" s="9">
        <v>35956</v>
      </c>
      <c r="G89" s="8" t="s">
        <v>393</v>
      </c>
      <c r="H89" s="81" t="s">
        <v>250</v>
      </c>
      <c r="I89" s="81" t="s">
        <v>27</v>
      </c>
      <c r="J89" s="81" t="s">
        <v>293</v>
      </c>
      <c r="K89" s="81" t="s">
        <v>294</v>
      </c>
      <c r="L89" s="81" t="s">
        <v>102</v>
      </c>
      <c r="M89" s="81" t="s">
        <v>1303</v>
      </c>
      <c r="N89" s="81" t="s">
        <v>272</v>
      </c>
      <c r="O89" s="81" t="s">
        <v>253</v>
      </c>
      <c r="P89" s="9"/>
      <c r="Q89" s="8"/>
      <c r="R89" s="8"/>
      <c r="S89" s="8"/>
      <c r="T89" s="8"/>
      <c r="U89" s="8"/>
      <c r="V89" s="81" t="s">
        <v>8141</v>
      </c>
      <c r="W89" s="81" t="s">
        <v>1304</v>
      </c>
      <c r="X89" s="8" t="s">
        <v>1305</v>
      </c>
      <c r="Y89" s="81" t="s">
        <v>33</v>
      </c>
      <c r="Z89" s="8"/>
      <c r="AA89" s="81" t="s">
        <v>1027</v>
      </c>
      <c r="AB89" s="8"/>
      <c r="AC89" s="8"/>
      <c r="AD89" s="81" t="s">
        <v>524</v>
      </c>
      <c r="AE89" s="81" t="s">
        <v>8155</v>
      </c>
      <c r="AF89" s="81" t="s">
        <v>242</v>
      </c>
      <c r="AG89" s="81" t="s">
        <v>524</v>
      </c>
      <c r="AH89" s="8"/>
      <c r="AI89" s="8"/>
      <c r="AJ89" s="8"/>
      <c r="AK89" s="8"/>
      <c r="AL89" s="8"/>
      <c r="AM89" s="81" t="s">
        <v>243</v>
      </c>
      <c r="AN89" s="8"/>
      <c r="AO89" s="8"/>
      <c r="AP89" s="8"/>
      <c r="AQ89" s="8"/>
      <c r="AR89" s="9">
        <v>45102</v>
      </c>
      <c r="AS89" s="8" t="s">
        <v>8173</v>
      </c>
      <c r="AT89" s="8" t="s">
        <v>348</v>
      </c>
      <c r="AU89" s="9"/>
      <c r="AV89" s="81" t="s">
        <v>322</v>
      </c>
      <c r="AW89" s="81" t="s">
        <v>242</v>
      </c>
      <c r="AX89" s="8" t="s">
        <v>1306</v>
      </c>
      <c r="AY89" s="8"/>
      <c r="AZ89" s="8" t="s">
        <v>8293</v>
      </c>
      <c r="BA89" s="81" t="s">
        <v>399</v>
      </c>
      <c r="BB89" s="8"/>
      <c r="BC89" s="8"/>
      <c r="BD89" s="8"/>
      <c r="BE89" s="81" t="s">
        <v>261</v>
      </c>
      <c r="BF89" s="8" t="s">
        <v>1307</v>
      </c>
      <c r="BG89" s="9">
        <v>47485</v>
      </c>
      <c r="BH89" s="81" t="s">
        <v>81</v>
      </c>
      <c r="BI89" s="81" t="s">
        <v>1309</v>
      </c>
      <c r="BJ89" s="9">
        <v>42979</v>
      </c>
      <c r="BK89" s="9">
        <v>44348</v>
      </c>
      <c r="BL89" s="81" t="s">
        <v>981</v>
      </c>
      <c r="BM89" s="81" t="s">
        <v>82</v>
      </c>
      <c r="BN89" s="8"/>
      <c r="BO89" s="8"/>
      <c r="BP89" s="8"/>
      <c r="BQ89" s="9"/>
      <c r="BR89" s="9"/>
      <c r="BS89" s="8"/>
      <c r="BT89" s="8"/>
      <c r="BU89" s="8"/>
      <c r="BV89" s="8"/>
      <c r="BW89" s="81" t="s">
        <v>242</v>
      </c>
      <c r="BX89" s="81" t="s">
        <v>337</v>
      </c>
      <c r="BY89" s="9">
        <v>45468</v>
      </c>
      <c r="BZ89" s="9">
        <v>47238</v>
      </c>
      <c r="CA89" s="8" t="s">
        <v>257</v>
      </c>
    </row>
    <row r="90" spans="1:79" ht="173.4" x14ac:dyDescent="0.25">
      <c r="A90" s="81" t="s">
        <v>1312</v>
      </c>
      <c r="B90" s="8"/>
      <c r="C90" s="81" t="s">
        <v>26</v>
      </c>
      <c r="D90" s="8" t="s">
        <v>7862</v>
      </c>
      <c r="E90" s="8"/>
      <c r="F90" s="9">
        <v>28651</v>
      </c>
      <c r="G90" s="8" t="s">
        <v>1313</v>
      </c>
      <c r="H90" s="81" t="s">
        <v>250</v>
      </c>
      <c r="I90" s="81" t="s">
        <v>27</v>
      </c>
      <c r="J90" s="81" t="s">
        <v>252</v>
      </c>
      <c r="K90" s="81" t="s">
        <v>1314</v>
      </c>
      <c r="L90" s="81" t="s">
        <v>743</v>
      </c>
      <c r="M90" s="81" t="s">
        <v>8295</v>
      </c>
      <c r="N90" s="81" t="s">
        <v>119</v>
      </c>
      <c r="O90" s="81" t="s">
        <v>253</v>
      </c>
      <c r="P90" s="9"/>
      <c r="Q90" s="8"/>
      <c r="R90" s="8"/>
      <c r="S90" s="8"/>
      <c r="T90" s="8"/>
      <c r="U90" s="8"/>
      <c r="V90" s="8"/>
      <c r="W90" s="8"/>
      <c r="X90" s="8" t="s">
        <v>1316</v>
      </c>
      <c r="Y90" s="81" t="s">
        <v>33</v>
      </c>
      <c r="Z90" s="8"/>
      <c r="AA90" s="81" t="s">
        <v>1317</v>
      </c>
      <c r="AB90" s="8"/>
      <c r="AC90" s="8"/>
      <c r="AD90" s="81" t="s">
        <v>320</v>
      </c>
      <c r="AE90" s="81" t="s">
        <v>8125</v>
      </c>
      <c r="AF90" s="81" t="s">
        <v>242</v>
      </c>
      <c r="AG90" s="81" t="s">
        <v>298</v>
      </c>
      <c r="AH90" s="81" t="s">
        <v>320</v>
      </c>
      <c r="AI90" s="8"/>
      <c r="AJ90" s="8"/>
      <c r="AK90" s="8"/>
      <c r="AL90" s="8"/>
      <c r="AM90" s="81" t="s">
        <v>243</v>
      </c>
      <c r="AN90" s="8"/>
      <c r="AO90" s="8"/>
      <c r="AP90" s="8"/>
      <c r="AQ90" s="8"/>
      <c r="AR90" s="9">
        <v>45068</v>
      </c>
      <c r="AS90" s="8" t="s">
        <v>8296</v>
      </c>
      <c r="AT90" s="8" t="s">
        <v>348</v>
      </c>
      <c r="AU90" s="9"/>
      <c r="AV90" s="81" t="s">
        <v>322</v>
      </c>
      <c r="AW90" s="81" t="s">
        <v>242</v>
      </c>
      <c r="AX90" s="8" t="s">
        <v>1319</v>
      </c>
      <c r="AY90" s="8"/>
      <c r="AZ90" s="8" t="s">
        <v>8297</v>
      </c>
      <c r="BA90" s="81" t="s">
        <v>361</v>
      </c>
      <c r="BB90" s="8"/>
      <c r="BC90" s="8"/>
      <c r="BD90" s="8"/>
      <c r="BE90" s="81" t="s">
        <v>261</v>
      </c>
      <c r="BF90" s="8" t="s">
        <v>1320</v>
      </c>
      <c r="BG90" s="9">
        <v>46787</v>
      </c>
      <c r="BH90" s="81" t="s">
        <v>81</v>
      </c>
      <c r="BI90" s="81" t="s">
        <v>483</v>
      </c>
      <c r="BJ90" s="9">
        <v>36404</v>
      </c>
      <c r="BK90" s="9"/>
      <c r="BL90" s="8"/>
      <c r="BM90" s="8"/>
      <c r="BN90" s="8"/>
      <c r="BO90" s="8"/>
      <c r="BP90" s="8"/>
      <c r="BQ90" s="9"/>
      <c r="BR90" s="9"/>
      <c r="BS90" s="8"/>
      <c r="BT90" s="8"/>
      <c r="BU90" s="8"/>
      <c r="BV90" s="8"/>
      <c r="BW90" s="81" t="s">
        <v>242</v>
      </c>
      <c r="BX90" s="81" t="s">
        <v>517</v>
      </c>
      <c r="BY90" s="9">
        <v>45068</v>
      </c>
      <c r="BZ90" s="9">
        <v>50931</v>
      </c>
      <c r="CA90" s="8"/>
    </row>
    <row r="91" spans="1:79" ht="141.6" x14ac:dyDescent="0.25">
      <c r="A91" s="81" t="s">
        <v>1323</v>
      </c>
      <c r="B91" s="8"/>
      <c r="C91" s="81" t="s">
        <v>26</v>
      </c>
      <c r="D91" s="8" t="s">
        <v>7863</v>
      </c>
      <c r="E91" s="8" t="s">
        <v>1324</v>
      </c>
      <c r="F91" s="9">
        <v>36200</v>
      </c>
      <c r="G91" s="8" t="s">
        <v>393</v>
      </c>
      <c r="H91" s="81" t="s">
        <v>250</v>
      </c>
      <c r="I91" s="81" t="s">
        <v>27</v>
      </c>
      <c r="J91" s="81" t="s">
        <v>270</v>
      </c>
      <c r="K91" s="81" t="s">
        <v>1325</v>
      </c>
      <c r="L91" s="81" t="s">
        <v>102</v>
      </c>
      <c r="M91" s="81" t="s">
        <v>8298</v>
      </c>
      <c r="N91" s="81" t="s">
        <v>119</v>
      </c>
      <c r="O91" s="81" t="s">
        <v>29</v>
      </c>
      <c r="P91" s="9"/>
      <c r="Q91" s="8"/>
      <c r="R91" s="8"/>
      <c r="S91" s="8"/>
      <c r="T91" s="8"/>
      <c r="U91" s="8"/>
      <c r="V91" s="81" t="s">
        <v>8141</v>
      </c>
      <c r="W91" s="81" t="s">
        <v>1326</v>
      </c>
      <c r="X91" s="8" t="s">
        <v>1327</v>
      </c>
      <c r="Y91" s="81" t="s">
        <v>33</v>
      </c>
      <c r="Z91" s="8"/>
      <c r="AA91" s="81" t="s">
        <v>733</v>
      </c>
      <c r="AB91" s="8"/>
      <c r="AC91" s="8"/>
      <c r="AD91" s="81" t="s">
        <v>553</v>
      </c>
      <c r="AE91" s="81" t="s">
        <v>8194</v>
      </c>
      <c r="AF91" s="81" t="s">
        <v>492</v>
      </c>
      <c r="AG91" s="81" t="s">
        <v>553</v>
      </c>
      <c r="AH91" s="8"/>
      <c r="AI91" s="8"/>
      <c r="AJ91" s="8"/>
      <c r="AK91" s="8"/>
      <c r="AL91" s="8"/>
      <c r="AM91" s="81" t="s">
        <v>243</v>
      </c>
      <c r="AN91" s="8"/>
      <c r="AO91" s="8"/>
      <c r="AP91" s="8"/>
      <c r="AQ91" s="8"/>
      <c r="AR91" s="9">
        <v>45035</v>
      </c>
      <c r="AS91" s="8" t="s">
        <v>8299</v>
      </c>
      <c r="AT91" s="8" t="s">
        <v>348</v>
      </c>
      <c r="AU91" s="9"/>
      <c r="AV91" s="81" t="s">
        <v>322</v>
      </c>
      <c r="AW91" s="81" t="s">
        <v>492</v>
      </c>
      <c r="AX91" s="8" t="s">
        <v>1329</v>
      </c>
      <c r="AY91" s="8"/>
      <c r="AZ91" s="8" t="s">
        <v>8300</v>
      </c>
      <c r="BA91" s="81" t="s">
        <v>556</v>
      </c>
      <c r="BB91" s="8"/>
      <c r="BC91" s="8"/>
      <c r="BD91" s="8"/>
      <c r="BE91" s="81" t="s">
        <v>261</v>
      </c>
      <c r="BF91" s="8" t="s">
        <v>1330</v>
      </c>
      <c r="BG91" s="9">
        <v>46407</v>
      </c>
      <c r="BH91" s="81" t="s">
        <v>305</v>
      </c>
      <c r="BI91" s="81" t="s">
        <v>1332</v>
      </c>
      <c r="BJ91" s="9">
        <v>42614</v>
      </c>
      <c r="BK91" s="9">
        <v>44006</v>
      </c>
      <c r="BL91" s="81" t="s">
        <v>828</v>
      </c>
      <c r="BM91" s="81" t="s">
        <v>82</v>
      </c>
      <c r="BN91" s="8"/>
      <c r="BO91" s="8"/>
      <c r="BP91" s="8"/>
      <c r="BQ91" s="9"/>
      <c r="BR91" s="9"/>
      <c r="BS91" s="8"/>
      <c r="BT91" s="81" t="s">
        <v>1334</v>
      </c>
      <c r="BU91" s="81" t="s">
        <v>266</v>
      </c>
      <c r="BV91" s="8" t="s">
        <v>1335</v>
      </c>
      <c r="BW91" s="81" t="s">
        <v>492</v>
      </c>
      <c r="BX91" s="81" t="s">
        <v>337</v>
      </c>
      <c r="BY91" s="9">
        <v>45401</v>
      </c>
      <c r="BZ91" s="9">
        <v>46507</v>
      </c>
      <c r="CA91" s="8" t="s">
        <v>257</v>
      </c>
    </row>
    <row r="92" spans="1:79" ht="173.4" x14ac:dyDescent="0.25">
      <c r="A92" s="81" t="s">
        <v>1337</v>
      </c>
      <c r="B92" s="8"/>
      <c r="C92" s="81" t="s">
        <v>26</v>
      </c>
      <c r="D92" s="8" t="s">
        <v>7864</v>
      </c>
      <c r="E92" s="8" t="s">
        <v>1338</v>
      </c>
      <c r="F92" s="9">
        <v>35895</v>
      </c>
      <c r="G92" s="8" t="s">
        <v>819</v>
      </c>
      <c r="H92" s="81" t="s">
        <v>250</v>
      </c>
      <c r="I92" s="81" t="s">
        <v>435</v>
      </c>
      <c r="J92" s="81" t="s">
        <v>474</v>
      </c>
      <c r="K92" s="81" t="s">
        <v>608</v>
      </c>
      <c r="L92" s="81" t="s">
        <v>102</v>
      </c>
      <c r="M92" s="81" t="s">
        <v>8301</v>
      </c>
      <c r="N92" s="81" t="s">
        <v>272</v>
      </c>
      <c r="O92" s="81" t="s">
        <v>253</v>
      </c>
      <c r="P92" s="9"/>
      <c r="Q92" s="8"/>
      <c r="R92" s="8"/>
      <c r="S92" s="8"/>
      <c r="T92" s="81" t="s">
        <v>8141</v>
      </c>
      <c r="U92" s="81" t="s">
        <v>8188</v>
      </c>
      <c r="V92" s="8"/>
      <c r="W92" s="8"/>
      <c r="X92" s="8" t="s">
        <v>1339</v>
      </c>
      <c r="Y92" s="81" t="s">
        <v>33</v>
      </c>
      <c r="Z92" s="8"/>
      <c r="AA92" s="81" t="s">
        <v>733</v>
      </c>
      <c r="AB92" s="8"/>
      <c r="AC92" s="8"/>
      <c r="AD92" s="81" t="s">
        <v>552</v>
      </c>
      <c r="AE92" s="81" t="s">
        <v>8160</v>
      </c>
      <c r="AF92" s="81" t="s">
        <v>492</v>
      </c>
      <c r="AG92" s="81" t="s">
        <v>553</v>
      </c>
      <c r="AH92" s="81" t="s">
        <v>552</v>
      </c>
      <c r="AI92" s="8"/>
      <c r="AJ92" s="8"/>
      <c r="AK92" s="8"/>
      <c r="AL92" s="8"/>
      <c r="AM92" s="81" t="s">
        <v>243</v>
      </c>
      <c r="AN92" s="8"/>
      <c r="AO92" s="8"/>
      <c r="AP92" s="8"/>
      <c r="AQ92" s="8"/>
      <c r="AR92" s="9">
        <v>45035</v>
      </c>
      <c r="AS92" s="8" t="s">
        <v>8299</v>
      </c>
      <c r="AT92" s="8" t="s">
        <v>348</v>
      </c>
      <c r="AU92" s="9"/>
      <c r="AV92" s="81" t="s">
        <v>322</v>
      </c>
      <c r="AW92" s="81" t="s">
        <v>492</v>
      </c>
      <c r="AX92" s="8" t="s">
        <v>1340</v>
      </c>
      <c r="AY92" s="8"/>
      <c r="AZ92" s="8" t="s">
        <v>8148</v>
      </c>
      <c r="BA92" s="81" t="s">
        <v>556</v>
      </c>
      <c r="BB92" s="8"/>
      <c r="BC92" s="8"/>
      <c r="BD92" s="8"/>
      <c r="BE92" s="81" t="s">
        <v>261</v>
      </c>
      <c r="BF92" s="8" t="s">
        <v>1341</v>
      </c>
      <c r="BG92" s="9">
        <v>47032</v>
      </c>
      <c r="BH92" s="81" t="s">
        <v>81</v>
      </c>
      <c r="BI92" s="81" t="s">
        <v>327</v>
      </c>
      <c r="BJ92" s="9">
        <v>44075</v>
      </c>
      <c r="BK92" s="9">
        <v>44726</v>
      </c>
      <c r="BL92" s="81" t="s">
        <v>405</v>
      </c>
      <c r="BM92" s="81" t="s">
        <v>82</v>
      </c>
      <c r="BN92" s="8"/>
      <c r="BO92" s="8"/>
      <c r="BP92" s="8"/>
      <c r="BQ92" s="9"/>
      <c r="BR92" s="9"/>
      <c r="BS92" s="8"/>
      <c r="BT92" s="81" t="s">
        <v>1344</v>
      </c>
      <c r="BU92" s="81" t="s">
        <v>266</v>
      </c>
      <c r="BV92" s="8" t="s">
        <v>1345</v>
      </c>
      <c r="BW92" s="81" t="s">
        <v>492</v>
      </c>
      <c r="BX92" s="81" t="s">
        <v>337</v>
      </c>
      <c r="BY92" s="9">
        <v>45962</v>
      </c>
      <c r="BZ92" s="9">
        <v>46507</v>
      </c>
      <c r="CA92" s="8" t="s">
        <v>245</v>
      </c>
    </row>
    <row r="93" spans="1:79" ht="141.6" x14ac:dyDescent="0.25">
      <c r="A93" s="81" t="s">
        <v>1346</v>
      </c>
      <c r="B93" s="8"/>
      <c r="C93" s="81" t="s">
        <v>352</v>
      </c>
      <c r="D93" s="8" t="s">
        <v>7865</v>
      </c>
      <c r="E93" s="8" t="s">
        <v>1347</v>
      </c>
      <c r="F93" s="9">
        <v>32637</v>
      </c>
      <c r="G93" s="8" t="s">
        <v>1348</v>
      </c>
      <c r="H93" s="81" t="s">
        <v>250</v>
      </c>
      <c r="I93" s="81" t="s">
        <v>27</v>
      </c>
      <c r="J93" s="81" t="s">
        <v>474</v>
      </c>
      <c r="K93" s="81" t="s">
        <v>488</v>
      </c>
      <c r="L93" s="81" t="s">
        <v>102</v>
      </c>
      <c r="M93" s="81" t="s">
        <v>8302</v>
      </c>
      <c r="N93" s="81" t="s">
        <v>272</v>
      </c>
      <c r="O93" s="81" t="s">
        <v>1349</v>
      </c>
      <c r="P93" s="9"/>
      <c r="Q93" s="8"/>
      <c r="R93" s="8"/>
      <c r="S93" s="8"/>
      <c r="T93" s="8"/>
      <c r="U93" s="8"/>
      <c r="V93" s="81" t="s">
        <v>8247</v>
      </c>
      <c r="W93" s="81" t="s">
        <v>1350</v>
      </c>
      <c r="X93" s="8" t="s">
        <v>1351</v>
      </c>
      <c r="Y93" s="81" t="s">
        <v>33</v>
      </c>
      <c r="Z93" s="8"/>
      <c r="AA93" s="81" t="s">
        <v>1352</v>
      </c>
      <c r="AB93" s="8"/>
      <c r="AC93" s="8"/>
      <c r="AD93" s="81" t="s">
        <v>1353</v>
      </c>
      <c r="AE93" s="81" t="s">
        <v>8303</v>
      </c>
      <c r="AF93" s="81" t="s">
        <v>242</v>
      </c>
      <c r="AG93" s="81" t="s">
        <v>1353</v>
      </c>
      <c r="AH93" s="8"/>
      <c r="AI93" s="8"/>
      <c r="AJ93" s="8"/>
      <c r="AK93" s="8"/>
      <c r="AL93" s="8"/>
      <c r="AM93" s="81" t="s">
        <v>243</v>
      </c>
      <c r="AN93" s="8"/>
      <c r="AO93" s="8"/>
      <c r="AP93" s="8"/>
      <c r="AQ93" s="8"/>
      <c r="AR93" s="9">
        <v>44998</v>
      </c>
      <c r="AS93" s="8" t="s">
        <v>8304</v>
      </c>
      <c r="AT93" s="8" t="s">
        <v>348</v>
      </c>
      <c r="AU93" s="9"/>
      <c r="AV93" s="81" t="s">
        <v>322</v>
      </c>
      <c r="AW93" s="81" t="s">
        <v>242</v>
      </c>
      <c r="AX93" s="8" t="s">
        <v>1355</v>
      </c>
      <c r="AY93" s="8"/>
      <c r="AZ93" s="8" t="s">
        <v>8305</v>
      </c>
      <c r="BA93" s="81" t="s">
        <v>361</v>
      </c>
      <c r="BB93" s="8"/>
      <c r="BC93" s="8"/>
      <c r="BD93" s="8"/>
      <c r="BE93" s="81" t="s">
        <v>261</v>
      </c>
      <c r="BF93" s="8" t="s">
        <v>1356</v>
      </c>
      <c r="BG93" s="9">
        <v>49573</v>
      </c>
      <c r="BH93" s="81" t="s">
        <v>81</v>
      </c>
      <c r="BI93" s="81" t="s">
        <v>1045</v>
      </c>
      <c r="BJ93" s="9">
        <v>39692</v>
      </c>
      <c r="BK93" s="9">
        <v>41090</v>
      </c>
      <c r="BL93" s="81" t="s">
        <v>1360</v>
      </c>
      <c r="BM93" s="81" t="s">
        <v>82</v>
      </c>
      <c r="BN93" s="8"/>
      <c r="BO93" s="8"/>
      <c r="BP93" s="8"/>
      <c r="BQ93" s="9"/>
      <c r="BR93" s="9"/>
      <c r="BS93" s="8"/>
      <c r="BT93" s="81" t="s">
        <v>1361</v>
      </c>
      <c r="BU93" s="81" t="s">
        <v>266</v>
      </c>
      <c r="BV93" s="8" t="s">
        <v>1362</v>
      </c>
      <c r="BW93" s="81" t="s">
        <v>242</v>
      </c>
      <c r="BX93" s="81" t="s">
        <v>337</v>
      </c>
      <c r="BY93" s="9">
        <v>45364</v>
      </c>
      <c r="BZ93" s="9">
        <v>46599</v>
      </c>
      <c r="CA93" s="8" t="s">
        <v>257</v>
      </c>
    </row>
    <row r="94" spans="1:79" ht="157.19999999999999" x14ac:dyDescent="0.25">
      <c r="A94" s="81" t="s">
        <v>1363</v>
      </c>
      <c r="B94" s="8"/>
      <c r="C94" s="81" t="s">
        <v>26</v>
      </c>
      <c r="D94" s="8" t="s">
        <v>7866</v>
      </c>
      <c r="E94" s="8" t="s">
        <v>1364</v>
      </c>
      <c r="F94" s="9">
        <v>35916</v>
      </c>
      <c r="G94" s="8" t="s">
        <v>393</v>
      </c>
      <c r="H94" s="81" t="s">
        <v>250</v>
      </c>
      <c r="I94" s="81" t="s">
        <v>27</v>
      </c>
      <c r="J94" s="81" t="s">
        <v>293</v>
      </c>
      <c r="K94" s="81" t="s">
        <v>294</v>
      </c>
      <c r="L94" s="81" t="s">
        <v>102</v>
      </c>
      <c r="M94" s="81" t="s">
        <v>8306</v>
      </c>
      <c r="N94" s="81" t="s">
        <v>272</v>
      </c>
      <c r="O94" s="81" t="s">
        <v>29</v>
      </c>
      <c r="P94" s="9"/>
      <c r="Q94" s="8"/>
      <c r="R94" s="8"/>
      <c r="S94" s="8"/>
      <c r="T94" s="8"/>
      <c r="U94" s="8"/>
      <c r="V94" s="8"/>
      <c r="W94" s="8"/>
      <c r="X94" s="8" t="s">
        <v>1365</v>
      </c>
      <c r="Y94" s="81" t="s">
        <v>33</v>
      </c>
      <c r="Z94" s="8"/>
      <c r="AA94" s="81" t="s">
        <v>240</v>
      </c>
      <c r="AB94" s="8"/>
      <c r="AC94" s="8"/>
      <c r="AD94" s="81" t="s">
        <v>491</v>
      </c>
      <c r="AE94" s="81" t="s">
        <v>8152</v>
      </c>
      <c r="AF94" s="81" t="s">
        <v>492</v>
      </c>
      <c r="AG94" s="81" t="s">
        <v>491</v>
      </c>
      <c r="AH94" s="8"/>
      <c r="AI94" s="8"/>
      <c r="AJ94" s="8"/>
      <c r="AK94" s="8"/>
      <c r="AL94" s="8"/>
      <c r="AM94" s="81" t="s">
        <v>243</v>
      </c>
      <c r="AN94" s="8"/>
      <c r="AO94" s="8"/>
      <c r="AP94" s="8"/>
      <c r="AQ94" s="8"/>
      <c r="AR94" s="9">
        <v>44994</v>
      </c>
      <c r="AS94" s="8" t="s">
        <v>8242</v>
      </c>
      <c r="AT94" s="8" t="s">
        <v>348</v>
      </c>
      <c r="AU94" s="9"/>
      <c r="AV94" s="81" t="s">
        <v>322</v>
      </c>
      <c r="AW94" s="81" t="s">
        <v>492</v>
      </c>
      <c r="AX94" s="8" t="s">
        <v>1367</v>
      </c>
      <c r="AY94" s="8"/>
      <c r="AZ94" s="8" t="s">
        <v>8307</v>
      </c>
      <c r="BA94" s="81" t="s">
        <v>399</v>
      </c>
      <c r="BB94" s="8"/>
      <c r="BC94" s="8"/>
      <c r="BD94" s="8"/>
      <c r="BE94" s="81" t="s">
        <v>261</v>
      </c>
      <c r="BF94" s="8" t="s">
        <v>1369</v>
      </c>
      <c r="BG94" s="9">
        <v>47139</v>
      </c>
      <c r="BH94" s="81" t="s">
        <v>81</v>
      </c>
      <c r="BI94" s="81" t="s">
        <v>1371</v>
      </c>
      <c r="BJ94" s="9">
        <v>42979</v>
      </c>
      <c r="BK94" s="9">
        <v>44368</v>
      </c>
      <c r="BL94" s="81" t="s">
        <v>1373</v>
      </c>
      <c r="BM94" s="81" t="s">
        <v>82</v>
      </c>
      <c r="BN94" s="8"/>
      <c r="BO94" s="8"/>
      <c r="BP94" s="8"/>
      <c r="BQ94" s="9"/>
      <c r="BR94" s="9"/>
      <c r="BS94" s="8"/>
      <c r="BT94" s="81" t="s">
        <v>1374</v>
      </c>
      <c r="BU94" s="81" t="s">
        <v>517</v>
      </c>
      <c r="BV94" s="81" t="s">
        <v>60</v>
      </c>
      <c r="BW94" s="81" t="s">
        <v>492</v>
      </c>
      <c r="BX94" s="81" t="s">
        <v>337</v>
      </c>
      <c r="BY94" s="9">
        <v>45360</v>
      </c>
      <c r="BZ94" s="9">
        <v>46507</v>
      </c>
      <c r="CA94" s="8" t="s">
        <v>257</v>
      </c>
    </row>
    <row r="95" spans="1:79" ht="141.6" x14ac:dyDescent="0.25">
      <c r="A95" s="81" t="s">
        <v>1376</v>
      </c>
      <c r="B95" s="8"/>
      <c r="C95" s="81" t="s">
        <v>26</v>
      </c>
      <c r="D95" s="8" t="s">
        <v>7867</v>
      </c>
      <c r="E95" s="8" t="s">
        <v>1377</v>
      </c>
      <c r="F95" s="9">
        <v>34989</v>
      </c>
      <c r="G95" s="8" t="s">
        <v>741</v>
      </c>
      <c r="H95" s="81" t="s">
        <v>250</v>
      </c>
      <c r="I95" s="81" t="s">
        <v>27</v>
      </c>
      <c r="J95" s="81" t="s">
        <v>293</v>
      </c>
      <c r="K95" s="81" t="s">
        <v>294</v>
      </c>
      <c r="L95" s="81" t="s">
        <v>102</v>
      </c>
      <c r="M95" s="81" t="s">
        <v>8308</v>
      </c>
      <c r="N95" s="81" t="s">
        <v>28</v>
      </c>
      <c r="O95" s="81" t="s">
        <v>29</v>
      </c>
      <c r="P95" s="9"/>
      <c r="Q95" s="8"/>
      <c r="R95" s="8"/>
      <c r="S95" s="8"/>
      <c r="T95" s="8"/>
      <c r="U95" s="8"/>
      <c r="V95" s="8"/>
      <c r="W95" s="8"/>
      <c r="X95" s="8" t="s">
        <v>1378</v>
      </c>
      <c r="Y95" s="81" t="s">
        <v>33</v>
      </c>
      <c r="Z95" s="8"/>
      <c r="AA95" s="81" t="s">
        <v>1379</v>
      </c>
      <c r="AB95" s="8"/>
      <c r="AC95" s="8"/>
      <c r="AD95" s="81" t="s">
        <v>1380</v>
      </c>
      <c r="AE95" s="81" t="s">
        <v>8309</v>
      </c>
      <c r="AF95" s="81" t="s">
        <v>242</v>
      </c>
      <c r="AG95" s="81" t="s">
        <v>1380</v>
      </c>
      <c r="AH95" s="8"/>
      <c r="AI95" s="8"/>
      <c r="AJ95" s="8"/>
      <c r="AK95" s="8"/>
      <c r="AL95" s="8"/>
      <c r="AM95" s="81" t="s">
        <v>243</v>
      </c>
      <c r="AN95" s="8"/>
      <c r="AO95" s="8"/>
      <c r="AP95" s="8"/>
      <c r="AQ95" s="8"/>
      <c r="AR95" s="9">
        <v>44986</v>
      </c>
      <c r="AS95" s="8" t="s">
        <v>8242</v>
      </c>
      <c r="AT95" s="8" t="s">
        <v>348</v>
      </c>
      <c r="AU95" s="9"/>
      <c r="AV95" s="81" t="s">
        <v>322</v>
      </c>
      <c r="AW95" s="81" t="s">
        <v>242</v>
      </c>
      <c r="AX95" s="8" t="s">
        <v>1382</v>
      </c>
      <c r="AY95" s="8"/>
      <c r="AZ95" s="8" t="s">
        <v>8310</v>
      </c>
      <c r="BA95" s="81" t="s">
        <v>556</v>
      </c>
      <c r="BB95" s="8"/>
      <c r="BC95" s="8"/>
      <c r="BD95" s="8"/>
      <c r="BE95" s="81" t="s">
        <v>261</v>
      </c>
      <c r="BF95" s="8" t="s">
        <v>1383</v>
      </c>
      <c r="BG95" s="9">
        <v>51880</v>
      </c>
      <c r="BH95" s="81" t="s">
        <v>305</v>
      </c>
      <c r="BI95" s="81" t="s">
        <v>1385</v>
      </c>
      <c r="BJ95" s="9">
        <v>43770</v>
      </c>
      <c r="BK95" s="9">
        <v>44742</v>
      </c>
      <c r="BL95" s="81" t="s">
        <v>1387</v>
      </c>
      <c r="BM95" s="8"/>
      <c r="BN95" s="8"/>
      <c r="BO95" s="8"/>
      <c r="BP95" s="8"/>
      <c r="BQ95" s="9"/>
      <c r="BR95" s="9"/>
      <c r="BS95" s="8"/>
      <c r="BT95" s="81" t="s">
        <v>1388</v>
      </c>
      <c r="BU95" s="81" t="s">
        <v>118</v>
      </c>
      <c r="BV95" s="8" t="s">
        <v>1389</v>
      </c>
      <c r="BW95" s="81" t="s">
        <v>242</v>
      </c>
      <c r="BX95" s="81" t="s">
        <v>337</v>
      </c>
      <c r="BY95" s="9">
        <v>45352</v>
      </c>
      <c r="BZ95" s="9">
        <v>46599</v>
      </c>
      <c r="CA95" s="8" t="s">
        <v>257</v>
      </c>
    </row>
    <row r="96" spans="1:79" ht="205.2" x14ac:dyDescent="0.25">
      <c r="A96" s="81" t="s">
        <v>1390</v>
      </c>
      <c r="B96" s="8"/>
      <c r="C96" s="81" t="s">
        <v>26</v>
      </c>
      <c r="D96" s="8" t="s">
        <v>7868</v>
      </c>
      <c r="E96" s="8" t="s">
        <v>1391</v>
      </c>
      <c r="F96" s="9">
        <v>33651</v>
      </c>
      <c r="G96" s="8" t="s">
        <v>1392</v>
      </c>
      <c r="H96" s="81" t="s">
        <v>250</v>
      </c>
      <c r="I96" s="81" t="s">
        <v>27</v>
      </c>
      <c r="J96" s="81" t="s">
        <v>252</v>
      </c>
      <c r="K96" s="81" t="s">
        <v>294</v>
      </c>
      <c r="L96" s="81" t="s">
        <v>102</v>
      </c>
      <c r="M96" s="81" t="s">
        <v>8311</v>
      </c>
      <c r="N96" s="81" t="s">
        <v>28</v>
      </c>
      <c r="O96" s="81" t="s">
        <v>29</v>
      </c>
      <c r="P96" s="9"/>
      <c r="Q96" s="8"/>
      <c r="R96" s="8"/>
      <c r="S96" s="8"/>
      <c r="T96" s="8"/>
      <c r="U96" s="8"/>
      <c r="V96" s="8"/>
      <c r="W96" s="8"/>
      <c r="X96" s="8" t="s">
        <v>1393</v>
      </c>
      <c r="Y96" s="81" t="s">
        <v>33</v>
      </c>
      <c r="Z96" s="8"/>
      <c r="AA96" s="81" t="s">
        <v>1394</v>
      </c>
      <c r="AB96" s="8"/>
      <c r="AC96" s="8"/>
      <c r="AD96" s="81" t="s">
        <v>344</v>
      </c>
      <c r="AE96" s="81" t="s">
        <v>8129</v>
      </c>
      <c r="AF96" s="81" t="s">
        <v>242</v>
      </c>
      <c r="AG96" s="81" t="s">
        <v>345</v>
      </c>
      <c r="AH96" s="81" t="s">
        <v>346</v>
      </c>
      <c r="AI96" s="81" t="s">
        <v>344</v>
      </c>
      <c r="AJ96" s="8"/>
      <c r="AK96" s="8"/>
      <c r="AL96" s="8"/>
      <c r="AM96" s="81" t="s">
        <v>243</v>
      </c>
      <c r="AN96" s="8"/>
      <c r="AO96" s="8"/>
      <c r="AP96" s="8"/>
      <c r="AQ96" s="8"/>
      <c r="AR96" s="9">
        <v>44978</v>
      </c>
      <c r="AS96" s="8" t="s">
        <v>8242</v>
      </c>
      <c r="AT96" s="8" t="s">
        <v>348</v>
      </c>
      <c r="AU96" s="9"/>
      <c r="AV96" s="81" t="s">
        <v>322</v>
      </c>
      <c r="AW96" s="81" t="s">
        <v>242</v>
      </c>
      <c r="AX96" s="8" t="s">
        <v>1395</v>
      </c>
      <c r="AY96" s="8"/>
      <c r="AZ96" s="8" t="s">
        <v>8312</v>
      </c>
      <c r="BA96" s="81" t="s">
        <v>556</v>
      </c>
      <c r="BB96" s="8"/>
      <c r="BC96" s="8"/>
      <c r="BD96" s="8"/>
      <c r="BE96" s="81" t="s">
        <v>261</v>
      </c>
      <c r="BF96" s="8" t="s">
        <v>1396</v>
      </c>
      <c r="BG96" s="9">
        <v>52322</v>
      </c>
      <c r="BH96" s="81" t="s">
        <v>305</v>
      </c>
      <c r="BI96" s="81" t="s">
        <v>1385</v>
      </c>
      <c r="BJ96" s="9">
        <v>43845</v>
      </c>
      <c r="BK96" s="9">
        <v>45000</v>
      </c>
      <c r="BL96" s="81" t="s">
        <v>1400</v>
      </c>
      <c r="BM96" s="8"/>
      <c r="BN96" s="8"/>
      <c r="BO96" s="8"/>
      <c r="BP96" s="8"/>
      <c r="BQ96" s="9"/>
      <c r="BR96" s="9"/>
      <c r="BS96" s="8"/>
      <c r="BT96" s="81" t="s">
        <v>1401</v>
      </c>
      <c r="BU96" s="81" t="s">
        <v>118</v>
      </c>
      <c r="BV96" s="8" t="s">
        <v>1402</v>
      </c>
      <c r="BW96" s="81" t="s">
        <v>242</v>
      </c>
      <c r="BX96" s="81" t="s">
        <v>337</v>
      </c>
      <c r="BY96" s="9">
        <v>45870</v>
      </c>
      <c r="BZ96" s="9">
        <v>46507</v>
      </c>
      <c r="CA96" s="8" t="s">
        <v>245</v>
      </c>
    </row>
    <row r="97" spans="1:79" ht="205.2" x14ac:dyDescent="0.25">
      <c r="A97" s="81" t="s">
        <v>1403</v>
      </c>
      <c r="B97" s="8"/>
      <c r="C97" s="81" t="s">
        <v>26</v>
      </c>
      <c r="D97" s="8" t="s">
        <v>7869</v>
      </c>
      <c r="E97" s="8" t="s">
        <v>1404</v>
      </c>
      <c r="F97" s="9">
        <v>34824</v>
      </c>
      <c r="G97" s="8" t="s">
        <v>741</v>
      </c>
      <c r="H97" s="81" t="s">
        <v>250</v>
      </c>
      <c r="I97" s="81" t="s">
        <v>27</v>
      </c>
      <c r="J97" s="81" t="s">
        <v>252</v>
      </c>
      <c r="K97" s="81" t="s">
        <v>294</v>
      </c>
      <c r="L97" s="81" t="s">
        <v>102</v>
      </c>
      <c r="M97" s="81" t="s">
        <v>8313</v>
      </c>
      <c r="N97" s="81" t="s">
        <v>272</v>
      </c>
      <c r="O97" s="81" t="s">
        <v>29</v>
      </c>
      <c r="P97" s="9"/>
      <c r="Q97" s="8"/>
      <c r="R97" s="8"/>
      <c r="S97" s="8"/>
      <c r="T97" s="8"/>
      <c r="U97" s="8"/>
      <c r="V97" s="8"/>
      <c r="W97" s="8"/>
      <c r="X97" s="8" t="s">
        <v>1405</v>
      </c>
      <c r="Y97" s="81" t="s">
        <v>33</v>
      </c>
      <c r="Z97" s="8"/>
      <c r="AA97" s="81" t="s">
        <v>1406</v>
      </c>
      <c r="AB97" s="8"/>
      <c r="AC97" s="8"/>
      <c r="AD97" s="81" t="s">
        <v>344</v>
      </c>
      <c r="AE97" s="81" t="s">
        <v>8129</v>
      </c>
      <c r="AF97" s="81" t="s">
        <v>242</v>
      </c>
      <c r="AG97" s="81" t="s">
        <v>345</v>
      </c>
      <c r="AH97" s="81" t="s">
        <v>346</v>
      </c>
      <c r="AI97" s="81" t="s">
        <v>344</v>
      </c>
      <c r="AJ97" s="8"/>
      <c r="AK97" s="8"/>
      <c r="AL97" s="8"/>
      <c r="AM97" s="81" t="s">
        <v>243</v>
      </c>
      <c r="AN97" s="8"/>
      <c r="AO97" s="8"/>
      <c r="AP97" s="8"/>
      <c r="AQ97" s="8"/>
      <c r="AR97" s="9">
        <v>44973</v>
      </c>
      <c r="AS97" s="8" t="s">
        <v>8242</v>
      </c>
      <c r="AT97" s="8" t="s">
        <v>348</v>
      </c>
      <c r="AU97" s="9"/>
      <c r="AV97" s="81" t="s">
        <v>322</v>
      </c>
      <c r="AW97" s="81" t="s">
        <v>242</v>
      </c>
      <c r="AX97" s="8" t="s">
        <v>1407</v>
      </c>
      <c r="AY97" s="8"/>
      <c r="AZ97" s="8" t="s">
        <v>8137</v>
      </c>
      <c r="BA97" s="81" t="s">
        <v>556</v>
      </c>
      <c r="BB97" s="8"/>
      <c r="BC97" s="8"/>
      <c r="BD97" s="8"/>
      <c r="BE97" s="81" t="s">
        <v>261</v>
      </c>
      <c r="BF97" s="8" t="s">
        <v>1408</v>
      </c>
      <c r="BG97" s="9">
        <v>51894</v>
      </c>
      <c r="BH97" s="81" t="s">
        <v>305</v>
      </c>
      <c r="BI97" s="81" t="s">
        <v>1410</v>
      </c>
      <c r="BJ97" s="9">
        <v>41906</v>
      </c>
      <c r="BK97" s="9">
        <v>42914</v>
      </c>
      <c r="BL97" s="81" t="s">
        <v>945</v>
      </c>
      <c r="BM97" s="8"/>
      <c r="BN97" s="8"/>
      <c r="BO97" s="8"/>
      <c r="BP97" s="8"/>
      <c r="BQ97" s="9"/>
      <c r="BR97" s="9"/>
      <c r="BS97" s="8"/>
      <c r="BT97" s="81" t="s">
        <v>1413</v>
      </c>
      <c r="BU97" s="81" t="s">
        <v>118</v>
      </c>
      <c r="BV97" s="8" t="s">
        <v>1414</v>
      </c>
      <c r="BW97" s="81" t="s">
        <v>242</v>
      </c>
      <c r="BX97" s="81" t="s">
        <v>337</v>
      </c>
      <c r="BY97" s="9">
        <v>45870</v>
      </c>
      <c r="BZ97" s="9">
        <v>46507</v>
      </c>
      <c r="CA97" s="8" t="s">
        <v>245</v>
      </c>
    </row>
    <row r="98" spans="1:79" ht="141.6" x14ac:dyDescent="0.25">
      <c r="A98" s="81" t="s">
        <v>1415</v>
      </c>
      <c r="B98" s="8"/>
      <c r="C98" s="81" t="s">
        <v>26</v>
      </c>
      <c r="D98" s="8" t="s">
        <v>7870</v>
      </c>
      <c r="E98" s="8" t="s">
        <v>1416</v>
      </c>
      <c r="F98" s="9">
        <v>36164</v>
      </c>
      <c r="G98" s="8" t="s">
        <v>393</v>
      </c>
      <c r="H98" s="81" t="s">
        <v>250</v>
      </c>
      <c r="I98" s="81" t="s">
        <v>983</v>
      </c>
      <c r="J98" s="81" t="s">
        <v>270</v>
      </c>
      <c r="K98" s="81" t="s">
        <v>488</v>
      </c>
      <c r="L98" s="81" t="s">
        <v>102</v>
      </c>
      <c r="M98" s="81" t="s">
        <v>8314</v>
      </c>
      <c r="N98" s="81" t="s">
        <v>272</v>
      </c>
      <c r="O98" s="81" t="s">
        <v>253</v>
      </c>
      <c r="P98" s="9"/>
      <c r="Q98" s="8"/>
      <c r="R98" s="8"/>
      <c r="S98" s="8"/>
      <c r="T98" s="8"/>
      <c r="U98" s="8"/>
      <c r="V98" s="8"/>
      <c r="W98" s="8"/>
      <c r="X98" s="8" t="s">
        <v>1417</v>
      </c>
      <c r="Y98" s="81" t="s">
        <v>33</v>
      </c>
      <c r="Z98" s="8"/>
      <c r="AA98" s="81" t="s">
        <v>240</v>
      </c>
      <c r="AB98" s="8"/>
      <c r="AC98" s="8"/>
      <c r="AD98" s="81" t="s">
        <v>255</v>
      </c>
      <c r="AE98" s="81" t="s">
        <v>8117</v>
      </c>
      <c r="AF98" s="81" t="s">
        <v>256</v>
      </c>
      <c r="AG98" s="81" t="s">
        <v>255</v>
      </c>
      <c r="AH98" s="8"/>
      <c r="AI98" s="8"/>
      <c r="AJ98" s="8"/>
      <c r="AK98" s="8"/>
      <c r="AL98" s="8"/>
      <c r="AM98" s="81" t="s">
        <v>243</v>
      </c>
      <c r="AN98" s="8"/>
      <c r="AO98" s="8"/>
      <c r="AP98" s="8"/>
      <c r="AQ98" s="8"/>
      <c r="AR98" s="9">
        <v>44963</v>
      </c>
      <c r="AS98" s="8" t="s">
        <v>8315</v>
      </c>
      <c r="AT98" s="8" t="s">
        <v>348</v>
      </c>
      <c r="AU98" s="9"/>
      <c r="AV98" s="81" t="s">
        <v>322</v>
      </c>
      <c r="AW98" s="81" t="s">
        <v>256</v>
      </c>
      <c r="AX98" s="8" t="s">
        <v>1419</v>
      </c>
      <c r="AY98" s="8"/>
      <c r="AZ98" s="8" t="s">
        <v>8316</v>
      </c>
      <c r="BA98" s="81" t="s">
        <v>399</v>
      </c>
      <c r="BB98" s="8"/>
      <c r="BC98" s="8"/>
      <c r="BD98" s="8"/>
      <c r="BE98" s="81" t="s">
        <v>261</v>
      </c>
      <c r="BF98" s="8" t="s">
        <v>1421</v>
      </c>
      <c r="BG98" s="9">
        <v>46592</v>
      </c>
      <c r="BH98" s="81" t="s">
        <v>81</v>
      </c>
      <c r="BI98" s="81" t="s">
        <v>88</v>
      </c>
      <c r="BJ98" s="9">
        <v>43313</v>
      </c>
      <c r="BK98" s="9">
        <v>44749</v>
      </c>
      <c r="BL98" s="81" t="s">
        <v>405</v>
      </c>
      <c r="BM98" s="8"/>
      <c r="BN98" s="8"/>
      <c r="BO98" s="8"/>
      <c r="BP98" s="8"/>
      <c r="BQ98" s="9"/>
      <c r="BR98" s="9"/>
      <c r="BS98" s="8"/>
      <c r="BT98" s="81" t="s">
        <v>1424</v>
      </c>
      <c r="BU98" s="81" t="s">
        <v>266</v>
      </c>
      <c r="BV98" s="8" t="s">
        <v>1425</v>
      </c>
      <c r="BW98" s="81" t="s">
        <v>256</v>
      </c>
      <c r="BX98" s="81" t="s">
        <v>337</v>
      </c>
      <c r="BY98" s="9">
        <v>45328</v>
      </c>
      <c r="BZ98" s="9">
        <v>46507</v>
      </c>
      <c r="CA98" s="8" t="s">
        <v>257</v>
      </c>
    </row>
    <row r="99" spans="1:79" ht="141.6" x14ac:dyDescent="0.25">
      <c r="A99" s="81" t="s">
        <v>1427</v>
      </c>
      <c r="B99" s="8"/>
      <c r="C99" s="81" t="s">
        <v>26</v>
      </c>
      <c r="D99" s="8" t="s">
        <v>7871</v>
      </c>
      <c r="E99" s="8" t="s">
        <v>1428</v>
      </c>
      <c r="F99" s="9">
        <v>35092</v>
      </c>
      <c r="G99" s="8" t="s">
        <v>741</v>
      </c>
      <c r="H99" s="81" t="s">
        <v>250</v>
      </c>
      <c r="I99" s="81" t="s">
        <v>27</v>
      </c>
      <c r="J99" s="81" t="s">
        <v>270</v>
      </c>
      <c r="K99" s="81" t="s">
        <v>488</v>
      </c>
      <c r="L99" s="81" t="s">
        <v>102</v>
      </c>
      <c r="M99" s="81" t="s">
        <v>8317</v>
      </c>
      <c r="N99" s="81" t="s">
        <v>272</v>
      </c>
      <c r="O99" s="81" t="s">
        <v>29</v>
      </c>
      <c r="P99" s="9"/>
      <c r="Q99" s="8"/>
      <c r="R99" s="8"/>
      <c r="S99" s="8"/>
      <c r="T99" s="8"/>
      <c r="U99" s="8"/>
      <c r="V99" s="8"/>
      <c r="W99" s="8"/>
      <c r="X99" s="8" t="s">
        <v>1429</v>
      </c>
      <c r="Y99" s="81" t="s">
        <v>33</v>
      </c>
      <c r="Z99" s="8"/>
      <c r="AA99" s="81" t="s">
        <v>240</v>
      </c>
      <c r="AB99" s="8"/>
      <c r="AC99" s="8"/>
      <c r="AD99" s="81" t="s">
        <v>255</v>
      </c>
      <c r="AE99" s="81" t="s">
        <v>8117</v>
      </c>
      <c r="AF99" s="81" t="s">
        <v>256</v>
      </c>
      <c r="AG99" s="81" t="s">
        <v>255</v>
      </c>
      <c r="AH99" s="8"/>
      <c r="AI99" s="8"/>
      <c r="AJ99" s="8"/>
      <c r="AK99" s="8"/>
      <c r="AL99" s="8"/>
      <c r="AM99" s="81" t="s">
        <v>243</v>
      </c>
      <c r="AN99" s="8"/>
      <c r="AO99" s="8"/>
      <c r="AP99" s="8"/>
      <c r="AQ99" s="8"/>
      <c r="AR99" s="9">
        <v>44932</v>
      </c>
      <c r="AS99" s="8" t="s">
        <v>8318</v>
      </c>
      <c r="AT99" s="8" t="s">
        <v>348</v>
      </c>
      <c r="AU99" s="9"/>
      <c r="AV99" s="81" t="s">
        <v>322</v>
      </c>
      <c r="AW99" s="81" t="s">
        <v>256</v>
      </c>
      <c r="AX99" s="8" t="s">
        <v>1431</v>
      </c>
      <c r="AY99" s="8"/>
      <c r="AZ99" s="8" t="s">
        <v>8196</v>
      </c>
      <c r="BA99" s="81" t="s">
        <v>399</v>
      </c>
      <c r="BB99" s="8"/>
      <c r="BC99" s="8"/>
      <c r="BD99" s="8"/>
      <c r="BE99" s="81" t="s">
        <v>261</v>
      </c>
      <c r="BF99" s="8" t="s">
        <v>1432</v>
      </c>
      <c r="BG99" s="9">
        <v>52303</v>
      </c>
      <c r="BH99" s="81" t="s">
        <v>81</v>
      </c>
      <c r="BI99" s="81" t="s">
        <v>426</v>
      </c>
      <c r="BJ99" s="9">
        <v>41883</v>
      </c>
      <c r="BK99" s="9">
        <v>43270</v>
      </c>
      <c r="BL99" s="81" t="s">
        <v>1156</v>
      </c>
      <c r="BM99" s="8"/>
      <c r="BN99" s="8"/>
      <c r="BO99" s="8"/>
      <c r="BP99" s="8"/>
      <c r="BQ99" s="9"/>
      <c r="BR99" s="9"/>
      <c r="BS99" s="8"/>
      <c r="BT99" s="81" t="s">
        <v>1436</v>
      </c>
      <c r="BU99" s="81" t="s">
        <v>266</v>
      </c>
      <c r="BV99" s="8" t="s">
        <v>1437</v>
      </c>
      <c r="BW99" s="81" t="s">
        <v>256</v>
      </c>
      <c r="BX99" s="81" t="s">
        <v>337</v>
      </c>
      <c r="BY99" s="9">
        <v>45297</v>
      </c>
      <c r="BZ99" s="9">
        <v>46599</v>
      </c>
      <c r="CA99" s="8" t="s">
        <v>257</v>
      </c>
    </row>
    <row r="100" spans="1:79" ht="173.4" x14ac:dyDescent="0.25">
      <c r="A100" s="81" t="s">
        <v>1439</v>
      </c>
      <c r="B100" s="8"/>
      <c r="C100" s="81" t="s">
        <v>26</v>
      </c>
      <c r="D100" s="8" t="s">
        <v>7872</v>
      </c>
      <c r="E100" s="8" t="s">
        <v>1440</v>
      </c>
      <c r="F100" s="9">
        <v>27897</v>
      </c>
      <c r="G100" s="8" t="s">
        <v>1441</v>
      </c>
      <c r="H100" s="81" t="s">
        <v>250</v>
      </c>
      <c r="I100" s="81" t="s">
        <v>27</v>
      </c>
      <c r="J100" s="81" t="s">
        <v>474</v>
      </c>
      <c r="K100" s="81" t="s">
        <v>1055</v>
      </c>
      <c r="L100" s="81" t="s">
        <v>1442</v>
      </c>
      <c r="M100" s="81" t="s">
        <v>8319</v>
      </c>
      <c r="N100" s="81" t="s">
        <v>119</v>
      </c>
      <c r="O100" s="81" t="s">
        <v>29</v>
      </c>
      <c r="P100" s="9"/>
      <c r="Q100" s="8"/>
      <c r="R100" s="8"/>
      <c r="S100" s="8"/>
      <c r="T100" s="8"/>
      <c r="U100" s="8"/>
      <c r="V100" s="8"/>
      <c r="W100" s="8"/>
      <c r="X100" s="8" t="s">
        <v>1443</v>
      </c>
      <c r="Y100" s="81" t="s">
        <v>33</v>
      </c>
      <c r="Z100" s="8"/>
      <c r="AA100" s="81" t="s">
        <v>1444</v>
      </c>
      <c r="AB100" s="8"/>
      <c r="AC100" s="8"/>
      <c r="AD100" s="81" t="s">
        <v>320</v>
      </c>
      <c r="AE100" s="81" t="s">
        <v>8125</v>
      </c>
      <c r="AF100" s="81" t="s">
        <v>242</v>
      </c>
      <c r="AG100" s="81" t="s">
        <v>298</v>
      </c>
      <c r="AH100" s="81" t="s">
        <v>320</v>
      </c>
      <c r="AI100" s="8"/>
      <c r="AJ100" s="8"/>
      <c r="AK100" s="8"/>
      <c r="AL100" s="8"/>
      <c r="AM100" s="81" t="s">
        <v>243</v>
      </c>
      <c r="AN100" s="8"/>
      <c r="AO100" s="8"/>
      <c r="AP100" s="8"/>
      <c r="AQ100" s="8"/>
      <c r="AR100" s="9">
        <v>44886</v>
      </c>
      <c r="AS100" s="8" t="s">
        <v>8320</v>
      </c>
      <c r="AT100" s="8" t="s">
        <v>348</v>
      </c>
      <c r="AU100" s="9"/>
      <c r="AV100" s="81" t="s">
        <v>322</v>
      </c>
      <c r="AW100" s="81" t="s">
        <v>242</v>
      </c>
      <c r="AX100" s="8" t="s">
        <v>1446</v>
      </c>
      <c r="AY100" s="8"/>
      <c r="AZ100" s="8" t="s">
        <v>8321</v>
      </c>
      <c r="BA100" s="81" t="s">
        <v>361</v>
      </c>
      <c r="BB100" s="8"/>
      <c r="BC100" s="8"/>
      <c r="BD100" s="8"/>
      <c r="BE100" s="81" t="s">
        <v>261</v>
      </c>
      <c r="BF100" s="8" t="s">
        <v>1447</v>
      </c>
      <c r="BG100" s="9">
        <v>46367</v>
      </c>
      <c r="BH100" s="81" t="s">
        <v>713</v>
      </c>
      <c r="BI100" s="81" t="s">
        <v>1449</v>
      </c>
      <c r="BJ100" s="9">
        <v>33848</v>
      </c>
      <c r="BK100" s="9">
        <v>34851</v>
      </c>
      <c r="BL100" s="81" t="s">
        <v>1451</v>
      </c>
      <c r="BM100" s="8"/>
      <c r="BN100" s="8"/>
      <c r="BO100" s="8"/>
      <c r="BP100" s="8"/>
      <c r="BQ100" s="9"/>
      <c r="BR100" s="9"/>
      <c r="BS100" s="8"/>
      <c r="BT100" s="81" t="s">
        <v>1452</v>
      </c>
      <c r="BU100" s="81" t="s">
        <v>118</v>
      </c>
      <c r="BV100" s="8" t="s">
        <v>1453</v>
      </c>
      <c r="BW100" s="81" t="s">
        <v>242</v>
      </c>
      <c r="BX100" s="81" t="s">
        <v>337</v>
      </c>
      <c r="BY100" s="9">
        <v>45982</v>
      </c>
      <c r="BZ100" s="9">
        <v>47817</v>
      </c>
      <c r="CA100" s="8" t="s">
        <v>257</v>
      </c>
    </row>
    <row r="101" spans="1:79" ht="157.19999999999999" x14ac:dyDescent="0.25">
      <c r="A101" s="81" t="s">
        <v>1456</v>
      </c>
      <c r="B101" s="8"/>
      <c r="C101" s="81" t="s">
        <v>26</v>
      </c>
      <c r="D101" s="8" t="s">
        <v>7873</v>
      </c>
      <c r="E101" s="8" t="s">
        <v>1457</v>
      </c>
      <c r="F101" s="9">
        <v>35447</v>
      </c>
      <c r="G101" s="8" t="s">
        <v>529</v>
      </c>
      <c r="H101" s="81" t="s">
        <v>250</v>
      </c>
      <c r="I101" s="81" t="s">
        <v>27</v>
      </c>
      <c r="J101" s="81" t="s">
        <v>270</v>
      </c>
      <c r="K101" s="81" t="s">
        <v>1458</v>
      </c>
      <c r="L101" s="81" t="s">
        <v>102</v>
      </c>
      <c r="M101" s="81" t="s">
        <v>8322</v>
      </c>
      <c r="N101" s="81" t="s">
        <v>272</v>
      </c>
      <c r="O101" s="81" t="s">
        <v>253</v>
      </c>
      <c r="P101" s="9"/>
      <c r="Q101" s="8"/>
      <c r="R101" s="8"/>
      <c r="S101" s="8"/>
      <c r="T101" s="81" t="s">
        <v>8141</v>
      </c>
      <c r="U101" s="81" t="s">
        <v>8323</v>
      </c>
      <c r="V101" s="8"/>
      <c r="W101" s="8"/>
      <c r="X101" s="8" t="s">
        <v>1460</v>
      </c>
      <c r="Y101" s="81" t="s">
        <v>33</v>
      </c>
      <c r="Z101" s="8"/>
      <c r="AA101" s="81" t="s">
        <v>506</v>
      </c>
      <c r="AB101" s="8"/>
      <c r="AC101" s="8"/>
      <c r="AD101" s="81" t="s">
        <v>655</v>
      </c>
      <c r="AE101" s="81" t="s">
        <v>8178</v>
      </c>
      <c r="AF101" s="81" t="s">
        <v>242</v>
      </c>
      <c r="AG101" s="81" t="s">
        <v>655</v>
      </c>
      <c r="AH101" s="8"/>
      <c r="AI101" s="8"/>
      <c r="AJ101" s="8"/>
      <c r="AK101" s="8"/>
      <c r="AL101" s="8"/>
      <c r="AM101" s="81" t="s">
        <v>243</v>
      </c>
      <c r="AN101" s="8"/>
      <c r="AO101" s="8"/>
      <c r="AP101" s="8"/>
      <c r="AQ101" s="8"/>
      <c r="AR101" s="9">
        <v>44866</v>
      </c>
      <c r="AS101" s="8" t="s">
        <v>8324</v>
      </c>
      <c r="AT101" s="8" t="s">
        <v>348</v>
      </c>
      <c r="AU101" s="9"/>
      <c r="AV101" s="81" t="s">
        <v>322</v>
      </c>
      <c r="AW101" s="81" t="s">
        <v>242</v>
      </c>
      <c r="AX101" s="8" t="s">
        <v>1462</v>
      </c>
      <c r="AY101" s="8"/>
      <c r="AZ101" s="8" t="s">
        <v>8325</v>
      </c>
      <c r="BA101" s="81" t="s">
        <v>399</v>
      </c>
      <c r="BB101" s="8"/>
      <c r="BC101" s="8"/>
      <c r="BD101" s="8"/>
      <c r="BE101" s="81" t="s">
        <v>261</v>
      </c>
      <c r="BF101" s="8" t="s">
        <v>1463</v>
      </c>
      <c r="BG101" s="9">
        <v>46776</v>
      </c>
      <c r="BH101" s="81" t="s">
        <v>81</v>
      </c>
      <c r="BI101" s="81" t="s">
        <v>1464</v>
      </c>
      <c r="BJ101" s="9">
        <v>42248</v>
      </c>
      <c r="BK101" s="9">
        <v>43635</v>
      </c>
      <c r="BL101" s="81" t="s">
        <v>828</v>
      </c>
      <c r="BM101" s="81" t="s">
        <v>82</v>
      </c>
      <c r="BN101" s="8"/>
      <c r="BO101" s="8"/>
      <c r="BP101" s="8"/>
      <c r="BQ101" s="9"/>
      <c r="BR101" s="9"/>
      <c r="BS101" s="8"/>
      <c r="BT101" s="81" t="s">
        <v>1466</v>
      </c>
      <c r="BU101" s="81" t="s">
        <v>266</v>
      </c>
      <c r="BV101" s="8" t="s">
        <v>1467</v>
      </c>
      <c r="BW101" s="81" t="s">
        <v>242</v>
      </c>
      <c r="BX101" s="81" t="s">
        <v>337</v>
      </c>
      <c r="BY101" s="9">
        <v>44866</v>
      </c>
      <c r="BZ101" s="9">
        <v>46965</v>
      </c>
      <c r="CA101" s="8" t="s">
        <v>245</v>
      </c>
    </row>
    <row r="102" spans="1:79" ht="157.19999999999999" x14ac:dyDescent="0.25">
      <c r="A102" s="81" t="s">
        <v>1468</v>
      </c>
      <c r="B102" s="8"/>
      <c r="C102" s="81" t="s">
        <v>26</v>
      </c>
      <c r="D102" s="8" t="s">
        <v>7874</v>
      </c>
      <c r="E102" s="8" t="s">
        <v>1469</v>
      </c>
      <c r="F102" s="9">
        <v>35767</v>
      </c>
      <c r="G102" s="8" t="s">
        <v>819</v>
      </c>
      <c r="H102" s="81" t="s">
        <v>250</v>
      </c>
      <c r="I102" s="81" t="s">
        <v>27</v>
      </c>
      <c r="J102" s="81" t="s">
        <v>270</v>
      </c>
      <c r="K102" s="81" t="s">
        <v>353</v>
      </c>
      <c r="L102" s="81" t="s">
        <v>102</v>
      </c>
      <c r="M102" s="81" t="s">
        <v>8326</v>
      </c>
      <c r="N102" s="81" t="s">
        <v>28</v>
      </c>
      <c r="O102" s="81" t="s">
        <v>29</v>
      </c>
      <c r="P102" s="9"/>
      <c r="Q102" s="8"/>
      <c r="R102" s="8"/>
      <c r="S102" s="8"/>
      <c r="T102" s="81" t="s">
        <v>8247</v>
      </c>
      <c r="U102" s="81" t="s">
        <v>8188</v>
      </c>
      <c r="V102" s="8"/>
      <c r="W102" s="8"/>
      <c r="X102" s="8" t="s">
        <v>1470</v>
      </c>
      <c r="Y102" s="81" t="s">
        <v>33</v>
      </c>
      <c r="Z102" s="8"/>
      <c r="AA102" s="81" t="s">
        <v>240</v>
      </c>
      <c r="AB102" s="8"/>
      <c r="AC102" s="8"/>
      <c r="AD102" s="81" t="s">
        <v>241</v>
      </c>
      <c r="AE102" s="81" t="s">
        <v>8114</v>
      </c>
      <c r="AF102" s="81" t="s">
        <v>242</v>
      </c>
      <c r="AG102" s="81" t="s">
        <v>241</v>
      </c>
      <c r="AH102" s="8"/>
      <c r="AI102" s="8"/>
      <c r="AJ102" s="8"/>
      <c r="AK102" s="8"/>
      <c r="AL102" s="8"/>
      <c r="AM102" s="81" t="s">
        <v>243</v>
      </c>
      <c r="AN102" s="8"/>
      <c r="AO102" s="8"/>
      <c r="AP102" s="8"/>
      <c r="AQ102" s="8"/>
      <c r="AR102" s="9">
        <v>44694</v>
      </c>
      <c r="AS102" s="8" t="s">
        <v>8327</v>
      </c>
      <c r="AT102" s="8" t="s">
        <v>348</v>
      </c>
      <c r="AU102" s="9"/>
      <c r="AV102" s="81" t="s">
        <v>322</v>
      </c>
      <c r="AW102" s="81" t="s">
        <v>242</v>
      </c>
      <c r="AX102" s="8" t="s">
        <v>1472</v>
      </c>
      <c r="AY102" s="8"/>
      <c r="AZ102" s="8" t="s">
        <v>8328</v>
      </c>
      <c r="BA102" s="81" t="s">
        <v>399</v>
      </c>
      <c r="BB102" s="8"/>
      <c r="BC102" s="8"/>
      <c r="BD102" s="8"/>
      <c r="BE102" s="81" t="s">
        <v>261</v>
      </c>
      <c r="BF102" s="8" t="s">
        <v>1473</v>
      </c>
      <c r="BG102" s="9">
        <v>46788</v>
      </c>
      <c r="BH102" s="81" t="s">
        <v>81</v>
      </c>
      <c r="BI102" s="81" t="s">
        <v>640</v>
      </c>
      <c r="BJ102" s="9">
        <v>42614</v>
      </c>
      <c r="BK102" s="9">
        <v>44013</v>
      </c>
      <c r="BL102" s="81" t="s">
        <v>1475</v>
      </c>
      <c r="BM102" s="81" t="s">
        <v>82</v>
      </c>
      <c r="BN102" s="8"/>
      <c r="BO102" s="8"/>
      <c r="BP102" s="8"/>
      <c r="BQ102" s="9"/>
      <c r="BR102" s="9"/>
      <c r="BS102" s="8"/>
      <c r="BT102" s="81" t="s">
        <v>1476</v>
      </c>
      <c r="BU102" s="81" t="s">
        <v>266</v>
      </c>
      <c r="BV102" s="8" t="s">
        <v>1477</v>
      </c>
      <c r="BW102" s="81" t="s">
        <v>242</v>
      </c>
      <c r="BX102" s="81" t="s">
        <v>337</v>
      </c>
      <c r="BY102" s="9">
        <v>44694</v>
      </c>
      <c r="BZ102" s="9">
        <v>46234</v>
      </c>
      <c r="CA102" s="8" t="s">
        <v>257</v>
      </c>
    </row>
    <row r="103" spans="1:79" ht="141.6" x14ac:dyDescent="0.25">
      <c r="A103" s="81" t="s">
        <v>1479</v>
      </c>
      <c r="B103" s="8"/>
      <c r="C103" s="81" t="s">
        <v>352</v>
      </c>
      <c r="D103" s="8" t="s">
        <v>7875</v>
      </c>
      <c r="E103" s="8" t="s">
        <v>1480</v>
      </c>
      <c r="F103" s="9">
        <v>34565</v>
      </c>
      <c r="G103" s="8" t="s">
        <v>837</v>
      </c>
      <c r="H103" s="81" t="s">
        <v>250</v>
      </c>
      <c r="I103" s="81" t="s">
        <v>27</v>
      </c>
      <c r="J103" s="81" t="s">
        <v>474</v>
      </c>
      <c r="K103" s="81" t="s">
        <v>608</v>
      </c>
      <c r="L103" s="81" t="s">
        <v>102</v>
      </c>
      <c r="M103" s="81" t="s">
        <v>1481</v>
      </c>
      <c r="N103" s="81" t="s">
        <v>28</v>
      </c>
      <c r="O103" s="81" t="s">
        <v>253</v>
      </c>
      <c r="P103" s="9"/>
      <c r="Q103" s="8"/>
      <c r="R103" s="8"/>
      <c r="S103" s="8"/>
      <c r="T103" s="81" t="s">
        <v>8247</v>
      </c>
      <c r="U103" s="81" t="s">
        <v>8188</v>
      </c>
      <c r="V103" s="8"/>
      <c r="W103" s="8"/>
      <c r="X103" s="8" t="s">
        <v>1482</v>
      </c>
      <c r="Y103" s="81" t="s">
        <v>33</v>
      </c>
      <c r="Z103" s="8"/>
      <c r="AA103" s="81" t="s">
        <v>240</v>
      </c>
      <c r="AB103" s="8"/>
      <c r="AC103" s="8"/>
      <c r="AD103" s="81" t="s">
        <v>255</v>
      </c>
      <c r="AE103" s="81" t="s">
        <v>8117</v>
      </c>
      <c r="AF103" s="81" t="s">
        <v>256</v>
      </c>
      <c r="AG103" s="81" t="s">
        <v>255</v>
      </c>
      <c r="AH103" s="8"/>
      <c r="AI103" s="8"/>
      <c r="AJ103" s="8"/>
      <c r="AK103" s="8"/>
      <c r="AL103" s="8"/>
      <c r="AM103" s="81" t="s">
        <v>243</v>
      </c>
      <c r="AN103" s="8"/>
      <c r="AO103" s="8"/>
      <c r="AP103" s="8"/>
      <c r="AQ103" s="8"/>
      <c r="AR103" s="9">
        <v>44664</v>
      </c>
      <c r="AS103" s="8" t="s">
        <v>8329</v>
      </c>
      <c r="AT103" s="8" t="s">
        <v>348</v>
      </c>
      <c r="AU103" s="9"/>
      <c r="AV103" s="81" t="s">
        <v>322</v>
      </c>
      <c r="AW103" s="81" t="s">
        <v>256</v>
      </c>
      <c r="AX103" s="8" t="s">
        <v>1484</v>
      </c>
      <c r="AY103" s="8"/>
      <c r="AZ103" s="8" t="s">
        <v>8330</v>
      </c>
      <c r="BA103" s="81" t="s">
        <v>399</v>
      </c>
      <c r="BB103" s="8"/>
      <c r="BC103" s="8"/>
      <c r="BD103" s="8"/>
      <c r="BE103" s="81" t="s">
        <v>261</v>
      </c>
      <c r="BF103" s="8" t="s">
        <v>1485</v>
      </c>
      <c r="BG103" s="9">
        <v>51648</v>
      </c>
      <c r="BH103" s="81" t="s">
        <v>81</v>
      </c>
      <c r="BI103" s="81" t="s">
        <v>1487</v>
      </c>
      <c r="BJ103" s="9">
        <v>41518</v>
      </c>
      <c r="BK103" s="9">
        <v>42908</v>
      </c>
      <c r="BL103" s="81" t="s">
        <v>1200</v>
      </c>
      <c r="BM103" s="81" t="s">
        <v>82</v>
      </c>
      <c r="BN103" s="8"/>
      <c r="BO103" s="8"/>
      <c r="BP103" s="8"/>
      <c r="BQ103" s="9"/>
      <c r="BR103" s="9"/>
      <c r="BS103" s="8"/>
      <c r="BT103" s="81" t="s">
        <v>1489</v>
      </c>
      <c r="BU103" s="81" t="s">
        <v>266</v>
      </c>
      <c r="BV103" s="8" t="s">
        <v>1490</v>
      </c>
      <c r="BW103" s="81" t="s">
        <v>256</v>
      </c>
      <c r="BX103" s="81" t="s">
        <v>337</v>
      </c>
      <c r="BY103" s="9">
        <v>44664</v>
      </c>
      <c r="BZ103" s="9">
        <v>46142</v>
      </c>
      <c r="CA103" s="8" t="s">
        <v>257</v>
      </c>
    </row>
    <row r="104" spans="1:79" ht="141.6" x14ac:dyDescent="0.25">
      <c r="A104" s="81" t="s">
        <v>1491</v>
      </c>
      <c r="B104" s="8"/>
      <c r="C104" s="81" t="s">
        <v>26</v>
      </c>
      <c r="D104" s="8" t="s">
        <v>7876</v>
      </c>
      <c r="E104" s="8" t="s">
        <v>1492</v>
      </c>
      <c r="F104" s="9">
        <v>34438</v>
      </c>
      <c r="G104" s="8" t="s">
        <v>837</v>
      </c>
      <c r="H104" s="81" t="s">
        <v>250</v>
      </c>
      <c r="I104" s="81" t="s">
        <v>27</v>
      </c>
      <c r="J104" s="81" t="s">
        <v>474</v>
      </c>
      <c r="K104" s="81" t="s">
        <v>808</v>
      </c>
      <c r="L104" s="81" t="s">
        <v>102</v>
      </c>
      <c r="M104" s="81" t="s">
        <v>8331</v>
      </c>
      <c r="N104" s="81" t="s">
        <v>272</v>
      </c>
      <c r="O104" s="81" t="s">
        <v>253</v>
      </c>
      <c r="P104" s="9"/>
      <c r="Q104" s="8"/>
      <c r="R104" s="8"/>
      <c r="S104" s="8"/>
      <c r="T104" s="81" t="s">
        <v>8247</v>
      </c>
      <c r="U104" s="81" t="s">
        <v>8188</v>
      </c>
      <c r="V104" s="8"/>
      <c r="W104" s="8"/>
      <c r="X104" s="8" t="s">
        <v>1493</v>
      </c>
      <c r="Y104" s="81" t="s">
        <v>33</v>
      </c>
      <c r="Z104" s="8"/>
      <c r="AA104" s="81" t="s">
        <v>240</v>
      </c>
      <c r="AB104" s="8"/>
      <c r="AC104" s="8"/>
      <c r="AD104" s="81" t="s">
        <v>255</v>
      </c>
      <c r="AE104" s="81" t="s">
        <v>8117</v>
      </c>
      <c r="AF104" s="81" t="s">
        <v>256</v>
      </c>
      <c r="AG104" s="81" t="s">
        <v>255</v>
      </c>
      <c r="AH104" s="8"/>
      <c r="AI104" s="8"/>
      <c r="AJ104" s="8"/>
      <c r="AK104" s="8"/>
      <c r="AL104" s="8"/>
      <c r="AM104" s="81" t="s">
        <v>243</v>
      </c>
      <c r="AN104" s="8"/>
      <c r="AO104" s="8"/>
      <c r="AP104" s="8"/>
      <c r="AQ104" s="8"/>
      <c r="AR104" s="9">
        <v>44658</v>
      </c>
      <c r="AS104" s="8" t="s">
        <v>8332</v>
      </c>
      <c r="AT104" s="8" t="s">
        <v>348</v>
      </c>
      <c r="AU104" s="9"/>
      <c r="AV104" s="81" t="s">
        <v>322</v>
      </c>
      <c r="AW104" s="81" t="s">
        <v>256</v>
      </c>
      <c r="AX104" s="8" t="s">
        <v>1495</v>
      </c>
      <c r="AY104" s="8"/>
      <c r="AZ104" s="8" t="s">
        <v>8333</v>
      </c>
      <c r="BA104" s="81" t="s">
        <v>399</v>
      </c>
      <c r="BB104" s="8"/>
      <c r="BC104" s="8"/>
      <c r="BD104" s="8"/>
      <c r="BE104" s="81" t="s">
        <v>261</v>
      </c>
      <c r="BF104" s="8" t="s">
        <v>1496</v>
      </c>
      <c r="BG104" s="9">
        <v>52322</v>
      </c>
      <c r="BH104" s="81" t="s">
        <v>81</v>
      </c>
      <c r="BI104" s="81" t="s">
        <v>1497</v>
      </c>
      <c r="BJ104" s="9">
        <v>41518</v>
      </c>
      <c r="BK104" s="9">
        <v>42908</v>
      </c>
      <c r="BL104" s="81" t="s">
        <v>1498</v>
      </c>
      <c r="BM104" s="81" t="s">
        <v>82</v>
      </c>
      <c r="BN104" s="8"/>
      <c r="BO104" s="8"/>
      <c r="BP104" s="8"/>
      <c r="BQ104" s="9"/>
      <c r="BR104" s="9"/>
      <c r="BS104" s="8"/>
      <c r="BT104" s="81" t="s">
        <v>1499</v>
      </c>
      <c r="BU104" s="81" t="s">
        <v>266</v>
      </c>
      <c r="BV104" s="8" t="s">
        <v>1500</v>
      </c>
      <c r="BW104" s="81" t="s">
        <v>256</v>
      </c>
      <c r="BX104" s="81" t="s">
        <v>337</v>
      </c>
      <c r="BY104" s="9">
        <v>44658</v>
      </c>
      <c r="BZ104" s="9">
        <v>46873</v>
      </c>
      <c r="CA104" s="8" t="s">
        <v>257</v>
      </c>
    </row>
    <row r="105" spans="1:79" ht="157.19999999999999" x14ac:dyDescent="0.25">
      <c r="A105" s="81" t="s">
        <v>1501</v>
      </c>
      <c r="B105" s="8"/>
      <c r="C105" s="81" t="s">
        <v>26</v>
      </c>
      <c r="D105" s="8" t="s">
        <v>7877</v>
      </c>
      <c r="E105" s="8" t="s">
        <v>1502</v>
      </c>
      <c r="F105" s="9">
        <v>35018</v>
      </c>
      <c r="G105" s="8" t="s">
        <v>741</v>
      </c>
      <c r="H105" s="81" t="s">
        <v>250</v>
      </c>
      <c r="I105" s="81" t="s">
        <v>251</v>
      </c>
      <c r="J105" s="81" t="s">
        <v>270</v>
      </c>
      <c r="K105" s="81" t="s">
        <v>394</v>
      </c>
      <c r="L105" s="81" t="s">
        <v>102</v>
      </c>
      <c r="M105" s="81" t="s">
        <v>8334</v>
      </c>
      <c r="N105" s="81" t="s">
        <v>272</v>
      </c>
      <c r="O105" s="81" t="s">
        <v>29</v>
      </c>
      <c r="P105" s="9"/>
      <c r="Q105" s="8"/>
      <c r="R105" s="8"/>
      <c r="S105" s="8"/>
      <c r="T105" s="8"/>
      <c r="U105" s="8"/>
      <c r="V105" s="8"/>
      <c r="W105" s="8"/>
      <c r="X105" s="8" t="s">
        <v>1503</v>
      </c>
      <c r="Y105" s="81" t="s">
        <v>33</v>
      </c>
      <c r="Z105" s="8"/>
      <c r="AA105" s="81" t="s">
        <v>477</v>
      </c>
      <c r="AB105" s="8"/>
      <c r="AC105" s="8"/>
      <c r="AD105" s="81" t="s">
        <v>533</v>
      </c>
      <c r="AE105" s="81" t="s">
        <v>8157</v>
      </c>
      <c r="AF105" s="81" t="s">
        <v>242</v>
      </c>
      <c r="AG105" s="81" t="s">
        <v>533</v>
      </c>
      <c r="AH105" s="8"/>
      <c r="AI105" s="8"/>
      <c r="AJ105" s="8"/>
      <c r="AK105" s="8"/>
      <c r="AL105" s="8"/>
      <c r="AM105" s="81" t="s">
        <v>243</v>
      </c>
      <c r="AN105" s="8"/>
      <c r="AO105" s="8"/>
      <c r="AP105" s="8"/>
      <c r="AQ105" s="8"/>
      <c r="AR105" s="9">
        <v>44657</v>
      </c>
      <c r="AS105" s="8" t="s">
        <v>8332</v>
      </c>
      <c r="AT105" s="8" t="s">
        <v>348</v>
      </c>
      <c r="AU105" s="9"/>
      <c r="AV105" s="81" t="s">
        <v>322</v>
      </c>
      <c r="AW105" s="81" t="s">
        <v>242</v>
      </c>
      <c r="AX105" s="8" t="s">
        <v>1505</v>
      </c>
      <c r="AY105" s="8"/>
      <c r="AZ105" s="8" t="s">
        <v>8335</v>
      </c>
      <c r="BA105" s="81" t="s">
        <v>399</v>
      </c>
      <c r="BB105" s="8"/>
      <c r="BC105" s="8"/>
      <c r="BD105" s="8"/>
      <c r="BE105" s="81" t="s">
        <v>261</v>
      </c>
      <c r="BF105" s="8" t="s">
        <v>1506</v>
      </c>
      <c r="BG105" s="9">
        <v>46978</v>
      </c>
      <c r="BH105" s="81" t="s">
        <v>81</v>
      </c>
      <c r="BI105" s="81" t="s">
        <v>1508</v>
      </c>
      <c r="BJ105" s="9">
        <v>42248</v>
      </c>
      <c r="BK105" s="9">
        <v>43647</v>
      </c>
      <c r="BL105" s="81" t="s">
        <v>84</v>
      </c>
      <c r="BM105" s="81" t="s">
        <v>82</v>
      </c>
      <c r="BN105" s="8"/>
      <c r="BO105" s="8"/>
      <c r="BP105" s="8"/>
      <c r="BQ105" s="9"/>
      <c r="BR105" s="9"/>
      <c r="BS105" s="8"/>
      <c r="BT105" s="81" t="s">
        <v>1509</v>
      </c>
      <c r="BU105" s="81" t="s">
        <v>266</v>
      </c>
      <c r="BV105" s="8" t="s">
        <v>1510</v>
      </c>
      <c r="BW105" s="81" t="s">
        <v>242</v>
      </c>
      <c r="BX105" s="81" t="s">
        <v>337</v>
      </c>
      <c r="BY105" s="9">
        <v>44657</v>
      </c>
      <c r="BZ105" s="9">
        <v>46234</v>
      </c>
      <c r="CA105" s="8" t="s">
        <v>257</v>
      </c>
    </row>
    <row r="106" spans="1:79" ht="141.6" x14ac:dyDescent="0.25">
      <c r="A106" s="81" t="s">
        <v>1511</v>
      </c>
      <c r="B106" s="8"/>
      <c r="C106" s="81" t="s">
        <v>26</v>
      </c>
      <c r="D106" s="8" t="s">
        <v>7878</v>
      </c>
      <c r="E106" s="8" t="s">
        <v>1512</v>
      </c>
      <c r="F106" s="9">
        <v>35916</v>
      </c>
      <c r="G106" s="8" t="s">
        <v>393</v>
      </c>
      <c r="H106" s="81" t="s">
        <v>250</v>
      </c>
      <c r="I106" s="81" t="s">
        <v>27</v>
      </c>
      <c r="J106" s="81" t="s">
        <v>293</v>
      </c>
      <c r="K106" s="81" t="s">
        <v>294</v>
      </c>
      <c r="L106" s="81" t="s">
        <v>102</v>
      </c>
      <c r="M106" s="81" t="s">
        <v>8336</v>
      </c>
      <c r="N106" s="81" t="s">
        <v>272</v>
      </c>
      <c r="O106" s="81" t="s">
        <v>253</v>
      </c>
      <c r="P106" s="9"/>
      <c r="Q106" s="8"/>
      <c r="R106" s="8"/>
      <c r="S106" s="8"/>
      <c r="T106" s="8"/>
      <c r="U106" s="8"/>
      <c r="V106" s="81" t="s">
        <v>8239</v>
      </c>
      <c r="W106" s="81" t="s">
        <v>965</v>
      </c>
      <c r="X106" s="8" t="s">
        <v>1513</v>
      </c>
      <c r="Y106" s="81" t="s">
        <v>33</v>
      </c>
      <c r="Z106" s="8"/>
      <c r="AA106" s="81" t="s">
        <v>1514</v>
      </c>
      <c r="AB106" s="8"/>
      <c r="AC106" s="8"/>
      <c r="AD106" s="81" t="s">
        <v>1515</v>
      </c>
      <c r="AE106" s="81" t="s">
        <v>8337</v>
      </c>
      <c r="AF106" s="81" t="s">
        <v>242</v>
      </c>
      <c r="AG106" s="81" t="s">
        <v>1515</v>
      </c>
      <c r="AH106" s="8"/>
      <c r="AI106" s="8"/>
      <c r="AJ106" s="8"/>
      <c r="AK106" s="8"/>
      <c r="AL106" s="8"/>
      <c r="AM106" s="81" t="s">
        <v>243</v>
      </c>
      <c r="AN106" s="8"/>
      <c r="AO106" s="8"/>
      <c r="AP106" s="8"/>
      <c r="AQ106" s="8"/>
      <c r="AR106" s="9">
        <v>44630</v>
      </c>
      <c r="AS106" s="8" t="s">
        <v>8338</v>
      </c>
      <c r="AT106" s="8" t="s">
        <v>348</v>
      </c>
      <c r="AU106" s="9"/>
      <c r="AV106" s="81" t="s">
        <v>322</v>
      </c>
      <c r="AW106" s="81" t="s">
        <v>242</v>
      </c>
      <c r="AX106" s="8" t="s">
        <v>1517</v>
      </c>
      <c r="AY106" s="8"/>
      <c r="AZ106" s="8" t="s">
        <v>8339</v>
      </c>
      <c r="BA106" s="81" t="s">
        <v>556</v>
      </c>
      <c r="BB106" s="8"/>
      <c r="BC106" s="8"/>
      <c r="BD106" s="8"/>
      <c r="BE106" s="81" t="s">
        <v>261</v>
      </c>
      <c r="BF106" s="8" t="s">
        <v>1518</v>
      </c>
      <c r="BG106" s="9">
        <v>52844</v>
      </c>
      <c r="BH106" s="81" t="s">
        <v>305</v>
      </c>
      <c r="BI106" s="81" t="s">
        <v>559</v>
      </c>
      <c r="BJ106" s="9">
        <v>43709</v>
      </c>
      <c r="BK106" s="9">
        <v>44013</v>
      </c>
      <c r="BL106" s="81" t="s">
        <v>1520</v>
      </c>
      <c r="BM106" s="8"/>
      <c r="BN106" s="8"/>
      <c r="BO106" s="8"/>
      <c r="BP106" s="8"/>
      <c r="BQ106" s="9"/>
      <c r="BR106" s="9"/>
      <c r="BS106" s="8"/>
      <c r="BT106" s="81" t="s">
        <v>1521</v>
      </c>
      <c r="BU106" s="81" t="s">
        <v>266</v>
      </c>
      <c r="BV106" s="8" t="s">
        <v>1522</v>
      </c>
      <c r="BW106" s="81" t="s">
        <v>242</v>
      </c>
      <c r="BX106" s="81" t="s">
        <v>337</v>
      </c>
      <c r="BY106" s="9">
        <v>44630</v>
      </c>
      <c r="BZ106" s="9">
        <v>46234</v>
      </c>
      <c r="CA106" s="8" t="s">
        <v>257</v>
      </c>
    </row>
    <row r="107" spans="1:79" ht="157.19999999999999" x14ac:dyDescent="0.25">
      <c r="A107" s="81" t="s">
        <v>1523</v>
      </c>
      <c r="B107" s="8"/>
      <c r="C107" s="81" t="s">
        <v>352</v>
      </c>
      <c r="D107" s="8" t="s">
        <v>7879</v>
      </c>
      <c r="E107" s="8" t="s">
        <v>1524</v>
      </c>
      <c r="F107" s="9">
        <v>35511</v>
      </c>
      <c r="G107" s="8" t="s">
        <v>529</v>
      </c>
      <c r="H107" s="81" t="s">
        <v>250</v>
      </c>
      <c r="I107" s="81" t="s">
        <v>27</v>
      </c>
      <c r="J107" s="81" t="s">
        <v>270</v>
      </c>
      <c r="K107" s="81" t="s">
        <v>1458</v>
      </c>
      <c r="L107" s="81" t="s">
        <v>102</v>
      </c>
      <c r="M107" s="81" t="s">
        <v>8340</v>
      </c>
      <c r="N107" s="81" t="s">
        <v>272</v>
      </c>
      <c r="O107" s="81" t="s">
        <v>29</v>
      </c>
      <c r="P107" s="9"/>
      <c r="Q107" s="8"/>
      <c r="R107" s="8"/>
      <c r="S107" s="8"/>
      <c r="T107" s="8"/>
      <c r="U107" s="8"/>
      <c r="V107" s="81" t="s">
        <v>8141</v>
      </c>
      <c r="W107" s="81" t="s">
        <v>965</v>
      </c>
      <c r="X107" s="8" t="s">
        <v>1525</v>
      </c>
      <c r="Y107" s="81" t="s">
        <v>33</v>
      </c>
      <c r="Z107" s="8"/>
      <c r="AA107" s="81" t="s">
        <v>1526</v>
      </c>
      <c r="AB107" s="8"/>
      <c r="AC107" s="8"/>
      <c r="AD107" s="81" t="s">
        <v>491</v>
      </c>
      <c r="AE107" s="81" t="s">
        <v>8152</v>
      </c>
      <c r="AF107" s="81" t="s">
        <v>492</v>
      </c>
      <c r="AG107" s="81" t="s">
        <v>491</v>
      </c>
      <c r="AH107" s="8"/>
      <c r="AI107" s="8"/>
      <c r="AJ107" s="8"/>
      <c r="AK107" s="8"/>
      <c r="AL107" s="8"/>
      <c r="AM107" s="81" t="s">
        <v>243</v>
      </c>
      <c r="AN107" s="8"/>
      <c r="AO107" s="8"/>
      <c r="AP107" s="8"/>
      <c r="AQ107" s="8"/>
      <c r="AR107" s="9">
        <v>44389</v>
      </c>
      <c r="AS107" s="8" t="s">
        <v>8251</v>
      </c>
      <c r="AT107" s="8" t="s">
        <v>348</v>
      </c>
      <c r="AU107" s="9"/>
      <c r="AV107" s="81" t="s">
        <v>322</v>
      </c>
      <c r="AW107" s="81" t="s">
        <v>492</v>
      </c>
      <c r="AX107" s="8" t="s">
        <v>1528</v>
      </c>
      <c r="AY107" s="8"/>
      <c r="AZ107" s="8" t="s">
        <v>8250</v>
      </c>
      <c r="BA107" s="81" t="s">
        <v>399</v>
      </c>
      <c r="BB107" s="8"/>
      <c r="BC107" s="8"/>
      <c r="BD107" s="8"/>
      <c r="BE107" s="81" t="s">
        <v>261</v>
      </c>
      <c r="BF107" s="8" t="s">
        <v>1529</v>
      </c>
      <c r="BG107" s="9">
        <v>47246</v>
      </c>
      <c r="BH107" s="81" t="s">
        <v>81</v>
      </c>
      <c r="BI107" s="81" t="s">
        <v>1531</v>
      </c>
      <c r="BJ107" s="9">
        <v>42614</v>
      </c>
      <c r="BK107" s="9">
        <v>44006</v>
      </c>
      <c r="BL107" s="81" t="s">
        <v>405</v>
      </c>
      <c r="BM107" s="81" t="s">
        <v>82</v>
      </c>
      <c r="BN107" s="8"/>
      <c r="BO107" s="8"/>
      <c r="BP107" s="8"/>
      <c r="BQ107" s="9"/>
      <c r="BR107" s="9"/>
      <c r="BS107" s="8"/>
      <c r="BT107" s="81" t="s">
        <v>1532</v>
      </c>
      <c r="BU107" s="81" t="s">
        <v>266</v>
      </c>
      <c r="BV107" s="8" t="s">
        <v>1533</v>
      </c>
      <c r="BW107" s="81" t="s">
        <v>492</v>
      </c>
      <c r="BX107" s="81" t="s">
        <v>337</v>
      </c>
      <c r="BY107" s="9">
        <v>45778</v>
      </c>
      <c r="BZ107" s="9">
        <v>47603</v>
      </c>
      <c r="CA107" s="8" t="s">
        <v>63</v>
      </c>
    </row>
    <row r="108" spans="1:79" ht="141.6" x14ac:dyDescent="0.25">
      <c r="A108" s="81" t="s">
        <v>1534</v>
      </c>
      <c r="B108" s="8"/>
      <c r="C108" s="81" t="s">
        <v>352</v>
      </c>
      <c r="D108" s="8" t="s">
        <v>7880</v>
      </c>
      <c r="E108" s="8"/>
      <c r="F108" s="9">
        <v>35793</v>
      </c>
      <c r="G108" s="8" t="s">
        <v>819</v>
      </c>
      <c r="H108" s="81" t="s">
        <v>250</v>
      </c>
      <c r="I108" s="81" t="s">
        <v>27</v>
      </c>
      <c r="J108" s="81" t="s">
        <v>293</v>
      </c>
      <c r="K108" s="81" t="s">
        <v>294</v>
      </c>
      <c r="L108" s="81" t="s">
        <v>102</v>
      </c>
      <c r="M108" s="81" t="s">
        <v>8341</v>
      </c>
      <c r="N108" s="81" t="s">
        <v>272</v>
      </c>
      <c r="O108" s="81" t="s">
        <v>29</v>
      </c>
      <c r="P108" s="9"/>
      <c r="Q108" s="8"/>
      <c r="R108" s="8"/>
      <c r="S108" s="8"/>
      <c r="T108" s="8"/>
      <c r="U108" s="8"/>
      <c r="V108" s="8"/>
      <c r="W108" s="8"/>
      <c r="X108" s="8" t="s">
        <v>1535</v>
      </c>
      <c r="Y108" s="81" t="s">
        <v>33</v>
      </c>
      <c r="Z108" s="8"/>
      <c r="AA108" s="81" t="s">
        <v>1536</v>
      </c>
      <c r="AB108" s="8"/>
      <c r="AC108" s="8"/>
      <c r="AD108" s="81" t="s">
        <v>1353</v>
      </c>
      <c r="AE108" s="81" t="s">
        <v>8303</v>
      </c>
      <c r="AF108" s="81" t="s">
        <v>242</v>
      </c>
      <c r="AG108" s="81" t="s">
        <v>1353</v>
      </c>
      <c r="AH108" s="8"/>
      <c r="AI108" s="8"/>
      <c r="AJ108" s="8"/>
      <c r="AK108" s="8"/>
      <c r="AL108" s="8"/>
      <c r="AM108" s="81" t="s">
        <v>243</v>
      </c>
      <c r="AN108" s="8"/>
      <c r="AO108" s="8"/>
      <c r="AP108" s="8"/>
      <c r="AQ108" s="8"/>
      <c r="AR108" s="9">
        <v>44384</v>
      </c>
      <c r="AS108" s="8" t="s">
        <v>8195</v>
      </c>
      <c r="AT108" s="8" t="s">
        <v>348</v>
      </c>
      <c r="AU108" s="9"/>
      <c r="AV108" s="81" t="s">
        <v>322</v>
      </c>
      <c r="AW108" s="81" t="s">
        <v>242</v>
      </c>
      <c r="AX108" s="8" t="s">
        <v>1537</v>
      </c>
      <c r="AY108" s="8"/>
      <c r="AZ108" s="8" t="s">
        <v>8342</v>
      </c>
      <c r="BA108" s="81" t="s">
        <v>361</v>
      </c>
      <c r="BB108" s="8"/>
      <c r="BC108" s="8"/>
      <c r="BD108" s="8"/>
      <c r="BE108" s="81" t="s">
        <v>261</v>
      </c>
      <c r="BF108" s="8" t="s">
        <v>1539</v>
      </c>
      <c r="BG108" s="9">
        <v>46945</v>
      </c>
      <c r="BH108" s="81" t="s">
        <v>81</v>
      </c>
      <c r="BI108" s="81" t="s">
        <v>1265</v>
      </c>
      <c r="BJ108" s="9">
        <v>43709</v>
      </c>
      <c r="BK108" s="9">
        <v>44367</v>
      </c>
      <c r="BL108" s="81" t="s">
        <v>1542</v>
      </c>
      <c r="BM108" s="81" t="s">
        <v>82</v>
      </c>
      <c r="BN108" s="8"/>
      <c r="BO108" s="8"/>
      <c r="BP108" s="8"/>
      <c r="BQ108" s="9"/>
      <c r="BR108" s="9"/>
      <c r="BS108" s="8"/>
      <c r="BT108" s="81" t="s">
        <v>1543</v>
      </c>
      <c r="BU108" s="81" t="s">
        <v>266</v>
      </c>
      <c r="BV108" s="8" t="s">
        <v>1544</v>
      </c>
      <c r="BW108" s="81" t="s">
        <v>242</v>
      </c>
      <c r="BX108" s="81" t="s">
        <v>337</v>
      </c>
      <c r="BY108" s="9">
        <v>44383</v>
      </c>
      <c r="BZ108" s="9">
        <v>46599</v>
      </c>
      <c r="CA108" s="8" t="s">
        <v>257</v>
      </c>
    </row>
    <row r="109" spans="1:79" ht="157.19999999999999" x14ac:dyDescent="0.25">
      <c r="A109" s="81" t="s">
        <v>1545</v>
      </c>
      <c r="B109" s="8"/>
      <c r="C109" s="81" t="s">
        <v>26</v>
      </c>
      <c r="D109" s="8" t="s">
        <v>7881</v>
      </c>
      <c r="E109" s="8" t="s">
        <v>1546</v>
      </c>
      <c r="F109" s="9">
        <v>34973</v>
      </c>
      <c r="G109" s="8" t="s">
        <v>741</v>
      </c>
      <c r="H109" s="81" t="s">
        <v>250</v>
      </c>
      <c r="I109" s="81" t="s">
        <v>27</v>
      </c>
      <c r="J109" s="81" t="s">
        <v>270</v>
      </c>
      <c r="K109" s="81" t="s">
        <v>563</v>
      </c>
      <c r="L109" s="81" t="s">
        <v>102</v>
      </c>
      <c r="M109" s="81" t="s">
        <v>8343</v>
      </c>
      <c r="N109" s="81" t="s">
        <v>28</v>
      </c>
      <c r="O109" s="81" t="s">
        <v>253</v>
      </c>
      <c r="P109" s="9"/>
      <c r="Q109" s="8"/>
      <c r="R109" s="8"/>
      <c r="S109" s="8"/>
      <c r="T109" s="8"/>
      <c r="U109" s="8"/>
      <c r="V109" s="8"/>
      <c r="W109" s="8"/>
      <c r="X109" s="8" t="s">
        <v>1547</v>
      </c>
      <c r="Y109" s="81" t="s">
        <v>33</v>
      </c>
      <c r="Z109" s="8"/>
      <c r="AA109" s="81" t="s">
        <v>1548</v>
      </c>
      <c r="AB109" s="8"/>
      <c r="AC109" s="8"/>
      <c r="AD109" s="81" t="s">
        <v>533</v>
      </c>
      <c r="AE109" s="81" t="s">
        <v>8157</v>
      </c>
      <c r="AF109" s="81" t="s">
        <v>242</v>
      </c>
      <c r="AG109" s="81" t="s">
        <v>533</v>
      </c>
      <c r="AH109" s="8"/>
      <c r="AI109" s="8"/>
      <c r="AJ109" s="8"/>
      <c r="AK109" s="8"/>
      <c r="AL109" s="8"/>
      <c r="AM109" s="81" t="s">
        <v>243</v>
      </c>
      <c r="AN109" s="8"/>
      <c r="AO109" s="8"/>
      <c r="AP109" s="8"/>
      <c r="AQ109" s="8"/>
      <c r="AR109" s="9">
        <v>44354</v>
      </c>
      <c r="AS109" s="8" t="s">
        <v>8344</v>
      </c>
      <c r="AT109" s="8" t="s">
        <v>348</v>
      </c>
      <c r="AU109" s="9"/>
      <c r="AV109" s="81" t="s">
        <v>322</v>
      </c>
      <c r="AW109" s="81" t="s">
        <v>242</v>
      </c>
      <c r="AX109" s="8" t="s">
        <v>1550</v>
      </c>
      <c r="AY109" s="8"/>
      <c r="AZ109" s="8" t="s">
        <v>8345</v>
      </c>
      <c r="BA109" s="81" t="s">
        <v>676</v>
      </c>
      <c r="BB109" s="8"/>
      <c r="BC109" s="8"/>
      <c r="BD109" s="8"/>
      <c r="BE109" s="81" t="s">
        <v>261</v>
      </c>
      <c r="BF109" s="8" t="s">
        <v>1551</v>
      </c>
      <c r="BG109" s="9">
        <v>46056</v>
      </c>
      <c r="BH109" s="81" t="s">
        <v>81</v>
      </c>
      <c r="BI109" s="81" t="s">
        <v>1045</v>
      </c>
      <c r="BJ109" s="9">
        <v>42248</v>
      </c>
      <c r="BK109" s="9">
        <v>43252</v>
      </c>
      <c r="BL109" s="81" t="s">
        <v>1553</v>
      </c>
      <c r="BM109" s="81" t="s">
        <v>82</v>
      </c>
      <c r="BN109" s="8"/>
      <c r="BO109" s="8"/>
      <c r="BP109" s="8"/>
      <c r="BQ109" s="9"/>
      <c r="BR109" s="9"/>
      <c r="BS109" s="8"/>
      <c r="BT109" s="81" t="s">
        <v>1554</v>
      </c>
      <c r="BU109" s="81" t="s">
        <v>266</v>
      </c>
      <c r="BV109" s="8" t="s">
        <v>1555</v>
      </c>
      <c r="BW109" s="81" t="s">
        <v>242</v>
      </c>
      <c r="BX109" s="81" t="s">
        <v>1556</v>
      </c>
      <c r="BY109" s="9">
        <v>45870</v>
      </c>
      <c r="BZ109" s="9"/>
      <c r="CA109" s="8" t="s">
        <v>63</v>
      </c>
    </row>
    <row r="110" spans="1:79" ht="157.19999999999999" x14ac:dyDescent="0.25">
      <c r="A110" s="81" t="s">
        <v>1557</v>
      </c>
      <c r="B110" s="8"/>
      <c r="C110" s="81" t="s">
        <v>26</v>
      </c>
      <c r="D110" s="8" t="s">
        <v>7882</v>
      </c>
      <c r="E110" s="8" t="s">
        <v>1558</v>
      </c>
      <c r="F110" s="9">
        <v>34612</v>
      </c>
      <c r="G110" s="8" t="s">
        <v>837</v>
      </c>
      <c r="H110" s="81" t="s">
        <v>250</v>
      </c>
      <c r="I110" s="81" t="s">
        <v>251</v>
      </c>
      <c r="J110" s="81" t="s">
        <v>270</v>
      </c>
      <c r="K110" s="81" t="s">
        <v>488</v>
      </c>
      <c r="L110" s="81" t="s">
        <v>102</v>
      </c>
      <c r="M110" s="81" t="s">
        <v>8346</v>
      </c>
      <c r="N110" s="81" t="s">
        <v>272</v>
      </c>
      <c r="O110" s="81" t="s">
        <v>29</v>
      </c>
      <c r="P110" s="9"/>
      <c r="Q110" s="8"/>
      <c r="R110" s="8"/>
      <c r="S110" s="8"/>
      <c r="T110" s="81" t="s">
        <v>8247</v>
      </c>
      <c r="U110" s="81" t="s">
        <v>8347</v>
      </c>
      <c r="V110" s="8"/>
      <c r="W110" s="8"/>
      <c r="X110" s="8" t="s">
        <v>1560</v>
      </c>
      <c r="Y110" s="81" t="s">
        <v>33</v>
      </c>
      <c r="Z110" s="8"/>
      <c r="AA110" s="81" t="s">
        <v>506</v>
      </c>
      <c r="AB110" s="8"/>
      <c r="AC110" s="8"/>
      <c r="AD110" s="81" t="s">
        <v>241</v>
      </c>
      <c r="AE110" s="81" t="s">
        <v>8114</v>
      </c>
      <c r="AF110" s="81" t="s">
        <v>242</v>
      </c>
      <c r="AG110" s="81" t="s">
        <v>241</v>
      </c>
      <c r="AH110" s="8"/>
      <c r="AI110" s="8"/>
      <c r="AJ110" s="8"/>
      <c r="AK110" s="8"/>
      <c r="AL110" s="8"/>
      <c r="AM110" s="81" t="s">
        <v>243</v>
      </c>
      <c r="AN110" s="8"/>
      <c r="AO110" s="8"/>
      <c r="AP110" s="8"/>
      <c r="AQ110" s="8"/>
      <c r="AR110" s="9">
        <v>44305</v>
      </c>
      <c r="AS110" s="8" t="s">
        <v>8348</v>
      </c>
      <c r="AT110" s="8" t="s">
        <v>348</v>
      </c>
      <c r="AU110" s="9"/>
      <c r="AV110" s="81" t="s">
        <v>322</v>
      </c>
      <c r="AW110" s="81" t="s">
        <v>242</v>
      </c>
      <c r="AX110" s="8" t="s">
        <v>1562</v>
      </c>
      <c r="AY110" s="8"/>
      <c r="AZ110" s="8" t="s">
        <v>8335</v>
      </c>
      <c r="BA110" s="81" t="s">
        <v>399</v>
      </c>
      <c r="BB110" s="8"/>
      <c r="BC110" s="8"/>
      <c r="BD110" s="8"/>
      <c r="BE110" s="81" t="s">
        <v>261</v>
      </c>
      <c r="BF110" s="8" t="s">
        <v>1563</v>
      </c>
      <c r="BG110" s="9">
        <v>47719</v>
      </c>
      <c r="BH110" s="81" t="s">
        <v>81</v>
      </c>
      <c r="BI110" s="81" t="s">
        <v>1565</v>
      </c>
      <c r="BJ110" s="9">
        <v>41883</v>
      </c>
      <c r="BK110" s="9">
        <v>43281</v>
      </c>
      <c r="BL110" s="81" t="s">
        <v>786</v>
      </c>
      <c r="BM110" s="81" t="s">
        <v>82</v>
      </c>
      <c r="BN110" s="8"/>
      <c r="BO110" s="8"/>
      <c r="BP110" s="8"/>
      <c r="BQ110" s="9"/>
      <c r="BR110" s="9"/>
      <c r="BS110" s="8"/>
      <c r="BT110" s="81" t="s">
        <v>1567</v>
      </c>
      <c r="BU110" s="81" t="s">
        <v>266</v>
      </c>
      <c r="BV110" s="8" t="s">
        <v>1568</v>
      </c>
      <c r="BW110" s="81" t="s">
        <v>242</v>
      </c>
      <c r="BX110" s="81" t="s">
        <v>1556</v>
      </c>
      <c r="BY110" s="9">
        <v>45870</v>
      </c>
      <c r="BZ110" s="9"/>
      <c r="CA110" s="8" t="s">
        <v>63</v>
      </c>
    </row>
    <row r="111" spans="1:79" ht="141.6" x14ac:dyDescent="0.25">
      <c r="A111" s="81" t="s">
        <v>1569</v>
      </c>
      <c r="B111" s="8"/>
      <c r="C111" s="81" t="s">
        <v>26</v>
      </c>
      <c r="D111" s="8" t="s">
        <v>7883</v>
      </c>
      <c r="E111" s="8" t="s">
        <v>1570</v>
      </c>
      <c r="F111" s="9">
        <v>32590</v>
      </c>
      <c r="G111" s="8" t="s">
        <v>1571</v>
      </c>
      <c r="H111" s="81" t="s">
        <v>250</v>
      </c>
      <c r="I111" s="81" t="s">
        <v>27</v>
      </c>
      <c r="J111" s="81" t="s">
        <v>252</v>
      </c>
      <c r="K111" s="81" t="s">
        <v>1314</v>
      </c>
      <c r="L111" s="81" t="s">
        <v>1572</v>
      </c>
      <c r="M111" s="81" t="s">
        <v>1573</v>
      </c>
      <c r="N111" s="81" t="s">
        <v>28</v>
      </c>
      <c r="O111" s="81" t="s">
        <v>29</v>
      </c>
      <c r="P111" s="9"/>
      <c r="Q111" s="8"/>
      <c r="R111" s="8"/>
      <c r="S111" s="8"/>
      <c r="T111" s="8"/>
      <c r="U111" s="8"/>
      <c r="V111" s="8"/>
      <c r="W111" s="8"/>
      <c r="X111" s="8" t="s">
        <v>1574</v>
      </c>
      <c r="Y111" s="81" t="s">
        <v>33</v>
      </c>
      <c r="Z111" s="8"/>
      <c r="AA111" s="81" t="s">
        <v>1575</v>
      </c>
      <c r="AB111" s="8"/>
      <c r="AC111" s="8"/>
      <c r="AD111" s="81" t="s">
        <v>459</v>
      </c>
      <c r="AE111" s="81" t="s">
        <v>8147</v>
      </c>
      <c r="AF111" s="81" t="s">
        <v>242</v>
      </c>
      <c r="AG111" s="81" t="s">
        <v>459</v>
      </c>
      <c r="AH111" s="8"/>
      <c r="AI111" s="8"/>
      <c r="AJ111" s="8"/>
      <c r="AK111" s="8"/>
      <c r="AL111" s="8"/>
      <c r="AM111" s="81" t="s">
        <v>243</v>
      </c>
      <c r="AN111" s="8"/>
      <c r="AO111" s="8"/>
      <c r="AP111" s="8"/>
      <c r="AQ111" s="8"/>
      <c r="AR111" s="9">
        <v>44272</v>
      </c>
      <c r="AS111" s="8" t="s">
        <v>8349</v>
      </c>
      <c r="AT111" s="8" t="s">
        <v>348</v>
      </c>
      <c r="AU111" s="9"/>
      <c r="AV111" s="81" t="s">
        <v>322</v>
      </c>
      <c r="AW111" s="81" t="s">
        <v>242</v>
      </c>
      <c r="AX111" s="8" t="s">
        <v>1577</v>
      </c>
      <c r="AY111" s="8"/>
      <c r="AZ111" s="8" t="s">
        <v>8339</v>
      </c>
      <c r="BA111" s="81" t="s">
        <v>399</v>
      </c>
      <c r="BB111" s="8"/>
      <c r="BC111" s="8"/>
      <c r="BD111" s="8"/>
      <c r="BE111" s="81" t="s">
        <v>261</v>
      </c>
      <c r="BF111" s="8" t="s">
        <v>1578</v>
      </c>
      <c r="BG111" s="9">
        <v>49738</v>
      </c>
      <c r="BH111" s="81" t="s">
        <v>87</v>
      </c>
      <c r="BI111" s="81" t="s">
        <v>1032</v>
      </c>
      <c r="BJ111" s="9">
        <v>42248</v>
      </c>
      <c r="BK111" s="9">
        <v>43265</v>
      </c>
      <c r="BL111" s="81" t="s">
        <v>543</v>
      </c>
      <c r="BM111" s="81" t="s">
        <v>87</v>
      </c>
      <c r="BN111" s="8"/>
      <c r="BO111" s="8"/>
      <c r="BP111" s="8"/>
      <c r="BQ111" s="9"/>
      <c r="BR111" s="9"/>
      <c r="BS111" s="8"/>
      <c r="BT111" s="81" t="s">
        <v>1581</v>
      </c>
      <c r="BU111" s="81" t="s">
        <v>266</v>
      </c>
      <c r="BV111" s="8" t="s">
        <v>1582</v>
      </c>
      <c r="BW111" s="81" t="s">
        <v>242</v>
      </c>
      <c r="BX111" s="81" t="s">
        <v>1556</v>
      </c>
      <c r="BY111" s="9">
        <v>45870</v>
      </c>
      <c r="BZ111" s="9"/>
      <c r="CA111" s="8" t="s">
        <v>63</v>
      </c>
    </row>
    <row r="112" spans="1:79" ht="141.6" x14ac:dyDescent="0.25">
      <c r="A112" s="81" t="s">
        <v>1583</v>
      </c>
      <c r="B112" s="8"/>
      <c r="C112" s="81" t="s">
        <v>352</v>
      </c>
      <c r="D112" s="8" t="s">
        <v>7884</v>
      </c>
      <c r="E112" s="8"/>
      <c r="F112" s="9">
        <v>36101</v>
      </c>
      <c r="G112" s="8" t="s">
        <v>393</v>
      </c>
      <c r="H112" s="81" t="s">
        <v>250</v>
      </c>
      <c r="I112" s="81" t="s">
        <v>27</v>
      </c>
      <c r="J112" s="81" t="s">
        <v>252</v>
      </c>
      <c r="K112" s="81" t="s">
        <v>1314</v>
      </c>
      <c r="L112" s="81" t="s">
        <v>1584</v>
      </c>
      <c r="M112" s="81" t="s">
        <v>8350</v>
      </c>
      <c r="N112" s="81" t="s">
        <v>272</v>
      </c>
      <c r="O112" s="81" t="s">
        <v>253</v>
      </c>
      <c r="P112" s="9"/>
      <c r="Q112" s="8"/>
      <c r="R112" s="8"/>
      <c r="S112" s="8"/>
      <c r="T112" s="8"/>
      <c r="U112" s="8"/>
      <c r="V112" s="81" t="s">
        <v>8141</v>
      </c>
      <c r="W112" s="81" t="s">
        <v>1585</v>
      </c>
      <c r="X112" s="8" t="s">
        <v>1586</v>
      </c>
      <c r="Y112" s="81" t="s">
        <v>33</v>
      </c>
      <c r="Z112" s="8"/>
      <c r="AA112" s="81" t="s">
        <v>1587</v>
      </c>
      <c r="AB112" s="8"/>
      <c r="AC112" s="8"/>
      <c r="AD112" s="81" t="s">
        <v>1588</v>
      </c>
      <c r="AE112" s="81" t="s">
        <v>8351</v>
      </c>
      <c r="AF112" s="81" t="s">
        <v>242</v>
      </c>
      <c r="AG112" s="81" t="s">
        <v>1588</v>
      </c>
      <c r="AH112" s="8"/>
      <c r="AI112" s="8"/>
      <c r="AJ112" s="8"/>
      <c r="AK112" s="8"/>
      <c r="AL112" s="8"/>
      <c r="AM112" s="81" t="s">
        <v>243</v>
      </c>
      <c r="AN112" s="8"/>
      <c r="AO112" s="8"/>
      <c r="AP112" s="8"/>
      <c r="AQ112" s="8"/>
      <c r="AR112" s="9">
        <v>44187</v>
      </c>
      <c r="AS112" s="8" t="s">
        <v>8352</v>
      </c>
      <c r="AT112" s="8" t="s">
        <v>348</v>
      </c>
      <c r="AU112" s="9"/>
      <c r="AV112" s="81" t="s">
        <v>322</v>
      </c>
      <c r="AW112" s="81" t="s">
        <v>242</v>
      </c>
      <c r="AX112" s="8" t="s">
        <v>1590</v>
      </c>
      <c r="AY112" s="8"/>
      <c r="AZ112" s="8" t="s">
        <v>8353</v>
      </c>
      <c r="BA112" s="81" t="s">
        <v>361</v>
      </c>
      <c r="BB112" s="8"/>
      <c r="BC112" s="8"/>
      <c r="BD112" s="8"/>
      <c r="BE112" s="81" t="s">
        <v>261</v>
      </c>
      <c r="BF112" s="8" t="s">
        <v>1591</v>
      </c>
      <c r="BG112" s="9">
        <v>47136</v>
      </c>
      <c r="BH112" s="81" t="s">
        <v>81</v>
      </c>
      <c r="BI112" s="81" t="s">
        <v>1593</v>
      </c>
      <c r="BJ112" s="9">
        <v>42614</v>
      </c>
      <c r="BK112" s="9">
        <v>44005</v>
      </c>
      <c r="BL112" s="81" t="s">
        <v>1595</v>
      </c>
      <c r="BM112" s="81" t="s">
        <v>82</v>
      </c>
      <c r="BN112" s="8"/>
      <c r="BO112" s="8"/>
      <c r="BP112" s="8"/>
      <c r="BQ112" s="9"/>
      <c r="BR112" s="9"/>
      <c r="BS112" s="8"/>
      <c r="BT112" s="8"/>
      <c r="BU112" s="8"/>
      <c r="BV112" s="8"/>
      <c r="BW112" s="81" t="s">
        <v>242</v>
      </c>
      <c r="BX112" s="81" t="s">
        <v>337</v>
      </c>
      <c r="BY112" s="9">
        <v>45505</v>
      </c>
      <c r="BZ112" s="9">
        <v>46599</v>
      </c>
      <c r="CA112" s="8" t="s">
        <v>63</v>
      </c>
    </row>
    <row r="113" spans="1:79" ht="141.6" x14ac:dyDescent="0.25">
      <c r="A113" s="81" t="s">
        <v>1596</v>
      </c>
      <c r="B113" s="8"/>
      <c r="C113" s="81" t="s">
        <v>352</v>
      </c>
      <c r="D113" s="8" t="s">
        <v>7885</v>
      </c>
      <c r="E113" s="8"/>
      <c r="F113" s="9">
        <v>30379</v>
      </c>
      <c r="G113" s="8" t="s">
        <v>1245</v>
      </c>
      <c r="H113" s="81" t="s">
        <v>250</v>
      </c>
      <c r="I113" s="81" t="s">
        <v>27</v>
      </c>
      <c r="J113" s="81" t="s">
        <v>252</v>
      </c>
      <c r="K113" s="81" t="s">
        <v>1314</v>
      </c>
      <c r="L113" s="81" t="s">
        <v>102</v>
      </c>
      <c r="M113" s="81" t="s">
        <v>8354</v>
      </c>
      <c r="N113" s="81" t="s">
        <v>119</v>
      </c>
      <c r="O113" s="81" t="s">
        <v>29</v>
      </c>
      <c r="P113" s="9"/>
      <c r="Q113" s="8"/>
      <c r="R113" s="8"/>
      <c r="S113" s="8"/>
      <c r="T113" s="81" t="s">
        <v>8145</v>
      </c>
      <c r="U113" s="81" t="s">
        <v>8188</v>
      </c>
      <c r="V113" s="8"/>
      <c r="W113" s="81" t="s">
        <v>1597</v>
      </c>
      <c r="X113" s="8" t="s">
        <v>1598</v>
      </c>
      <c r="Y113" s="81" t="s">
        <v>33</v>
      </c>
      <c r="Z113" s="8"/>
      <c r="AA113" s="81" t="s">
        <v>458</v>
      </c>
      <c r="AB113" s="8"/>
      <c r="AC113" s="8"/>
      <c r="AD113" s="81" t="s">
        <v>459</v>
      </c>
      <c r="AE113" s="81" t="s">
        <v>8147</v>
      </c>
      <c r="AF113" s="81" t="s">
        <v>242</v>
      </c>
      <c r="AG113" s="81" t="s">
        <v>459</v>
      </c>
      <c r="AH113" s="8"/>
      <c r="AI113" s="8"/>
      <c r="AJ113" s="8"/>
      <c r="AK113" s="8"/>
      <c r="AL113" s="8"/>
      <c r="AM113" s="81" t="s">
        <v>243</v>
      </c>
      <c r="AN113" s="8"/>
      <c r="AO113" s="8"/>
      <c r="AP113" s="8"/>
      <c r="AQ113" s="8"/>
      <c r="AR113" s="9">
        <v>44144</v>
      </c>
      <c r="AS113" s="8" t="s">
        <v>8355</v>
      </c>
      <c r="AT113" s="8" t="s">
        <v>348</v>
      </c>
      <c r="AU113" s="9"/>
      <c r="AV113" s="81" t="s">
        <v>322</v>
      </c>
      <c r="AW113" s="81" t="s">
        <v>242</v>
      </c>
      <c r="AX113" s="8" t="s">
        <v>1600</v>
      </c>
      <c r="AY113" s="8"/>
      <c r="AZ113" s="8" t="s">
        <v>8356</v>
      </c>
      <c r="BA113" s="81" t="s">
        <v>361</v>
      </c>
      <c r="BB113" s="8"/>
      <c r="BC113" s="8"/>
      <c r="BD113" s="8"/>
      <c r="BE113" s="81" t="s">
        <v>261</v>
      </c>
      <c r="BF113" s="8" t="s">
        <v>1601</v>
      </c>
      <c r="BG113" s="9">
        <v>48926</v>
      </c>
      <c r="BH113" s="81" t="s">
        <v>87</v>
      </c>
      <c r="BI113" s="81" t="s">
        <v>1603</v>
      </c>
      <c r="BJ113" s="9">
        <v>40057</v>
      </c>
      <c r="BK113" s="9">
        <v>41449</v>
      </c>
      <c r="BL113" s="81" t="s">
        <v>1606</v>
      </c>
      <c r="BM113" s="81" t="s">
        <v>87</v>
      </c>
      <c r="BN113" s="8"/>
      <c r="BO113" s="8"/>
      <c r="BP113" s="8"/>
      <c r="BQ113" s="9"/>
      <c r="BR113" s="9"/>
      <c r="BS113" s="8"/>
      <c r="BT113" s="8"/>
      <c r="BU113" s="8"/>
      <c r="BV113" s="8"/>
      <c r="BW113" s="81" t="s">
        <v>242</v>
      </c>
      <c r="BX113" s="81" t="s">
        <v>337</v>
      </c>
      <c r="BY113" s="9">
        <v>44144</v>
      </c>
      <c r="BZ113" s="9">
        <v>46599</v>
      </c>
      <c r="CA113" s="8" t="s">
        <v>257</v>
      </c>
    </row>
    <row r="114" spans="1:79" ht="141.6" x14ac:dyDescent="0.25">
      <c r="A114" s="81" t="s">
        <v>1607</v>
      </c>
      <c r="B114" s="8"/>
      <c r="C114" s="81" t="s">
        <v>26</v>
      </c>
      <c r="D114" s="8" t="s">
        <v>7886</v>
      </c>
      <c r="E114" s="8"/>
      <c r="F114" s="9">
        <v>34749</v>
      </c>
      <c r="G114" s="8" t="s">
        <v>837</v>
      </c>
      <c r="H114" s="81" t="s">
        <v>250</v>
      </c>
      <c r="I114" s="81" t="s">
        <v>27</v>
      </c>
      <c r="J114" s="81" t="s">
        <v>270</v>
      </c>
      <c r="K114" s="81" t="s">
        <v>1458</v>
      </c>
      <c r="L114" s="81" t="s">
        <v>102</v>
      </c>
      <c r="M114" s="81" t="s">
        <v>1608</v>
      </c>
      <c r="N114" s="81" t="s">
        <v>272</v>
      </c>
      <c r="O114" s="81" t="s">
        <v>29</v>
      </c>
      <c r="P114" s="9"/>
      <c r="Q114" s="8"/>
      <c r="R114" s="8"/>
      <c r="S114" s="8"/>
      <c r="T114" s="81" t="s">
        <v>8247</v>
      </c>
      <c r="U114" s="81" t="s">
        <v>8188</v>
      </c>
      <c r="V114" s="8"/>
      <c r="W114" s="8"/>
      <c r="X114" s="8" t="s">
        <v>1609</v>
      </c>
      <c r="Y114" s="81" t="s">
        <v>33</v>
      </c>
      <c r="Z114" s="8"/>
      <c r="AA114" s="81" t="s">
        <v>240</v>
      </c>
      <c r="AB114" s="8"/>
      <c r="AC114" s="8"/>
      <c r="AD114" s="81" t="s">
        <v>255</v>
      </c>
      <c r="AE114" s="81" t="s">
        <v>8117</v>
      </c>
      <c r="AF114" s="81" t="s">
        <v>256</v>
      </c>
      <c r="AG114" s="81" t="s">
        <v>255</v>
      </c>
      <c r="AH114" s="8"/>
      <c r="AI114" s="8"/>
      <c r="AJ114" s="8"/>
      <c r="AK114" s="8"/>
      <c r="AL114" s="8"/>
      <c r="AM114" s="81" t="s">
        <v>243</v>
      </c>
      <c r="AN114" s="8"/>
      <c r="AO114" s="8"/>
      <c r="AP114" s="8"/>
      <c r="AQ114" s="8"/>
      <c r="AR114" s="9">
        <v>44116</v>
      </c>
      <c r="AS114" s="8" t="s">
        <v>8355</v>
      </c>
      <c r="AT114" s="8" t="s">
        <v>348</v>
      </c>
      <c r="AU114" s="9"/>
      <c r="AV114" s="81" t="s">
        <v>322</v>
      </c>
      <c r="AW114" s="81" t="s">
        <v>256</v>
      </c>
      <c r="AX114" s="8" t="s">
        <v>1611</v>
      </c>
      <c r="AY114" s="8"/>
      <c r="AZ114" s="8" t="s">
        <v>8357</v>
      </c>
      <c r="BA114" s="81" t="s">
        <v>399</v>
      </c>
      <c r="BB114" s="8"/>
      <c r="BC114" s="8"/>
      <c r="BD114" s="8"/>
      <c r="BE114" s="81" t="s">
        <v>261</v>
      </c>
      <c r="BF114" s="8" t="s">
        <v>1612</v>
      </c>
      <c r="BG114" s="9">
        <v>52909</v>
      </c>
      <c r="BH114" s="81" t="s">
        <v>81</v>
      </c>
      <c r="BI114" s="81" t="s">
        <v>729</v>
      </c>
      <c r="BJ114" s="9">
        <v>41883</v>
      </c>
      <c r="BK114" s="9">
        <v>43282</v>
      </c>
      <c r="BL114" s="81" t="s">
        <v>405</v>
      </c>
      <c r="BM114" s="81" t="s">
        <v>82</v>
      </c>
      <c r="BN114" s="8"/>
      <c r="BO114" s="8"/>
      <c r="BP114" s="8"/>
      <c r="BQ114" s="9"/>
      <c r="BR114" s="9"/>
      <c r="BS114" s="8"/>
      <c r="BT114" s="8"/>
      <c r="BU114" s="8"/>
      <c r="BV114" s="8"/>
      <c r="BW114" s="81" t="s">
        <v>256</v>
      </c>
      <c r="BX114" s="81" t="s">
        <v>337</v>
      </c>
      <c r="BY114" s="9">
        <v>45505</v>
      </c>
      <c r="BZ114" s="9">
        <v>47330</v>
      </c>
      <c r="CA114" s="8" t="s">
        <v>63</v>
      </c>
    </row>
    <row r="115" spans="1:79" ht="109.8" x14ac:dyDescent="0.25">
      <c r="A115" s="81" t="s">
        <v>1616</v>
      </c>
      <c r="B115" s="8"/>
      <c r="C115" s="81" t="s">
        <v>26</v>
      </c>
      <c r="D115" s="8" t="s">
        <v>7887</v>
      </c>
      <c r="E115" s="8"/>
      <c r="F115" s="9">
        <v>23310</v>
      </c>
      <c r="G115" s="8" t="s">
        <v>1617</v>
      </c>
      <c r="H115" s="81" t="s">
        <v>250</v>
      </c>
      <c r="I115" s="81" t="s">
        <v>27</v>
      </c>
      <c r="J115" s="81" t="s">
        <v>252</v>
      </c>
      <c r="K115" s="81" t="s">
        <v>668</v>
      </c>
      <c r="L115" s="81" t="s">
        <v>1618</v>
      </c>
      <c r="M115" s="81" t="s">
        <v>8154</v>
      </c>
      <c r="N115" s="81" t="s">
        <v>119</v>
      </c>
      <c r="O115" s="81" t="s">
        <v>29</v>
      </c>
      <c r="P115" s="9"/>
      <c r="Q115" s="8"/>
      <c r="R115" s="8"/>
      <c r="S115" s="8"/>
      <c r="T115" s="81" t="s">
        <v>8145</v>
      </c>
      <c r="U115" s="81" t="s">
        <v>1095</v>
      </c>
      <c r="V115" s="8"/>
      <c r="W115" s="8"/>
      <c r="X115" s="8" t="s">
        <v>1619</v>
      </c>
      <c r="Y115" s="81" t="s">
        <v>33</v>
      </c>
      <c r="Z115" s="8"/>
      <c r="AA115" s="81" t="s">
        <v>1620</v>
      </c>
      <c r="AB115" s="8"/>
      <c r="AC115" s="8"/>
      <c r="AD115" s="81" t="s">
        <v>242</v>
      </c>
      <c r="AE115" s="81" t="s">
        <v>8358</v>
      </c>
      <c r="AF115" s="81" t="s">
        <v>242</v>
      </c>
      <c r="AG115" s="8"/>
      <c r="AH115" s="8"/>
      <c r="AI115" s="8"/>
      <c r="AJ115" s="8"/>
      <c r="AK115" s="8"/>
      <c r="AL115" s="8"/>
      <c r="AM115" s="81" t="s">
        <v>243</v>
      </c>
      <c r="AN115" s="8"/>
      <c r="AO115" s="8"/>
      <c r="AP115" s="8"/>
      <c r="AQ115" s="8"/>
      <c r="AR115" s="9">
        <v>44044</v>
      </c>
      <c r="AS115" s="8" t="s">
        <v>8222</v>
      </c>
      <c r="AT115" s="8" t="s">
        <v>348</v>
      </c>
      <c r="AU115" s="9"/>
      <c r="AV115" s="81" t="s">
        <v>322</v>
      </c>
      <c r="AW115" s="81" t="s">
        <v>242</v>
      </c>
      <c r="AX115" s="8" t="s">
        <v>1622</v>
      </c>
      <c r="AY115" s="8"/>
      <c r="AZ115" s="8" t="s">
        <v>8359</v>
      </c>
      <c r="BA115" s="81" t="s">
        <v>676</v>
      </c>
      <c r="BB115" s="8"/>
      <c r="BC115" s="8"/>
      <c r="BD115" s="8"/>
      <c r="BE115" s="81" t="s">
        <v>261</v>
      </c>
      <c r="BF115" s="8" t="s">
        <v>1623</v>
      </c>
      <c r="BG115" s="9">
        <v>46234</v>
      </c>
      <c r="BH115" s="81" t="s">
        <v>87</v>
      </c>
      <c r="BI115" s="81" t="s">
        <v>1624</v>
      </c>
      <c r="BJ115" s="9">
        <v>41869</v>
      </c>
      <c r="BK115" s="9"/>
      <c r="BL115" s="8"/>
      <c r="BM115" s="8"/>
      <c r="BN115" s="8"/>
      <c r="BO115" s="8"/>
      <c r="BP115" s="8"/>
      <c r="BQ115" s="9"/>
      <c r="BR115" s="9"/>
      <c r="BS115" s="8"/>
      <c r="BT115" s="8"/>
      <c r="BU115" s="8"/>
      <c r="BV115" s="8"/>
      <c r="BW115" s="81" t="s">
        <v>242</v>
      </c>
      <c r="BX115" s="81" t="s">
        <v>1625</v>
      </c>
      <c r="BY115" s="9">
        <v>42727</v>
      </c>
      <c r="BZ115" s="9"/>
      <c r="CA115" s="8"/>
    </row>
    <row r="116" spans="1:79" ht="205.2" x14ac:dyDescent="0.25">
      <c r="A116" s="81" t="s">
        <v>1627</v>
      </c>
      <c r="B116" s="8"/>
      <c r="C116" s="81" t="s">
        <v>26</v>
      </c>
      <c r="D116" s="8" t="s">
        <v>7888</v>
      </c>
      <c r="E116" s="8"/>
      <c r="F116" s="9">
        <v>36508</v>
      </c>
      <c r="G116" s="8" t="s">
        <v>414</v>
      </c>
      <c r="H116" s="81" t="s">
        <v>250</v>
      </c>
      <c r="I116" s="81" t="s">
        <v>27</v>
      </c>
      <c r="J116" s="81" t="s">
        <v>293</v>
      </c>
      <c r="K116" s="81" t="s">
        <v>294</v>
      </c>
      <c r="L116" s="81" t="s">
        <v>102</v>
      </c>
      <c r="M116" s="81" t="s">
        <v>8360</v>
      </c>
      <c r="N116" s="81" t="s">
        <v>119</v>
      </c>
      <c r="O116" s="81" t="s">
        <v>253</v>
      </c>
      <c r="P116" s="9"/>
      <c r="Q116" s="8"/>
      <c r="R116" s="8"/>
      <c r="S116" s="8"/>
      <c r="T116" s="8"/>
      <c r="U116" s="8"/>
      <c r="V116" s="8"/>
      <c r="W116" s="8"/>
      <c r="X116" s="8" t="s">
        <v>1628</v>
      </c>
      <c r="Y116" s="81" t="s">
        <v>33</v>
      </c>
      <c r="Z116" s="8"/>
      <c r="AA116" s="81" t="s">
        <v>574</v>
      </c>
      <c r="AB116" s="8"/>
      <c r="AC116" s="8"/>
      <c r="AD116" s="81" t="s">
        <v>344</v>
      </c>
      <c r="AE116" s="81" t="s">
        <v>8129</v>
      </c>
      <c r="AF116" s="81" t="s">
        <v>242</v>
      </c>
      <c r="AG116" s="81" t="s">
        <v>345</v>
      </c>
      <c r="AH116" s="81" t="s">
        <v>346</v>
      </c>
      <c r="AI116" s="81" t="s">
        <v>344</v>
      </c>
      <c r="AJ116" s="8"/>
      <c r="AK116" s="8"/>
      <c r="AL116" s="8"/>
      <c r="AM116" s="81" t="s">
        <v>243</v>
      </c>
      <c r="AN116" s="8"/>
      <c r="AO116" s="8"/>
      <c r="AP116" s="8"/>
      <c r="AQ116" s="8"/>
      <c r="AR116" s="9">
        <v>44013</v>
      </c>
      <c r="AS116" s="8" t="s">
        <v>8211</v>
      </c>
      <c r="AT116" s="8" t="s">
        <v>348</v>
      </c>
      <c r="AU116" s="9"/>
      <c r="AV116" s="81" t="s">
        <v>322</v>
      </c>
      <c r="AW116" s="81" t="s">
        <v>242</v>
      </c>
      <c r="AX116" s="8" t="s">
        <v>1629</v>
      </c>
      <c r="AY116" s="8"/>
      <c r="AZ116" s="8" t="s">
        <v>8180</v>
      </c>
      <c r="BA116" s="81" t="s">
        <v>556</v>
      </c>
      <c r="BB116" s="8"/>
      <c r="BC116" s="8"/>
      <c r="BD116" s="8"/>
      <c r="BE116" s="81" t="s">
        <v>261</v>
      </c>
      <c r="BF116" s="8" t="s">
        <v>1630</v>
      </c>
      <c r="BG116" s="9">
        <v>46862</v>
      </c>
      <c r="BH116" s="81" t="s">
        <v>305</v>
      </c>
      <c r="BI116" s="81" t="s">
        <v>1632</v>
      </c>
      <c r="BJ116" s="9">
        <v>42248</v>
      </c>
      <c r="BK116" s="9">
        <v>44013</v>
      </c>
      <c r="BL116" s="81" t="s">
        <v>945</v>
      </c>
      <c r="BM116" s="8"/>
      <c r="BN116" s="8"/>
      <c r="BO116" s="8"/>
      <c r="BP116" s="8"/>
      <c r="BQ116" s="9"/>
      <c r="BR116" s="9"/>
      <c r="BS116" s="8"/>
      <c r="BT116" s="8"/>
      <c r="BU116" s="8"/>
      <c r="BV116" s="8"/>
      <c r="BW116" s="81" t="s">
        <v>242</v>
      </c>
      <c r="BX116" s="81" t="s">
        <v>337</v>
      </c>
      <c r="BY116" s="9">
        <v>45870</v>
      </c>
      <c r="BZ116" s="9">
        <v>46507</v>
      </c>
      <c r="CA116" s="8" t="s">
        <v>245</v>
      </c>
    </row>
    <row r="117" spans="1:79" ht="141.6" x14ac:dyDescent="0.25">
      <c r="A117" s="81" t="s">
        <v>1633</v>
      </c>
      <c r="B117" s="8"/>
      <c r="C117" s="81" t="s">
        <v>26</v>
      </c>
      <c r="D117" s="8" t="s">
        <v>7889</v>
      </c>
      <c r="E117" s="8"/>
      <c r="F117" s="9">
        <v>35925</v>
      </c>
      <c r="G117" s="8" t="s">
        <v>393</v>
      </c>
      <c r="H117" s="81" t="s">
        <v>250</v>
      </c>
      <c r="I117" s="81" t="s">
        <v>27</v>
      </c>
      <c r="J117" s="81" t="s">
        <v>293</v>
      </c>
      <c r="K117" s="81" t="s">
        <v>294</v>
      </c>
      <c r="L117" s="81" t="s">
        <v>102</v>
      </c>
      <c r="M117" s="81" t="s">
        <v>8361</v>
      </c>
      <c r="N117" s="81" t="s">
        <v>119</v>
      </c>
      <c r="O117" s="81" t="s">
        <v>253</v>
      </c>
      <c r="P117" s="9"/>
      <c r="Q117" s="8"/>
      <c r="R117" s="8"/>
      <c r="S117" s="8"/>
      <c r="T117" s="8"/>
      <c r="U117" s="8"/>
      <c r="V117" s="8"/>
      <c r="W117" s="8"/>
      <c r="X117" s="8" t="s">
        <v>1634</v>
      </c>
      <c r="Y117" s="81" t="s">
        <v>33</v>
      </c>
      <c r="Z117" s="8"/>
      <c r="AA117" s="81" t="s">
        <v>1635</v>
      </c>
      <c r="AB117" s="8"/>
      <c r="AC117" s="8"/>
      <c r="AD117" s="81" t="s">
        <v>553</v>
      </c>
      <c r="AE117" s="81" t="s">
        <v>8194</v>
      </c>
      <c r="AF117" s="81" t="s">
        <v>492</v>
      </c>
      <c r="AG117" s="81" t="s">
        <v>553</v>
      </c>
      <c r="AH117" s="8"/>
      <c r="AI117" s="8"/>
      <c r="AJ117" s="8"/>
      <c r="AK117" s="8"/>
      <c r="AL117" s="8"/>
      <c r="AM117" s="81" t="s">
        <v>243</v>
      </c>
      <c r="AN117" s="8"/>
      <c r="AO117" s="8"/>
      <c r="AP117" s="8"/>
      <c r="AQ117" s="8"/>
      <c r="AR117" s="9">
        <v>44013</v>
      </c>
      <c r="AS117" s="8" t="s">
        <v>8211</v>
      </c>
      <c r="AT117" s="8" t="s">
        <v>348</v>
      </c>
      <c r="AU117" s="9"/>
      <c r="AV117" s="81" t="s">
        <v>322</v>
      </c>
      <c r="AW117" s="81" t="s">
        <v>492</v>
      </c>
      <c r="AX117" s="8" t="s">
        <v>1636</v>
      </c>
      <c r="AY117" s="8"/>
      <c r="AZ117" s="8" t="s">
        <v>8362</v>
      </c>
      <c r="BA117" s="81" t="s">
        <v>556</v>
      </c>
      <c r="BB117" s="8"/>
      <c r="BC117" s="8"/>
      <c r="BD117" s="8"/>
      <c r="BE117" s="81" t="s">
        <v>261</v>
      </c>
      <c r="BF117" s="8" t="s">
        <v>1637</v>
      </c>
      <c r="BG117" s="9">
        <v>46663</v>
      </c>
      <c r="BH117" s="81" t="s">
        <v>305</v>
      </c>
      <c r="BI117" s="81" t="s">
        <v>597</v>
      </c>
      <c r="BJ117" s="9">
        <v>42979</v>
      </c>
      <c r="BK117" s="9">
        <v>44012</v>
      </c>
      <c r="BL117" s="81" t="s">
        <v>1640</v>
      </c>
      <c r="BM117" s="8"/>
      <c r="BN117" s="8"/>
      <c r="BO117" s="8"/>
      <c r="BP117" s="8"/>
      <c r="BQ117" s="9"/>
      <c r="BR117" s="9"/>
      <c r="BS117" s="8"/>
      <c r="BT117" s="8"/>
      <c r="BU117" s="8"/>
      <c r="BV117" s="8"/>
      <c r="BW117" s="81" t="s">
        <v>492</v>
      </c>
      <c r="BX117" s="81" t="s">
        <v>337</v>
      </c>
      <c r="BY117" s="9">
        <v>44013</v>
      </c>
      <c r="BZ117" s="9">
        <v>46873</v>
      </c>
      <c r="CA117" s="8" t="s">
        <v>63</v>
      </c>
    </row>
    <row r="118" spans="1:79" ht="141.6" x14ac:dyDescent="0.25">
      <c r="A118" s="81" t="s">
        <v>1641</v>
      </c>
      <c r="B118" s="8"/>
      <c r="C118" s="81" t="s">
        <v>26</v>
      </c>
      <c r="D118" s="8" t="s">
        <v>7890</v>
      </c>
      <c r="E118" s="8"/>
      <c r="F118" s="9">
        <v>36300</v>
      </c>
      <c r="G118" s="8" t="s">
        <v>414</v>
      </c>
      <c r="H118" s="81" t="s">
        <v>250</v>
      </c>
      <c r="I118" s="81" t="s">
        <v>27</v>
      </c>
      <c r="J118" s="81" t="s">
        <v>270</v>
      </c>
      <c r="K118" s="81" t="s">
        <v>488</v>
      </c>
      <c r="L118" s="81" t="s">
        <v>102</v>
      </c>
      <c r="M118" s="81" t="s">
        <v>8363</v>
      </c>
      <c r="N118" s="81" t="s">
        <v>119</v>
      </c>
      <c r="O118" s="81" t="s">
        <v>29</v>
      </c>
      <c r="P118" s="9"/>
      <c r="Q118" s="8"/>
      <c r="R118" s="8"/>
      <c r="S118" s="8"/>
      <c r="T118" s="8"/>
      <c r="U118" s="8"/>
      <c r="V118" s="8"/>
      <c r="W118" s="8"/>
      <c r="X118" s="8" t="s">
        <v>1642</v>
      </c>
      <c r="Y118" s="81" t="s">
        <v>33</v>
      </c>
      <c r="Z118" s="8"/>
      <c r="AA118" s="81" t="s">
        <v>654</v>
      </c>
      <c r="AB118" s="8"/>
      <c r="AC118" s="8"/>
      <c r="AD118" s="81" t="s">
        <v>553</v>
      </c>
      <c r="AE118" s="81" t="s">
        <v>8194</v>
      </c>
      <c r="AF118" s="81" t="s">
        <v>492</v>
      </c>
      <c r="AG118" s="81" t="s">
        <v>553</v>
      </c>
      <c r="AH118" s="8"/>
      <c r="AI118" s="8"/>
      <c r="AJ118" s="8"/>
      <c r="AK118" s="8"/>
      <c r="AL118" s="8"/>
      <c r="AM118" s="81" t="s">
        <v>243</v>
      </c>
      <c r="AN118" s="8"/>
      <c r="AO118" s="8"/>
      <c r="AP118" s="8"/>
      <c r="AQ118" s="8"/>
      <c r="AR118" s="9">
        <v>44013</v>
      </c>
      <c r="AS118" s="8" t="s">
        <v>8211</v>
      </c>
      <c r="AT118" s="8" t="s">
        <v>348</v>
      </c>
      <c r="AU118" s="9"/>
      <c r="AV118" s="81" t="s">
        <v>322</v>
      </c>
      <c r="AW118" s="81" t="s">
        <v>492</v>
      </c>
      <c r="AX118" s="8" t="s">
        <v>1643</v>
      </c>
      <c r="AY118" s="8"/>
      <c r="AZ118" s="8" t="s">
        <v>8180</v>
      </c>
      <c r="BA118" s="81" t="s">
        <v>556</v>
      </c>
      <c r="BB118" s="8"/>
      <c r="BC118" s="8"/>
      <c r="BD118" s="8"/>
      <c r="BE118" s="81" t="s">
        <v>261</v>
      </c>
      <c r="BF118" s="8" t="s">
        <v>1644</v>
      </c>
      <c r="BG118" s="9">
        <v>46407</v>
      </c>
      <c r="BH118" s="81" t="s">
        <v>305</v>
      </c>
      <c r="BI118" s="81" t="s">
        <v>559</v>
      </c>
      <c r="BJ118" s="9">
        <v>42979</v>
      </c>
      <c r="BK118" s="9">
        <v>44013</v>
      </c>
      <c r="BL118" s="81" t="s">
        <v>662</v>
      </c>
      <c r="BM118" s="8"/>
      <c r="BN118" s="8"/>
      <c r="BO118" s="8"/>
      <c r="BP118" s="8"/>
      <c r="BQ118" s="9"/>
      <c r="BR118" s="9"/>
      <c r="BS118" s="8"/>
      <c r="BT118" s="8"/>
      <c r="BU118" s="8"/>
      <c r="BV118" s="8"/>
      <c r="BW118" s="81" t="s">
        <v>492</v>
      </c>
      <c r="BX118" s="81" t="s">
        <v>337</v>
      </c>
      <c r="BY118" s="9">
        <v>45413</v>
      </c>
      <c r="BZ118" s="9">
        <v>47238</v>
      </c>
      <c r="CA118" s="8" t="s">
        <v>63</v>
      </c>
    </row>
    <row r="119" spans="1:79" ht="141.6" x14ac:dyDescent="0.25">
      <c r="A119" s="81" t="s">
        <v>1646</v>
      </c>
      <c r="B119" s="8"/>
      <c r="C119" s="81" t="s">
        <v>26</v>
      </c>
      <c r="D119" s="8" t="s">
        <v>7891</v>
      </c>
      <c r="E119" s="8"/>
      <c r="F119" s="9">
        <v>36089</v>
      </c>
      <c r="G119" s="8" t="s">
        <v>393</v>
      </c>
      <c r="H119" s="81" t="s">
        <v>250</v>
      </c>
      <c r="I119" s="81" t="s">
        <v>27</v>
      </c>
      <c r="J119" s="81" t="s">
        <v>270</v>
      </c>
      <c r="K119" s="81" t="s">
        <v>808</v>
      </c>
      <c r="L119" s="81" t="s">
        <v>102</v>
      </c>
      <c r="M119" s="81" t="s">
        <v>8364</v>
      </c>
      <c r="N119" s="81" t="s">
        <v>119</v>
      </c>
      <c r="O119" s="81" t="s">
        <v>253</v>
      </c>
      <c r="P119" s="9"/>
      <c r="Q119" s="8"/>
      <c r="R119" s="8"/>
      <c r="S119" s="8"/>
      <c r="T119" s="8"/>
      <c r="U119" s="8"/>
      <c r="V119" s="8"/>
      <c r="W119" s="8"/>
      <c r="X119" s="8" t="s">
        <v>1647</v>
      </c>
      <c r="Y119" s="81" t="s">
        <v>33</v>
      </c>
      <c r="Z119" s="8"/>
      <c r="AA119" s="81" t="s">
        <v>654</v>
      </c>
      <c r="AB119" s="8"/>
      <c r="AC119" s="8"/>
      <c r="AD119" s="81" t="s">
        <v>553</v>
      </c>
      <c r="AE119" s="81" t="s">
        <v>8194</v>
      </c>
      <c r="AF119" s="81" t="s">
        <v>492</v>
      </c>
      <c r="AG119" s="81" t="s">
        <v>553</v>
      </c>
      <c r="AH119" s="8"/>
      <c r="AI119" s="8"/>
      <c r="AJ119" s="8"/>
      <c r="AK119" s="8"/>
      <c r="AL119" s="8"/>
      <c r="AM119" s="81" t="s">
        <v>243</v>
      </c>
      <c r="AN119" s="8"/>
      <c r="AO119" s="8"/>
      <c r="AP119" s="8"/>
      <c r="AQ119" s="8"/>
      <c r="AR119" s="9">
        <v>44013</v>
      </c>
      <c r="AS119" s="8" t="s">
        <v>8211</v>
      </c>
      <c r="AT119" s="8" t="s">
        <v>348</v>
      </c>
      <c r="AU119" s="9"/>
      <c r="AV119" s="81" t="s">
        <v>322</v>
      </c>
      <c r="AW119" s="81" t="s">
        <v>492</v>
      </c>
      <c r="AX119" s="8" t="s">
        <v>1648</v>
      </c>
      <c r="AY119" s="8"/>
      <c r="AZ119" s="8" t="s">
        <v>8180</v>
      </c>
      <c r="BA119" s="81" t="s">
        <v>556</v>
      </c>
      <c r="BB119" s="8"/>
      <c r="BC119" s="8"/>
      <c r="BD119" s="8"/>
      <c r="BE119" s="81" t="s">
        <v>261</v>
      </c>
      <c r="BF119" s="8" t="s">
        <v>1649</v>
      </c>
      <c r="BG119" s="9">
        <v>46849</v>
      </c>
      <c r="BH119" s="81" t="s">
        <v>305</v>
      </c>
      <c r="BI119" s="81" t="s">
        <v>559</v>
      </c>
      <c r="BJ119" s="9">
        <v>42917</v>
      </c>
      <c r="BK119" s="9">
        <v>44013</v>
      </c>
      <c r="BL119" s="81" t="s">
        <v>662</v>
      </c>
      <c r="BM119" s="8"/>
      <c r="BN119" s="8"/>
      <c r="BO119" s="8"/>
      <c r="BP119" s="8"/>
      <c r="BQ119" s="9"/>
      <c r="BR119" s="9"/>
      <c r="BS119" s="8"/>
      <c r="BT119" s="8"/>
      <c r="BU119" s="8"/>
      <c r="BV119" s="8"/>
      <c r="BW119" s="81" t="s">
        <v>492</v>
      </c>
      <c r="BX119" s="81" t="s">
        <v>337</v>
      </c>
      <c r="BY119" s="9">
        <v>44013</v>
      </c>
      <c r="BZ119" s="9">
        <v>46142</v>
      </c>
      <c r="CA119" s="8" t="s">
        <v>257</v>
      </c>
    </row>
    <row r="120" spans="1:79" ht="157.19999999999999" x14ac:dyDescent="0.25">
      <c r="A120" s="81" t="s">
        <v>1651</v>
      </c>
      <c r="B120" s="8"/>
      <c r="C120" s="81" t="s">
        <v>26</v>
      </c>
      <c r="D120" s="8" t="s">
        <v>7892</v>
      </c>
      <c r="E120" s="8"/>
      <c r="F120" s="9">
        <v>32127</v>
      </c>
      <c r="G120" s="8" t="s">
        <v>434</v>
      </c>
      <c r="H120" s="81" t="s">
        <v>250</v>
      </c>
      <c r="I120" s="81" t="s">
        <v>27</v>
      </c>
      <c r="J120" s="81" t="s">
        <v>270</v>
      </c>
      <c r="K120" s="81" t="s">
        <v>1652</v>
      </c>
      <c r="L120" s="81" t="s">
        <v>1653</v>
      </c>
      <c r="M120" s="81" t="s">
        <v>8365</v>
      </c>
      <c r="N120" s="81" t="s">
        <v>119</v>
      </c>
      <c r="O120" s="81" t="s">
        <v>29</v>
      </c>
      <c r="P120" s="9"/>
      <c r="Q120" s="8"/>
      <c r="R120" s="8"/>
      <c r="S120" s="8"/>
      <c r="T120" s="81" t="s">
        <v>8145</v>
      </c>
      <c r="U120" s="81" t="s">
        <v>1654</v>
      </c>
      <c r="V120" s="8"/>
      <c r="W120" s="8"/>
      <c r="X120" s="8" t="s">
        <v>1655</v>
      </c>
      <c r="Y120" s="81" t="s">
        <v>33</v>
      </c>
      <c r="Z120" s="8"/>
      <c r="AA120" s="81" t="s">
        <v>240</v>
      </c>
      <c r="AB120" s="8"/>
      <c r="AC120" s="8"/>
      <c r="AD120" s="81" t="s">
        <v>655</v>
      </c>
      <c r="AE120" s="81" t="s">
        <v>8178</v>
      </c>
      <c r="AF120" s="81" t="s">
        <v>242</v>
      </c>
      <c r="AG120" s="81" t="s">
        <v>655</v>
      </c>
      <c r="AH120" s="8"/>
      <c r="AI120" s="8"/>
      <c r="AJ120" s="8"/>
      <c r="AK120" s="8"/>
      <c r="AL120" s="8"/>
      <c r="AM120" s="81" t="s">
        <v>243</v>
      </c>
      <c r="AN120" s="8"/>
      <c r="AO120" s="8"/>
      <c r="AP120" s="8"/>
      <c r="AQ120" s="8"/>
      <c r="AR120" s="9">
        <v>44013</v>
      </c>
      <c r="AS120" s="8" t="s">
        <v>8211</v>
      </c>
      <c r="AT120" s="8" t="s">
        <v>348</v>
      </c>
      <c r="AU120" s="9"/>
      <c r="AV120" s="81" t="s">
        <v>322</v>
      </c>
      <c r="AW120" s="81" t="s">
        <v>242</v>
      </c>
      <c r="AX120" s="8" t="s">
        <v>1656</v>
      </c>
      <c r="AY120" s="8"/>
      <c r="AZ120" s="8" t="s">
        <v>8366</v>
      </c>
      <c r="BA120" s="81" t="s">
        <v>399</v>
      </c>
      <c r="BB120" s="8"/>
      <c r="BC120" s="8"/>
      <c r="BD120" s="8"/>
      <c r="BE120" s="81" t="s">
        <v>261</v>
      </c>
      <c r="BF120" s="8" t="s">
        <v>1657</v>
      </c>
      <c r="BG120" s="9">
        <v>50395</v>
      </c>
      <c r="BH120" s="81" t="s">
        <v>81</v>
      </c>
      <c r="BI120" s="81" t="s">
        <v>1659</v>
      </c>
      <c r="BJ120" s="9">
        <v>38596</v>
      </c>
      <c r="BK120" s="9">
        <v>40004</v>
      </c>
      <c r="BL120" s="81" t="s">
        <v>662</v>
      </c>
      <c r="BM120" s="81" t="s">
        <v>82</v>
      </c>
      <c r="BN120" s="8"/>
      <c r="BO120" s="8"/>
      <c r="BP120" s="8"/>
      <c r="BQ120" s="9"/>
      <c r="BR120" s="9"/>
      <c r="BS120" s="8"/>
      <c r="BT120" s="81" t="s">
        <v>1662</v>
      </c>
      <c r="BU120" s="81" t="s">
        <v>118</v>
      </c>
      <c r="BV120" s="8" t="s">
        <v>1663</v>
      </c>
      <c r="BW120" s="81" t="s">
        <v>242</v>
      </c>
      <c r="BX120" s="81" t="s">
        <v>1556</v>
      </c>
      <c r="BY120" s="9">
        <v>44013</v>
      </c>
      <c r="BZ120" s="9"/>
      <c r="CA120" s="8" t="s">
        <v>257</v>
      </c>
    </row>
    <row r="121" spans="1:79" ht="157.19999999999999" x14ac:dyDescent="0.25">
      <c r="A121" s="81" t="s">
        <v>1664</v>
      </c>
      <c r="B121" s="8"/>
      <c r="C121" s="81" t="s">
        <v>352</v>
      </c>
      <c r="D121" s="8" t="s">
        <v>7893</v>
      </c>
      <c r="E121" s="8"/>
      <c r="F121" s="9">
        <v>32061</v>
      </c>
      <c r="G121" s="8" t="s">
        <v>434</v>
      </c>
      <c r="H121" s="81" t="s">
        <v>250</v>
      </c>
      <c r="I121" s="81" t="s">
        <v>251</v>
      </c>
      <c r="J121" s="81" t="s">
        <v>293</v>
      </c>
      <c r="K121" s="81" t="s">
        <v>294</v>
      </c>
      <c r="L121" s="81" t="s">
        <v>102</v>
      </c>
      <c r="M121" s="81" t="s">
        <v>8367</v>
      </c>
      <c r="N121" s="81" t="s">
        <v>28</v>
      </c>
      <c r="O121" s="81" t="s">
        <v>29</v>
      </c>
      <c r="P121" s="9"/>
      <c r="Q121" s="8"/>
      <c r="R121" s="8"/>
      <c r="S121" s="8"/>
      <c r="T121" s="8"/>
      <c r="U121" s="8"/>
      <c r="V121" s="81" t="s">
        <v>8239</v>
      </c>
      <c r="W121" s="81" t="s">
        <v>1665</v>
      </c>
      <c r="X121" s="8" t="s">
        <v>1666</v>
      </c>
      <c r="Y121" s="81" t="s">
        <v>33</v>
      </c>
      <c r="Z121" s="8"/>
      <c r="AA121" s="81" t="s">
        <v>357</v>
      </c>
      <c r="AB121" s="8"/>
      <c r="AC121" s="8"/>
      <c r="AD121" s="81" t="s">
        <v>524</v>
      </c>
      <c r="AE121" s="81" t="s">
        <v>8155</v>
      </c>
      <c r="AF121" s="81" t="s">
        <v>242</v>
      </c>
      <c r="AG121" s="81" t="s">
        <v>524</v>
      </c>
      <c r="AH121" s="8"/>
      <c r="AI121" s="8"/>
      <c r="AJ121" s="8"/>
      <c r="AK121" s="8"/>
      <c r="AL121" s="8"/>
      <c r="AM121" s="81" t="s">
        <v>243</v>
      </c>
      <c r="AN121" s="8"/>
      <c r="AO121" s="8"/>
      <c r="AP121" s="8"/>
      <c r="AQ121" s="8"/>
      <c r="AR121" s="9">
        <v>43941</v>
      </c>
      <c r="AS121" s="8" t="s">
        <v>8368</v>
      </c>
      <c r="AT121" s="8" t="s">
        <v>348</v>
      </c>
      <c r="AU121" s="9"/>
      <c r="AV121" s="81" t="s">
        <v>322</v>
      </c>
      <c r="AW121" s="81" t="s">
        <v>242</v>
      </c>
      <c r="AX121" s="8" t="s">
        <v>1668</v>
      </c>
      <c r="AY121" s="8"/>
      <c r="AZ121" s="8" t="s">
        <v>8369</v>
      </c>
      <c r="BA121" s="81" t="s">
        <v>361</v>
      </c>
      <c r="BB121" s="8"/>
      <c r="BC121" s="8"/>
      <c r="BD121" s="8"/>
      <c r="BE121" s="81" t="s">
        <v>261</v>
      </c>
      <c r="BF121" s="8" t="s">
        <v>1669</v>
      </c>
      <c r="BG121" s="9">
        <v>49939</v>
      </c>
      <c r="BH121" s="81" t="s">
        <v>81</v>
      </c>
      <c r="BI121" s="81" t="s">
        <v>1671</v>
      </c>
      <c r="BJ121" s="9">
        <v>41670</v>
      </c>
      <c r="BK121" s="9">
        <v>42400</v>
      </c>
      <c r="BL121" s="81" t="s">
        <v>1674</v>
      </c>
      <c r="BM121" s="8"/>
      <c r="BN121" s="8"/>
      <c r="BO121" s="8"/>
      <c r="BP121" s="8"/>
      <c r="BQ121" s="9"/>
      <c r="BR121" s="9"/>
      <c r="BS121" s="8"/>
      <c r="BT121" s="81" t="s">
        <v>1675</v>
      </c>
      <c r="BU121" s="81" t="s">
        <v>118</v>
      </c>
      <c r="BV121" s="8" t="s">
        <v>1676</v>
      </c>
      <c r="BW121" s="81" t="s">
        <v>242</v>
      </c>
      <c r="BX121" s="81" t="s">
        <v>337</v>
      </c>
      <c r="BY121" s="9">
        <v>43941</v>
      </c>
      <c r="BZ121" s="9">
        <v>46599</v>
      </c>
      <c r="CA121" s="8" t="s">
        <v>63</v>
      </c>
    </row>
    <row r="122" spans="1:79" ht="157.19999999999999" x14ac:dyDescent="0.25">
      <c r="A122" s="81" t="s">
        <v>1677</v>
      </c>
      <c r="B122" s="8"/>
      <c r="C122" s="81" t="s">
        <v>26</v>
      </c>
      <c r="D122" s="8" t="s">
        <v>7894</v>
      </c>
      <c r="E122" s="8"/>
      <c r="F122" s="9">
        <v>30679</v>
      </c>
      <c r="G122" s="8" t="s">
        <v>1678</v>
      </c>
      <c r="H122" s="81" t="s">
        <v>250</v>
      </c>
      <c r="I122" s="81" t="s">
        <v>27</v>
      </c>
      <c r="J122" s="81" t="s">
        <v>252</v>
      </c>
      <c r="K122" s="81" t="s">
        <v>415</v>
      </c>
      <c r="L122" s="81" t="s">
        <v>102</v>
      </c>
      <c r="M122" s="81" t="s">
        <v>8370</v>
      </c>
      <c r="N122" s="81" t="s">
        <v>119</v>
      </c>
      <c r="O122" s="81" t="s">
        <v>29</v>
      </c>
      <c r="P122" s="9"/>
      <c r="Q122" s="8"/>
      <c r="R122" s="8"/>
      <c r="S122" s="8"/>
      <c r="T122" s="8"/>
      <c r="U122" s="8"/>
      <c r="V122" s="8"/>
      <c r="W122" s="8"/>
      <c r="X122" s="8" t="s">
        <v>1679</v>
      </c>
      <c r="Y122" s="81" t="s">
        <v>33</v>
      </c>
      <c r="Z122" s="8"/>
      <c r="AA122" s="81" t="s">
        <v>1394</v>
      </c>
      <c r="AB122" s="8"/>
      <c r="AC122" s="8"/>
      <c r="AD122" s="81" t="s">
        <v>878</v>
      </c>
      <c r="AE122" s="81" t="s">
        <v>8223</v>
      </c>
      <c r="AF122" s="81" t="s">
        <v>492</v>
      </c>
      <c r="AG122" s="81" t="s">
        <v>878</v>
      </c>
      <c r="AH122" s="8"/>
      <c r="AI122" s="8"/>
      <c r="AJ122" s="8"/>
      <c r="AK122" s="8"/>
      <c r="AL122" s="8"/>
      <c r="AM122" s="81" t="s">
        <v>243</v>
      </c>
      <c r="AN122" s="8"/>
      <c r="AO122" s="8"/>
      <c r="AP122" s="8"/>
      <c r="AQ122" s="8"/>
      <c r="AR122" s="9">
        <v>43836</v>
      </c>
      <c r="AS122" s="8" t="s">
        <v>8371</v>
      </c>
      <c r="AT122" s="8" t="s">
        <v>348</v>
      </c>
      <c r="AU122" s="9"/>
      <c r="AV122" s="81" t="s">
        <v>322</v>
      </c>
      <c r="AW122" s="81" t="s">
        <v>492</v>
      </c>
      <c r="AX122" s="8" t="s">
        <v>1681</v>
      </c>
      <c r="AY122" s="8"/>
      <c r="AZ122" s="8" t="s">
        <v>8372</v>
      </c>
      <c r="BA122" s="81" t="s">
        <v>361</v>
      </c>
      <c r="BB122" s="8"/>
      <c r="BC122" s="8"/>
      <c r="BD122" s="8"/>
      <c r="BE122" s="81" t="s">
        <v>261</v>
      </c>
      <c r="BF122" s="8" t="s">
        <v>1682</v>
      </c>
      <c r="BG122" s="9">
        <v>50990</v>
      </c>
      <c r="BH122" s="81" t="s">
        <v>81</v>
      </c>
      <c r="BI122" s="81" t="s">
        <v>1032</v>
      </c>
      <c r="BJ122" s="9">
        <v>37865</v>
      </c>
      <c r="BK122" s="9">
        <v>39995</v>
      </c>
      <c r="BL122" s="81" t="s">
        <v>662</v>
      </c>
      <c r="BM122" s="81" t="s">
        <v>82</v>
      </c>
      <c r="BN122" s="8"/>
      <c r="BO122" s="8"/>
      <c r="BP122" s="8"/>
      <c r="BQ122" s="9"/>
      <c r="BR122" s="9"/>
      <c r="BS122" s="8"/>
      <c r="BT122" s="81" t="s">
        <v>1686</v>
      </c>
      <c r="BU122" s="81" t="s">
        <v>118</v>
      </c>
      <c r="BV122" s="8" t="s">
        <v>1687</v>
      </c>
      <c r="BW122" s="81" t="s">
        <v>492</v>
      </c>
      <c r="BX122" s="81" t="s">
        <v>337</v>
      </c>
      <c r="BY122" s="9">
        <v>45413</v>
      </c>
      <c r="BZ122" s="9">
        <v>47238</v>
      </c>
      <c r="CA122" s="8" t="s">
        <v>63</v>
      </c>
    </row>
    <row r="123" spans="1:79" ht="157.19999999999999" x14ac:dyDescent="0.25">
      <c r="A123" s="81" t="s">
        <v>1688</v>
      </c>
      <c r="B123" s="8"/>
      <c r="C123" s="81" t="s">
        <v>26</v>
      </c>
      <c r="D123" s="8" t="s">
        <v>7895</v>
      </c>
      <c r="E123" s="8"/>
      <c r="F123" s="9">
        <v>33879</v>
      </c>
      <c r="G123" s="8" t="s">
        <v>1689</v>
      </c>
      <c r="H123" s="81" t="s">
        <v>250</v>
      </c>
      <c r="I123" s="81" t="s">
        <v>27</v>
      </c>
      <c r="J123" s="81" t="s">
        <v>270</v>
      </c>
      <c r="K123" s="81" t="s">
        <v>488</v>
      </c>
      <c r="L123" s="81" t="s">
        <v>102</v>
      </c>
      <c r="M123" s="81" t="s">
        <v>8373</v>
      </c>
      <c r="N123" s="81" t="s">
        <v>272</v>
      </c>
      <c r="O123" s="81" t="s">
        <v>29</v>
      </c>
      <c r="P123" s="9"/>
      <c r="Q123" s="8"/>
      <c r="R123" s="8"/>
      <c r="S123" s="8"/>
      <c r="T123" s="81" t="s">
        <v>8247</v>
      </c>
      <c r="U123" s="81" t="s">
        <v>1654</v>
      </c>
      <c r="V123" s="8"/>
      <c r="W123" s="8"/>
      <c r="X123" s="8" t="s">
        <v>1690</v>
      </c>
      <c r="Y123" s="81" t="s">
        <v>33</v>
      </c>
      <c r="Z123" s="8"/>
      <c r="AA123" s="81" t="s">
        <v>240</v>
      </c>
      <c r="AB123" s="8"/>
      <c r="AC123" s="8"/>
      <c r="AD123" s="81" t="s">
        <v>491</v>
      </c>
      <c r="AE123" s="81" t="s">
        <v>8152</v>
      </c>
      <c r="AF123" s="81" t="s">
        <v>492</v>
      </c>
      <c r="AG123" s="81" t="s">
        <v>491</v>
      </c>
      <c r="AH123" s="8"/>
      <c r="AI123" s="8"/>
      <c r="AJ123" s="8"/>
      <c r="AK123" s="8"/>
      <c r="AL123" s="8"/>
      <c r="AM123" s="81" t="s">
        <v>243</v>
      </c>
      <c r="AN123" s="8"/>
      <c r="AO123" s="8"/>
      <c r="AP123" s="8"/>
      <c r="AQ123" s="8"/>
      <c r="AR123" s="9">
        <v>43805</v>
      </c>
      <c r="AS123" s="8" t="s">
        <v>8374</v>
      </c>
      <c r="AT123" s="8" t="s">
        <v>348</v>
      </c>
      <c r="AU123" s="9"/>
      <c r="AV123" s="81" t="s">
        <v>322</v>
      </c>
      <c r="AW123" s="81" t="s">
        <v>492</v>
      </c>
      <c r="AX123" s="8" t="s">
        <v>1691</v>
      </c>
      <c r="AY123" s="8"/>
      <c r="AZ123" s="8" t="s">
        <v>8375</v>
      </c>
      <c r="BA123" s="81" t="s">
        <v>399</v>
      </c>
      <c r="BB123" s="8"/>
      <c r="BC123" s="8"/>
      <c r="BD123" s="8"/>
      <c r="BE123" s="81" t="s">
        <v>261</v>
      </c>
      <c r="BF123" s="8" t="s">
        <v>1692</v>
      </c>
      <c r="BG123" s="9">
        <v>51608</v>
      </c>
      <c r="BH123" s="81" t="s">
        <v>81</v>
      </c>
      <c r="BI123" s="81" t="s">
        <v>1032</v>
      </c>
      <c r="BJ123" s="9">
        <v>40422</v>
      </c>
      <c r="BK123" s="9">
        <v>41821</v>
      </c>
      <c r="BL123" s="81" t="s">
        <v>662</v>
      </c>
      <c r="BM123" s="81" t="s">
        <v>82</v>
      </c>
      <c r="BN123" s="8"/>
      <c r="BO123" s="8"/>
      <c r="BP123" s="8"/>
      <c r="BQ123" s="9"/>
      <c r="BR123" s="9"/>
      <c r="BS123" s="8"/>
      <c r="BT123" s="81" t="s">
        <v>1695</v>
      </c>
      <c r="BU123" s="81" t="s">
        <v>118</v>
      </c>
      <c r="BV123" s="8" t="s">
        <v>1696</v>
      </c>
      <c r="BW123" s="81" t="s">
        <v>492</v>
      </c>
      <c r="BX123" s="81" t="s">
        <v>337</v>
      </c>
      <c r="BY123" s="9">
        <v>45413</v>
      </c>
      <c r="BZ123" s="9">
        <v>47238</v>
      </c>
      <c r="CA123" s="8" t="s">
        <v>63</v>
      </c>
    </row>
    <row r="124" spans="1:79" ht="205.2" x14ac:dyDescent="0.25">
      <c r="A124" s="81" t="s">
        <v>1697</v>
      </c>
      <c r="B124" s="8"/>
      <c r="C124" s="81" t="s">
        <v>26</v>
      </c>
      <c r="D124" s="8" t="s">
        <v>7896</v>
      </c>
      <c r="E124" s="8"/>
      <c r="F124" s="9">
        <v>31498</v>
      </c>
      <c r="G124" s="8" t="s">
        <v>1698</v>
      </c>
      <c r="H124" s="81" t="s">
        <v>250</v>
      </c>
      <c r="I124" s="81" t="s">
        <v>251</v>
      </c>
      <c r="J124" s="81" t="s">
        <v>270</v>
      </c>
      <c r="K124" s="81" t="s">
        <v>394</v>
      </c>
      <c r="L124" s="81" t="s">
        <v>102</v>
      </c>
      <c r="M124" s="81" t="s">
        <v>1699</v>
      </c>
      <c r="N124" s="81" t="s">
        <v>119</v>
      </c>
      <c r="O124" s="81" t="s">
        <v>253</v>
      </c>
      <c r="P124" s="9"/>
      <c r="Q124" s="8"/>
      <c r="R124" s="8"/>
      <c r="S124" s="8"/>
      <c r="T124" s="8"/>
      <c r="U124" s="8"/>
      <c r="V124" s="8"/>
      <c r="W124" s="8"/>
      <c r="X124" s="8" t="s">
        <v>1700</v>
      </c>
      <c r="Y124" s="81" t="s">
        <v>33</v>
      </c>
      <c r="Z124" s="8"/>
      <c r="AA124" s="81" t="s">
        <v>1701</v>
      </c>
      <c r="AB124" s="8"/>
      <c r="AC124" s="8"/>
      <c r="AD124" s="81" t="s">
        <v>344</v>
      </c>
      <c r="AE124" s="81" t="s">
        <v>8129</v>
      </c>
      <c r="AF124" s="81" t="s">
        <v>242</v>
      </c>
      <c r="AG124" s="81" t="s">
        <v>345</v>
      </c>
      <c r="AH124" s="81" t="s">
        <v>346</v>
      </c>
      <c r="AI124" s="81" t="s">
        <v>344</v>
      </c>
      <c r="AJ124" s="8"/>
      <c r="AK124" s="8"/>
      <c r="AL124" s="8"/>
      <c r="AM124" s="81" t="s">
        <v>243</v>
      </c>
      <c r="AN124" s="8"/>
      <c r="AO124" s="8"/>
      <c r="AP124" s="8"/>
      <c r="AQ124" s="8"/>
      <c r="AR124" s="9">
        <v>43770</v>
      </c>
      <c r="AS124" s="8" t="s">
        <v>8376</v>
      </c>
      <c r="AT124" s="8" t="s">
        <v>348</v>
      </c>
      <c r="AU124" s="9"/>
      <c r="AV124" s="81" t="s">
        <v>322</v>
      </c>
      <c r="AW124" s="81" t="s">
        <v>242</v>
      </c>
      <c r="AX124" s="8" t="s">
        <v>1702</v>
      </c>
      <c r="AY124" s="8"/>
      <c r="AZ124" s="8" t="s">
        <v>8377</v>
      </c>
      <c r="BA124" s="81" t="s">
        <v>556</v>
      </c>
      <c r="BB124" s="8"/>
      <c r="BC124" s="8"/>
      <c r="BD124" s="8"/>
      <c r="BE124" s="81" t="s">
        <v>261</v>
      </c>
      <c r="BF124" s="8" t="s">
        <v>1703</v>
      </c>
      <c r="BG124" s="9">
        <v>50961</v>
      </c>
      <c r="BH124" s="81" t="s">
        <v>1705</v>
      </c>
      <c r="BI124" s="81" t="s">
        <v>1706</v>
      </c>
      <c r="BJ124" s="9">
        <v>245</v>
      </c>
      <c r="BK124" s="9"/>
      <c r="BL124" s="8"/>
      <c r="BM124" s="8"/>
      <c r="BN124" s="8"/>
      <c r="BO124" s="8"/>
      <c r="BP124" s="8"/>
      <c r="BQ124" s="9"/>
      <c r="BR124" s="9"/>
      <c r="BS124" s="8"/>
      <c r="BT124" s="8"/>
      <c r="BU124" s="8"/>
      <c r="BV124" s="8"/>
      <c r="BW124" s="81" t="s">
        <v>242</v>
      </c>
      <c r="BX124" s="81" t="s">
        <v>337</v>
      </c>
      <c r="BY124" s="9">
        <v>45870</v>
      </c>
      <c r="BZ124" s="9">
        <v>47238</v>
      </c>
      <c r="CA124" s="8" t="s">
        <v>245</v>
      </c>
    </row>
    <row r="125" spans="1:79" ht="157.19999999999999" x14ac:dyDescent="0.25">
      <c r="A125" s="81" t="s">
        <v>1707</v>
      </c>
      <c r="B125" s="8"/>
      <c r="C125" s="81" t="s">
        <v>26</v>
      </c>
      <c r="D125" s="8" t="s">
        <v>7897</v>
      </c>
      <c r="E125" s="8"/>
      <c r="F125" s="9">
        <v>32402</v>
      </c>
      <c r="G125" s="8" t="s">
        <v>1571</v>
      </c>
      <c r="H125" s="81" t="s">
        <v>250</v>
      </c>
      <c r="I125" s="81" t="s">
        <v>27</v>
      </c>
      <c r="J125" s="81" t="s">
        <v>252</v>
      </c>
      <c r="K125" s="81" t="s">
        <v>415</v>
      </c>
      <c r="L125" s="81" t="s">
        <v>102</v>
      </c>
      <c r="M125" s="81" t="s">
        <v>8378</v>
      </c>
      <c r="N125" s="81" t="s">
        <v>119</v>
      </c>
      <c r="O125" s="81" t="s">
        <v>29</v>
      </c>
      <c r="P125" s="9"/>
      <c r="Q125" s="8"/>
      <c r="R125" s="8"/>
      <c r="S125" s="8"/>
      <c r="T125" s="81" t="s">
        <v>8247</v>
      </c>
      <c r="U125" s="81" t="s">
        <v>8379</v>
      </c>
      <c r="V125" s="8"/>
      <c r="W125" s="8"/>
      <c r="X125" s="8" t="s">
        <v>1709</v>
      </c>
      <c r="Y125" s="81" t="s">
        <v>33</v>
      </c>
      <c r="Z125" s="8"/>
      <c r="AA125" s="81" t="s">
        <v>506</v>
      </c>
      <c r="AB125" s="8"/>
      <c r="AC125" s="8"/>
      <c r="AD125" s="81" t="s">
        <v>655</v>
      </c>
      <c r="AE125" s="81" t="s">
        <v>8178</v>
      </c>
      <c r="AF125" s="81" t="s">
        <v>242</v>
      </c>
      <c r="AG125" s="81" t="s">
        <v>655</v>
      </c>
      <c r="AH125" s="8"/>
      <c r="AI125" s="8"/>
      <c r="AJ125" s="8"/>
      <c r="AK125" s="8"/>
      <c r="AL125" s="8"/>
      <c r="AM125" s="81" t="s">
        <v>243</v>
      </c>
      <c r="AN125" s="8"/>
      <c r="AO125" s="8"/>
      <c r="AP125" s="8"/>
      <c r="AQ125" s="8"/>
      <c r="AR125" s="9">
        <v>43761</v>
      </c>
      <c r="AS125" s="8" t="s">
        <v>8376</v>
      </c>
      <c r="AT125" s="8" t="s">
        <v>348</v>
      </c>
      <c r="AU125" s="9"/>
      <c r="AV125" s="81" t="s">
        <v>322</v>
      </c>
      <c r="AW125" s="81" t="s">
        <v>242</v>
      </c>
      <c r="AX125" s="8" t="s">
        <v>1711</v>
      </c>
      <c r="AY125" s="8"/>
      <c r="AZ125" s="8" t="s">
        <v>8380</v>
      </c>
      <c r="BA125" s="81" t="s">
        <v>399</v>
      </c>
      <c r="BB125" s="8"/>
      <c r="BC125" s="8"/>
      <c r="BD125" s="8"/>
      <c r="BE125" s="81" t="s">
        <v>261</v>
      </c>
      <c r="BF125" s="8" t="s">
        <v>1712</v>
      </c>
      <c r="BG125" s="9">
        <v>50344</v>
      </c>
      <c r="BH125" s="81" t="s">
        <v>81</v>
      </c>
      <c r="BI125" s="81" t="s">
        <v>752</v>
      </c>
      <c r="BJ125" s="9">
        <v>38961</v>
      </c>
      <c r="BK125" s="9">
        <v>40360</v>
      </c>
      <c r="BL125" s="81" t="s">
        <v>786</v>
      </c>
      <c r="BM125" s="81" t="s">
        <v>82</v>
      </c>
      <c r="BN125" s="8"/>
      <c r="BO125" s="8"/>
      <c r="BP125" s="8"/>
      <c r="BQ125" s="9"/>
      <c r="BR125" s="9"/>
      <c r="BS125" s="8"/>
      <c r="BT125" s="8"/>
      <c r="BU125" s="8"/>
      <c r="BV125" s="8"/>
      <c r="BW125" s="81" t="s">
        <v>242</v>
      </c>
      <c r="BX125" s="81" t="s">
        <v>1556</v>
      </c>
      <c r="BY125" s="9">
        <v>43761</v>
      </c>
      <c r="BZ125" s="9"/>
      <c r="CA125" s="8" t="s">
        <v>63</v>
      </c>
    </row>
    <row r="126" spans="1:79" ht="173.4" x14ac:dyDescent="0.25">
      <c r="A126" s="81" t="s">
        <v>1714</v>
      </c>
      <c r="B126" s="8"/>
      <c r="C126" s="81" t="s">
        <v>26</v>
      </c>
      <c r="D126" s="8" t="s">
        <v>7898</v>
      </c>
      <c r="E126" s="8"/>
      <c r="F126" s="9">
        <v>30701</v>
      </c>
      <c r="G126" s="8" t="s">
        <v>1678</v>
      </c>
      <c r="H126" s="81" t="s">
        <v>250</v>
      </c>
      <c r="I126" s="81" t="s">
        <v>27</v>
      </c>
      <c r="J126" s="81" t="s">
        <v>270</v>
      </c>
      <c r="K126" s="81" t="s">
        <v>1715</v>
      </c>
      <c r="L126" s="81" t="s">
        <v>416</v>
      </c>
      <c r="M126" s="81" t="s">
        <v>1716</v>
      </c>
      <c r="N126" s="81" t="s">
        <v>119</v>
      </c>
      <c r="O126" s="81" t="s">
        <v>29</v>
      </c>
      <c r="P126" s="9"/>
      <c r="Q126" s="8"/>
      <c r="R126" s="8"/>
      <c r="S126" s="8"/>
      <c r="T126" s="8"/>
      <c r="U126" s="8"/>
      <c r="V126" s="81" t="s">
        <v>8239</v>
      </c>
      <c r="W126" s="81" t="s">
        <v>1717</v>
      </c>
      <c r="X126" s="8" t="s">
        <v>1718</v>
      </c>
      <c r="Y126" s="81" t="s">
        <v>33</v>
      </c>
      <c r="Z126" s="8"/>
      <c r="AA126" s="81" t="s">
        <v>1444</v>
      </c>
      <c r="AB126" s="8"/>
      <c r="AC126" s="8"/>
      <c r="AD126" s="81" t="s">
        <v>320</v>
      </c>
      <c r="AE126" s="81" t="s">
        <v>8125</v>
      </c>
      <c r="AF126" s="81" t="s">
        <v>242</v>
      </c>
      <c r="AG126" s="81" t="s">
        <v>298</v>
      </c>
      <c r="AH126" s="81" t="s">
        <v>320</v>
      </c>
      <c r="AI126" s="8"/>
      <c r="AJ126" s="8"/>
      <c r="AK126" s="8"/>
      <c r="AL126" s="8"/>
      <c r="AM126" s="81" t="s">
        <v>243</v>
      </c>
      <c r="AN126" s="8"/>
      <c r="AO126" s="8"/>
      <c r="AP126" s="8"/>
      <c r="AQ126" s="8"/>
      <c r="AR126" s="9">
        <v>43683</v>
      </c>
      <c r="AS126" s="8" t="s">
        <v>8193</v>
      </c>
      <c r="AT126" s="8" t="s">
        <v>348</v>
      </c>
      <c r="AU126" s="9"/>
      <c r="AV126" s="81" t="s">
        <v>322</v>
      </c>
      <c r="AW126" s="81" t="s">
        <v>242</v>
      </c>
      <c r="AX126" s="8" t="s">
        <v>1720</v>
      </c>
      <c r="AY126" s="8"/>
      <c r="AZ126" s="8" t="s">
        <v>8381</v>
      </c>
      <c r="BA126" s="81" t="s">
        <v>361</v>
      </c>
      <c r="BB126" s="8"/>
      <c r="BC126" s="8"/>
      <c r="BD126" s="8"/>
      <c r="BE126" s="81" t="s">
        <v>261</v>
      </c>
      <c r="BF126" s="8" t="s">
        <v>1721</v>
      </c>
      <c r="BG126" s="9">
        <v>50798</v>
      </c>
      <c r="BH126" s="81" t="s">
        <v>120</v>
      </c>
      <c r="BI126" s="81" t="s">
        <v>1723</v>
      </c>
      <c r="BJ126" s="9">
        <v>36373</v>
      </c>
      <c r="BK126" s="9">
        <v>37386</v>
      </c>
      <c r="BL126" s="8"/>
      <c r="BM126" s="8"/>
      <c r="BN126" s="8"/>
      <c r="BO126" s="8"/>
      <c r="BP126" s="8"/>
      <c r="BQ126" s="9"/>
      <c r="BR126" s="9"/>
      <c r="BS126" s="8"/>
      <c r="BT126" s="8"/>
      <c r="BU126" s="8"/>
      <c r="BV126" s="8"/>
      <c r="BW126" s="81" t="s">
        <v>242</v>
      </c>
      <c r="BX126" s="81" t="s">
        <v>337</v>
      </c>
      <c r="BY126" s="9">
        <v>43683</v>
      </c>
      <c r="BZ126" s="9">
        <v>46599</v>
      </c>
      <c r="CA126" s="8" t="s">
        <v>257</v>
      </c>
    </row>
    <row r="127" spans="1:79" ht="157.19999999999999" x14ac:dyDescent="0.25">
      <c r="A127" s="81" t="s">
        <v>1726</v>
      </c>
      <c r="B127" s="8"/>
      <c r="C127" s="81" t="s">
        <v>26</v>
      </c>
      <c r="D127" s="8" t="s">
        <v>7899</v>
      </c>
      <c r="E127" s="8" t="s">
        <v>1727</v>
      </c>
      <c r="F127" s="9">
        <v>35363</v>
      </c>
      <c r="G127" s="8" t="s">
        <v>529</v>
      </c>
      <c r="H127" s="81" t="s">
        <v>250</v>
      </c>
      <c r="I127" s="81" t="s">
        <v>27</v>
      </c>
      <c r="J127" s="81" t="s">
        <v>270</v>
      </c>
      <c r="K127" s="81" t="s">
        <v>488</v>
      </c>
      <c r="L127" s="81" t="s">
        <v>102</v>
      </c>
      <c r="M127" s="81" t="s">
        <v>8382</v>
      </c>
      <c r="N127" s="81" t="s">
        <v>272</v>
      </c>
      <c r="O127" s="81" t="s">
        <v>29</v>
      </c>
      <c r="P127" s="9"/>
      <c r="Q127" s="8"/>
      <c r="R127" s="8"/>
      <c r="S127" s="8"/>
      <c r="T127" s="81" t="s">
        <v>8141</v>
      </c>
      <c r="U127" s="81" t="s">
        <v>1156</v>
      </c>
      <c r="V127" s="8"/>
      <c r="W127" s="8"/>
      <c r="X127" s="8" t="s">
        <v>1728</v>
      </c>
      <c r="Y127" s="81" t="s">
        <v>33</v>
      </c>
      <c r="Z127" s="8"/>
      <c r="AA127" s="81" t="s">
        <v>240</v>
      </c>
      <c r="AB127" s="8"/>
      <c r="AC127" s="8"/>
      <c r="AD127" s="81" t="s">
        <v>655</v>
      </c>
      <c r="AE127" s="81" t="s">
        <v>8178</v>
      </c>
      <c r="AF127" s="81" t="s">
        <v>242</v>
      </c>
      <c r="AG127" s="81" t="s">
        <v>655</v>
      </c>
      <c r="AH127" s="8"/>
      <c r="AI127" s="8"/>
      <c r="AJ127" s="8"/>
      <c r="AK127" s="8"/>
      <c r="AL127" s="8"/>
      <c r="AM127" s="81" t="s">
        <v>243</v>
      </c>
      <c r="AN127" s="8"/>
      <c r="AO127" s="8"/>
      <c r="AP127" s="8"/>
      <c r="AQ127" s="8"/>
      <c r="AR127" s="9">
        <v>43656</v>
      </c>
      <c r="AS127" s="8" t="s">
        <v>8182</v>
      </c>
      <c r="AT127" s="8" t="s">
        <v>348</v>
      </c>
      <c r="AU127" s="9"/>
      <c r="AV127" s="81" t="s">
        <v>322</v>
      </c>
      <c r="AW127" s="81" t="s">
        <v>242</v>
      </c>
      <c r="AX127" s="8" t="s">
        <v>1730</v>
      </c>
      <c r="AY127" s="8"/>
      <c r="AZ127" s="8" t="s">
        <v>8383</v>
      </c>
      <c r="BA127" s="81" t="s">
        <v>399</v>
      </c>
      <c r="BB127" s="8"/>
      <c r="BC127" s="8"/>
      <c r="BD127" s="8"/>
      <c r="BE127" s="81" t="s">
        <v>261</v>
      </c>
      <c r="BF127" s="8" t="s">
        <v>1732</v>
      </c>
      <c r="BG127" s="9">
        <v>52614</v>
      </c>
      <c r="BH127" s="81" t="s">
        <v>81</v>
      </c>
      <c r="BI127" s="81" t="s">
        <v>1734</v>
      </c>
      <c r="BJ127" s="9">
        <v>41518</v>
      </c>
      <c r="BK127" s="9">
        <v>43356</v>
      </c>
      <c r="BL127" s="81" t="s">
        <v>1156</v>
      </c>
      <c r="BM127" s="81" t="s">
        <v>82</v>
      </c>
      <c r="BN127" s="8"/>
      <c r="BO127" s="8"/>
      <c r="BP127" s="8"/>
      <c r="BQ127" s="9"/>
      <c r="BR127" s="9"/>
      <c r="BS127" s="8"/>
      <c r="BT127" s="8"/>
      <c r="BU127" s="8"/>
      <c r="BV127" s="8"/>
      <c r="BW127" s="81" t="s">
        <v>242</v>
      </c>
      <c r="BX127" s="81" t="s">
        <v>337</v>
      </c>
      <c r="BY127" s="9">
        <v>43656</v>
      </c>
      <c r="BZ127" s="9">
        <v>46234</v>
      </c>
      <c r="CA127" s="8" t="s">
        <v>63</v>
      </c>
    </row>
    <row r="128" spans="1:79" ht="189.6" x14ac:dyDescent="0.25">
      <c r="A128" s="81" t="s">
        <v>1736</v>
      </c>
      <c r="B128" s="8"/>
      <c r="C128" s="81" t="s">
        <v>26</v>
      </c>
      <c r="D128" s="8" t="s">
        <v>7900</v>
      </c>
      <c r="E128" s="8" t="s">
        <v>1737</v>
      </c>
      <c r="F128" s="9">
        <v>35648</v>
      </c>
      <c r="G128" s="8" t="s">
        <v>819</v>
      </c>
      <c r="H128" s="81" t="s">
        <v>250</v>
      </c>
      <c r="I128" s="81" t="s">
        <v>435</v>
      </c>
      <c r="J128" s="81" t="s">
        <v>270</v>
      </c>
      <c r="K128" s="81" t="s">
        <v>608</v>
      </c>
      <c r="L128" s="81" t="s">
        <v>102</v>
      </c>
      <c r="M128" s="81" t="s">
        <v>8384</v>
      </c>
      <c r="N128" s="81" t="s">
        <v>272</v>
      </c>
      <c r="O128" s="81" t="s">
        <v>29</v>
      </c>
      <c r="P128" s="9"/>
      <c r="Q128" s="8"/>
      <c r="R128" s="8"/>
      <c r="S128" s="8"/>
      <c r="T128" s="8"/>
      <c r="U128" s="8"/>
      <c r="V128" s="8"/>
      <c r="W128" s="8"/>
      <c r="X128" s="8" t="s">
        <v>1738</v>
      </c>
      <c r="Y128" s="81" t="s">
        <v>33</v>
      </c>
      <c r="Z128" s="8"/>
      <c r="AA128" s="81" t="s">
        <v>1739</v>
      </c>
      <c r="AB128" s="8"/>
      <c r="AC128" s="8"/>
      <c r="AD128" s="81" t="s">
        <v>1740</v>
      </c>
      <c r="AE128" s="81" t="s">
        <v>8385</v>
      </c>
      <c r="AF128" s="81" t="s">
        <v>242</v>
      </c>
      <c r="AG128" s="81" t="s">
        <v>345</v>
      </c>
      <c r="AH128" s="81" t="s">
        <v>346</v>
      </c>
      <c r="AI128" s="81" t="s">
        <v>1740</v>
      </c>
      <c r="AJ128" s="8"/>
      <c r="AK128" s="8"/>
      <c r="AL128" s="8"/>
      <c r="AM128" s="81" t="s">
        <v>243</v>
      </c>
      <c r="AN128" s="8"/>
      <c r="AO128" s="8"/>
      <c r="AP128" s="8"/>
      <c r="AQ128" s="8"/>
      <c r="AR128" s="9">
        <v>43647</v>
      </c>
      <c r="AS128" s="8" t="s">
        <v>8182</v>
      </c>
      <c r="AT128" s="8" t="s">
        <v>348</v>
      </c>
      <c r="AU128" s="9"/>
      <c r="AV128" s="81" t="s">
        <v>322</v>
      </c>
      <c r="AW128" s="81" t="s">
        <v>242</v>
      </c>
      <c r="AX128" s="8" t="s">
        <v>1741</v>
      </c>
      <c r="AY128" s="8"/>
      <c r="AZ128" s="8" t="s">
        <v>8386</v>
      </c>
      <c r="BA128" s="81" t="s">
        <v>556</v>
      </c>
      <c r="BB128" s="8"/>
      <c r="BC128" s="8"/>
      <c r="BD128" s="8"/>
      <c r="BE128" s="81" t="s">
        <v>261</v>
      </c>
      <c r="BF128" s="8" t="s">
        <v>1742</v>
      </c>
      <c r="BG128" s="9">
        <v>53156</v>
      </c>
      <c r="BH128" s="81" t="s">
        <v>305</v>
      </c>
      <c r="BI128" s="81" t="s">
        <v>559</v>
      </c>
      <c r="BJ128" s="9">
        <v>42614</v>
      </c>
      <c r="BK128" s="9">
        <v>43647</v>
      </c>
      <c r="BL128" s="81" t="s">
        <v>1744</v>
      </c>
      <c r="BM128" s="8"/>
      <c r="BN128" s="8"/>
      <c r="BO128" s="8"/>
      <c r="BP128" s="8"/>
      <c r="BQ128" s="9"/>
      <c r="BR128" s="9"/>
      <c r="BS128" s="8"/>
      <c r="BT128" s="8"/>
      <c r="BU128" s="8"/>
      <c r="BV128" s="8"/>
      <c r="BW128" s="81" t="s">
        <v>242</v>
      </c>
      <c r="BX128" s="81" t="s">
        <v>337</v>
      </c>
      <c r="BY128" s="9">
        <v>45870</v>
      </c>
      <c r="BZ128" s="9">
        <v>46142</v>
      </c>
      <c r="CA128" s="8" t="s">
        <v>245</v>
      </c>
    </row>
    <row r="129" spans="1:79" ht="157.19999999999999" x14ac:dyDescent="0.25">
      <c r="A129" s="81" t="s">
        <v>1745</v>
      </c>
      <c r="B129" s="8"/>
      <c r="C129" s="81" t="s">
        <v>26</v>
      </c>
      <c r="D129" s="8" t="s">
        <v>7901</v>
      </c>
      <c r="E129" s="8"/>
      <c r="F129" s="9">
        <v>31135</v>
      </c>
      <c r="G129" s="8" t="s">
        <v>1746</v>
      </c>
      <c r="H129" s="81" t="s">
        <v>250</v>
      </c>
      <c r="I129" s="81" t="s">
        <v>27</v>
      </c>
      <c r="J129" s="81" t="s">
        <v>474</v>
      </c>
      <c r="K129" s="81" t="s">
        <v>1747</v>
      </c>
      <c r="L129" s="81" t="s">
        <v>1748</v>
      </c>
      <c r="M129" s="81" t="s">
        <v>8387</v>
      </c>
      <c r="N129" s="81" t="s">
        <v>119</v>
      </c>
      <c r="O129" s="81" t="s">
        <v>253</v>
      </c>
      <c r="P129" s="9"/>
      <c r="Q129" s="8"/>
      <c r="R129" s="8"/>
      <c r="S129" s="8"/>
      <c r="T129" s="81" t="s">
        <v>8247</v>
      </c>
      <c r="U129" s="81" t="s">
        <v>1654</v>
      </c>
      <c r="V129" s="8"/>
      <c r="W129" s="8"/>
      <c r="X129" s="8" t="s">
        <v>1749</v>
      </c>
      <c r="Y129" s="81" t="s">
        <v>33</v>
      </c>
      <c r="Z129" s="8"/>
      <c r="AA129" s="81" t="s">
        <v>1097</v>
      </c>
      <c r="AB129" s="8"/>
      <c r="AC129" s="8"/>
      <c r="AD129" s="81" t="s">
        <v>861</v>
      </c>
      <c r="AE129" s="81" t="s">
        <v>8220</v>
      </c>
      <c r="AF129" s="81" t="s">
        <v>492</v>
      </c>
      <c r="AG129" s="81" t="s">
        <v>861</v>
      </c>
      <c r="AH129" s="8"/>
      <c r="AI129" s="8"/>
      <c r="AJ129" s="8"/>
      <c r="AK129" s="8"/>
      <c r="AL129" s="8"/>
      <c r="AM129" s="81" t="s">
        <v>243</v>
      </c>
      <c r="AN129" s="8"/>
      <c r="AO129" s="8"/>
      <c r="AP129" s="8"/>
      <c r="AQ129" s="8"/>
      <c r="AR129" s="9">
        <v>43647</v>
      </c>
      <c r="AS129" s="8" t="s">
        <v>8182</v>
      </c>
      <c r="AT129" s="8" t="s">
        <v>348</v>
      </c>
      <c r="AU129" s="9"/>
      <c r="AV129" s="81" t="s">
        <v>322</v>
      </c>
      <c r="AW129" s="81" t="s">
        <v>492</v>
      </c>
      <c r="AX129" s="8" t="s">
        <v>1750</v>
      </c>
      <c r="AY129" s="8"/>
      <c r="AZ129" s="8" t="s">
        <v>8388</v>
      </c>
      <c r="BA129" s="81" t="s">
        <v>399</v>
      </c>
      <c r="BB129" s="8"/>
      <c r="BC129" s="8"/>
      <c r="BD129" s="8"/>
      <c r="BE129" s="81" t="s">
        <v>261</v>
      </c>
      <c r="BF129" s="8" t="s">
        <v>1751</v>
      </c>
      <c r="BG129" s="9">
        <v>50660</v>
      </c>
      <c r="BH129" s="81" t="s">
        <v>81</v>
      </c>
      <c r="BI129" s="81" t="s">
        <v>1753</v>
      </c>
      <c r="BJ129" s="9">
        <v>38961</v>
      </c>
      <c r="BK129" s="9">
        <v>40357</v>
      </c>
      <c r="BL129" s="81" t="s">
        <v>662</v>
      </c>
      <c r="BM129" s="81" t="s">
        <v>82</v>
      </c>
      <c r="BN129" s="8"/>
      <c r="BO129" s="8"/>
      <c r="BP129" s="8"/>
      <c r="BQ129" s="9"/>
      <c r="BR129" s="9"/>
      <c r="BS129" s="8"/>
      <c r="BT129" s="8"/>
      <c r="BU129" s="8"/>
      <c r="BV129" s="8"/>
      <c r="BW129" s="81" t="s">
        <v>492</v>
      </c>
      <c r="BX129" s="81" t="s">
        <v>337</v>
      </c>
      <c r="BY129" s="9">
        <v>43836</v>
      </c>
      <c r="BZ129" s="9">
        <v>46873</v>
      </c>
      <c r="CA129" s="8" t="s">
        <v>257</v>
      </c>
    </row>
    <row r="130" spans="1:79" ht="141.6" x14ac:dyDescent="0.25">
      <c r="A130" s="81" t="s">
        <v>1755</v>
      </c>
      <c r="B130" s="8"/>
      <c r="C130" s="81" t="s">
        <v>26</v>
      </c>
      <c r="D130" s="8" t="s">
        <v>7902</v>
      </c>
      <c r="E130" s="8"/>
      <c r="F130" s="9">
        <v>36712</v>
      </c>
      <c r="G130" s="8" t="s">
        <v>972</v>
      </c>
      <c r="H130" s="81" t="s">
        <v>250</v>
      </c>
      <c r="I130" s="81" t="s">
        <v>27</v>
      </c>
      <c r="J130" s="81" t="s">
        <v>293</v>
      </c>
      <c r="K130" s="81" t="s">
        <v>294</v>
      </c>
      <c r="L130" s="81" t="s">
        <v>102</v>
      </c>
      <c r="M130" s="81" t="s">
        <v>8389</v>
      </c>
      <c r="N130" s="81" t="s">
        <v>119</v>
      </c>
      <c r="O130" s="81" t="s">
        <v>253</v>
      </c>
      <c r="P130" s="9"/>
      <c r="Q130" s="8"/>
      <c r="R130" s="8"/>
      <c r="S130" s="8"/>
      <c r="T130" s="8"/>
      <c r="U130" s="8"/>
      <c r="V130" s="8"/>
      <c r="W130" s="8"/>
      <c r="X130" s="8" t="s">
        <v>1756</v>
      </c>
      <c r="Y130" s="81" t="s">
        <v>33</v>
      </c>
      <c r="Z130" s="8"/>
      <c r="AA130" s="81" t="s">
        <v>593</v>
      </c>
      <c r="AB130" s="8"/>
      <c r="AC130" s="8"/>
      <c r="AD130" s="81" t="s">
        <v>553</v>
      </c>
      <c r="AE130" s="81" t="s">
        <v>8194</v>
      </c>
      <c r="AF130" s="81" t="s">
        <v>492</v>
      </c>
      <c r="AG130" s="81" t="s">
        <v>553</v>
      </c>
      <c r="AH130" s="8"/>
      <c r="AI130" s="8"/>
      <c r="AJ130" s="8"/>
      <c r="AK130" s="8"/>
      <c r="AL130" s="8"/>
      <c r="AM130" s="81" t="s">
        <v>243</v>
      </c>
      <c r="AN130" s="8"/>
      <c r="AO130" s="8"/>
      <c r="AP130" s="8"/>
      <c r="AQ130" s="8"/>
      <c r="AR130" s="9">
        <v>43647</v>
      </c>
      <c r="AS130" s="8" t="s">
        <v>8182</v>
      </c>
      <c r="AT130" s="8" t="s">
        <v>348</v>
      </c>
      <c r="AU130" s="9"/>
      <c r="AV130" s="81" t="s">
        <v>322</v>
      </c>
      <c r="AW130" s="81" t="s">
        <v>492</v>
      </c>
      <c r="AX130" s="8" t="s">
        <v>1757</v>
      </c>
      <c r="AY130" s="8"/>
      <c r="AZ130" s="8" t="s">
        <v>8390</v>
      </c>
      <c r="BA130" s="81" t="s">
        <v>556</v>
      </c>
      <c r="BB130" s="8"/>
      <c r="BC130" s="8"/>
      <c r="BD130" s="8"/>
      <c r="BE130" s="81" t="s">
        <v>261</v>
      </c>
      <c r="BF130" s="8" t="s">
        <v>1759</v>
      </c>
      <c r="BG130" s="9">
        <v>47536</v>
      </c>
      <c r="BH130" s="81" t="s">
        <v>305</v>
      </c>
      <c r="BI130" s="81" t="s">
        <v>1761</v>
      </c>
      <c r="BJ130" s="9">
        <v>42614</v>
      </c>
      <c r="BK130" s="9">
        <v>43647</v>
      </c>
      <c r="BL130" s="81" t="s">
        <v>1762</v>
      </c>
      <c r="BM130" s="8"/>
      <c r="BN130" s="8"/>
      <c r="BO130" s="8"/>
      <c r="BP130" s="8"/>
      <c r="BQ130" s="9"/>
      <c r="BR130" s="9"/>
      <c r="BS130" s="8"/>
      <c r="BT130" s="8"/>
      <c r="BU130" s="8"/>
      <c r="BV130" s="8"/>
      <c r="BW130" s="81" t="s">
        <v>492</v>
      </c>
      <c r="BX130" s="81" t="s">
        <v>337</v>
      </c>
      <c r="BY130" s="9">
        <v>43836</v>
      </c>
      <c r="BZ130" s="9">
        <v>46142</v>
      </c>
      <c r="CA130" s="8" t="s">
        <v>257</v>
      </c>
    </row>
    <row r="131" spans="1:79" ht="141.6" x14ac:dyDescent="0.25">
      <c r="A131" s="81" t="s">
        <v>1763</v>
      </c>
      <c r="B131" s="8"/>
      <c r="C131" s="81" t="s">
        <v>26</v>
      </c>
      <c r="D131" s="8" t="s">
        <v>7903</v>
      </c>
      <c r="E131" s="8"/>
      <c r="F131" s="9">
        <v>35203</v>
      </c>
      <c r="G131" s="8" t="s">
        <v>529</v>
      </c>
      <c r="H131" s="81" t="s">
        <v>250</v>
      </c>
      <c r="I131" s="81" t="s">
        <v>27</v>
      </c>
      <c r="J131" s="81" t="s">
        <v>270</v>
      </c>
      <c r="K131" s="81" t="s">
        <v>1764</v>
      </c>
      <c r="L131" s="81" t="s">
        <v>1765</v>
      </c>
      <c r="M131" s="81" t="s">
        <v>8391</v>
      </c>
      <c r="N131" s="81" t="s">
        <v>119</v>
      </c>
      <c r="O131" s="81" t="s">
        <v>253</v>
      </c>
      <c r="P131" s="9"/>
      <c r="Q131" s="8"/>
      <c r="R131" s="8"/>
      <c r="S131" s="8"/>
      <c r="T131" s="8"/>
      <c r="U131" s="8"/>
      <c r="V131" s="8"/>
      <c r="W131" s="8"/>
      <c r="X131" s="8" t="s">
        <v>1766</v>
      </c>
      <c r="Y131" s="81" t="s">
        <v>33</v>
      </c>
      <c r="Z131" s="8"/>
      <c r="AA131" s="81" t="s">
        <v>616</v>
      </c>
      <c r="AB131" s="8"/>
      <c r="AC131" s="8"/>
      <c r="AD131" s="81" t="s">
        <v>553</v>
      </c>
      <c r="AE131" s="81" t="s">
        <v>8194</v>
      </c>
      <c r="AF131" s="81" t="s">
        <v>492</v>
      </c>
      <c r="AG131" s="81" t="s">
        <v>553</v>
      </c>
      <c r="AH131" s="8"/>
      <c r="AI131" s="8"/>
      <c r="AJ131" s="8"/>
      <c r="AK131" s="8"/>
      <c r="AL131" s="8"/>
      <c r="AM131" s="81" t="s">
        <v>243</v>
      </c>
      <c r="AN131" s="8"/>
      <c r="AO131" s="8"/>
      <c r="AP131" s="8"/>
      <c r="AQ131" s="8"/>
      <c r="AR131" s="9">
        <v>43647</v>
      </c>
      <c r="AS131" s="8" t="s">
        <v>8182</v>
      </c>
      <c r="AT131" s="8" t="s">
        <v>348</v>
      </c>
      <c r="AU131" s="9"/>
      <c r="AV131" s="81" t="s">
        <v>322</v>
      </c>
      <c r="AW131" s="81" t="s">
        <v>492</v>
      </c>
      <c r="AX131" s="8" t="s">
        <v>1767</v>
      </c>
      <c r="AY131" s="8"/>
      <c r="AZ131" s="8" t="s">
        <v>8386</v>
      </c>
      <c r="BA131" s="81" t="s">
        <v>556</v>
      </c>
      <c r="BB131" s="8"/>
      <c r="BC131" s="8"/>
      <c r="BD131" s="8"/>
      <c r="BE131" s="81" t="s">
        <v>261</v>
      </c>
      <c r="BF131" s="8" t="s">
        <v>1768</v>
      </c>
      <c r="BG131" s="9">
        <v>48240</v>
      </c>
      <c r="BH131" s="81" t="s">
        <v>305</v>
      </c>
      <c r="BI131" s="81" t="s">
        <v>1332</v>
      </c>
      <c r="BJ131" s="9">
        <v>42248</v>
      </c>
      <c r="BK131" s="9">
        <v>43646</v>
      </c>
      <c r="BL131" s="81" t="s">
        <v>613</v>
      </c>
      <c r="BM131" s="8"/>
      <c r="BN131" s="8"/>
      <c r="BO131" s="8"/>
      <c r="BP131" s="8"/>
      <c r="BQ131" s="9"/>
      <c r="BR131" s="9"/>
      <c r="BS131" s="8"/>
      <c r="BT131" s="81" t="s">
        <v>1770</v>
      </c>
      <c r="BU131" s="81" t="s">
        <v>266</v>
      </c>
      <c r="BV131" s="8" t="s">
        <v>1771</v>
      </c>
      <c r="BW131" s="81" t="s">
        <v>492</v>
      </c>
      <c r="BX131" s="81" t="s">
        <v>337</v>
      </c>
      <c r="BY131" s="9">
        <v>43836</v>
      </c>
      <c r="BZ131" s="9">
        <v>46142</v>
      </c>
      <c r="CA131" s="8" t="s">
        <v>257</v>
      </c>
    </row>
    <row r="132" spans="1:79" ht="141.6" x14ac:dyDescent="0.25">
      <c r="A132" s="81" t="s">
        <v>1772</v>
      </c>
      <c r="B132" s="8"/>
      <c r="C132" s="81" t="s">
        <v>26</v>
      </c>
      <c r="D132" s="8" t="s">
        <v>7904</v>
      </c>
      <c r="E132" s="8"/>
      <c r="F132" s="9">
        <v>35629</v>
      </c>
      <c r="G132" s="8" t="s">
        <v>819</v>
      </c>
      <c r="H132" s="81" t="s">
        <v>250</v>
      </c>
      <c r="I132" s="81" t="s">
        <v>27</v>
      </c>
      <c r="J132" s="81" t="s">
        <v>293</v>
      </c>
      <c r="K132" s="81" t="s">
        <v>294</v>
      </c>
      <c r="L132" s="81" t="s">
        <v>102</v>
      </c>
      <c r="M132" s="81" t="s">
        <v>8392</v>
      </c>
      <c r="N132" s="81" t="s">
        <v>119</v>
      </c>
      <c r="O132" s="81" t="s">
        <v>253</v>
      </c>
      <c r="P132" s="9"/>
      <c r="Q132" s="8"/>
      <c r="R132" s="8"/>
      <c r="S132" s="8"/>
      <c r="T132" s="8"/>
      <c r="U132" s="8"/>
      <c r="V132" s="8"/>
      <c r="W132" s="8"/>
      <c r="X132" s="8" t="s">
        <v>1773</v>
      </c>
      <c r="Y132" s="81" t="s">
        <v>33</v>
      </c>
      <c r="Z132" s="8"/>
      <c r="AA132" s="81" t="s">
        <v>616</v>
      </c>
      <c r="AB132" s="8"/>
      <c r="AC132" s="8"/>
      <c r="AD132" s="81" t="s">
        <v>553</v>
      </c>
      <c r="AE132" s="81" t="s">
        <v>8194</v>
      </c>
      <c r="AF132" s="81" t="s">
        <v>492</v>
      </c>
      <c r="AG132" s="81" t="s">
        <v>553</v>
      </c>
      <c r="AH132" s="8"/>
      <c r="AI132" s="8"/>
      <c r="AJ132" s="8"/>
      <c r="AK132" s="8"/>
      <c r="AL132" s="8"/>
      <c r="AM132" s="81" t="s">
        <v>243</v>
      </c>
      <c r="AN132" s="8"/>
      <c r="AO132" s="8"/>
      <c r="AP132" s="8"/>
      <c r="AQ132" s="8"/>
      <c r="AR132" s="9">
        <v>43647</v>
      </c>
      <c r="AS132" s="8" t="s">
        <v>8182</v>
      </c>
      <c r="AT132" s="8" t="s">
        <v>348</v>
      </c>
      <c r="AU132" s="9"/>
      <c r="AV132" s="81" t="s">
        <v>322</v>
      </c>
      <c r="AW132" s="81" t="s">
        <v>492</v>
      </c>
      <c r="AX132" s="8" t="s">
        <v>1774</v>
      </c>
      <c r="AY132" s="8"/>
      <c r="AZ132" s="8" t="s">
        <v>8386</v>
      </c>
      <c r="BA132" s="81" t="s">
        <v>556</v>
      </c>
      <c r="BB132" s="8"/>
      <c r="BC132" s="8"/>
      <c r="BD132" s="8"/>
      <c r="BE132" s="81" t="s">
        <v>261</v>
      </c>
      <c r="BF132" s="8" t="s">
        <v>1775</v>
      </c>
      <c r="BG132" s="9">
        <v>46789</v>
      </c>
      <c r="BH132" s="81" t="s">
        <v>305</v>
      </c>
      <c r="BI132" s="81" t="s">
        <v>589</v>
      </c>
      <c r="BJ132" s="9">
        <v>42614</v>
      </c>
      <c r="BK132" s="9">
        <v>43647</v>
      </c>
      <c r="BL132" s="81" t="s">
        <v>1400</v>
      </c>
      <c r="BM132" s="8"/>
      <c r="BN132" s="8"/>
      <c r="BO132" s="8"/>
      <c r="BP132" s="8"/>
      <c r="BQ132" s="9"/>
      <c r="BR132" s="9"/>
      <c r="BS132" s="8"/>
      <c r="BT132" s="8"/>
      <c r="BU132" s="8"/>
      <c r="BV132" s="8"/>
      <c r="BW132" s="81" t="s">
        <v>492</v>
      </c>
      <c r="BX132" s="81" t="s">
        <v>337</v>
      </c>
      <c r="BY132" s="9">
        <v>43836</v>
      </c>
      <c r="BZ132" s="9">
        <v>46142</v>
      </c>
      <c r="CA132" s="8" t="s">
        <v>257</v>
      </c>
    </row>
    <row r="133" spans="1:79" ht="157.19999999999999" x14ac:dyDescent="0.25">
      <c r="A133" s="81" t="s">
        <v>1777</v>
      </c>
      <c r="B133" s="8"/>
      <c r="C133" s="81" t="s">
        <v>26</v>
      </c>
      <c r="D133" s="8" t="s">
        <v>7905</v>
      </c>
      <c r="E133" s="8"/>
      <c r="F133" s="9">
        <v>35872</v>
      </c>
      <c r="G133" s="8" t="s">
        <v>819</v>
      </c>
      <c r="H133" s="81" t="s">
        <v>250</v>
      </c>
      <c r="I133" s="81" t="s">
        <v>27</v>
      </c>
      <c r="J133" s="81" t="s">
        <v>270</v>
      </c>
      <c r="K133" s="81" t="s">
        <v>1458</v>
      </c>
      <c r="L133" s="81" t="s">
        <v>102</v>
      </c>
      <c r="M133" s="81" t="s">
        <v>8393</v>
      </c>
      <c r="N133" s="81" t="s">
        <v>272</v>
      </c>
      <c r="O133" s="81" t="s">
        <v>253</v>
      </c>
      <c r="P133" s="9"/>
      <c r="Q133" s="8"/>
      <c r="R133" s="8"/>
      <c r="S133" s="8"/>
      <c r="T133" s="8"/>
      <c r="U133" s="8"/>
      <c r="V133" s="8"/>
      <c r="W133" s="8"/>
      <c r="X133" s="8" t="s">
        <v>1778</v>
      </c>
      <c r="Y133" s="81" t="s">
        <v>33</v>
      </c>
      <c r="Z133" s="8"/>
      <c r="AA133" s="81" t="s">
        <v>616</v>
      </c>
      <c r="AB133" s="8"/>
      <c r="AC133" s="8"/>
      <c r="AD133" s="81" t="s">
        <v>655</v>
      </c>
      <c r="AE133" s="81" t="s">
        <v>8178</v>
      </c>
      <c r="AF133" s="81" t="s">
        <v>242</v>
      </c>
      <c r="AG133" s="81" t="s">
        <v>655</v>
      </c>
      <c r="AH133" s="8"/>
      <c r="AI133" s="8"/>
      <c r="AJ133" s="8"/>
      <c r="AK133" s="8"/>
      <c r="AL133" s="8"/>
      <c r="AM133" s="81" t="s">
        <v>243</v>
      </c>
      <c r="AN133" s="8"/>
      <c r="AO133" s="8"/>
      <c r="AP133" s="8"/>
      <c r="AQ133" s="8"/>
      <c r="AR133" s="9">
        <v>43647</v>
      </c>
      <c r="AS133" s="8" t="s">
        <v>8182</v>
      </c>
      <c r="AT133" s="8" t="s">
        <v>348</v>
      </c>
      <c r="AU133" s="9"/>
      <c r="AV133" s="81" t="s">
        <v>322</v>
      </c>
      <c r="AW133" s="81" t="s">
        <v>492</v>
      </c>
      <c r="AX133" s="8" t="s">
        <v>1779</v>
      </c>
      <c r="AY133" s="8"/>
      <c r="AZ133" s="8" t="s">
        <v>8386</v>
      </c>
      <c r="BA133" s="81" t="s">
        <v>556</v>
      </c>
      <c r="BB133" s="8"/>
      <c r="BC133" s="8"/>
      <c r="BD133" s="8"/>
      <c r="BE133" s="81" t="s">
        <v>261</v>
      </c>
      <c r="BF133" s="8" t="s">
        <v>1780</v>
      </c>
      <c r="BG133" s="9">
        <v>46945</v>
      </c>
      <c r="BH133" s="81" t="s">
        <v>305</v>
      </c>
      <c r="BI133" s="81" t="s">
        <v>559</v>
      </c>
      <c r="BJ133" s="9">
        <v>42614</v>
      </c>
      <c r="BK133" s="9">
        <v>43647</v>
      </c>
      <c r="BL133" s="81" t="s">
        <v>606</v>
      </c>
      <c r="BM133" s="8"/>
      <c r="BN133" s="8"/>
      <c r="BO133" s="8"/>
      <c r="BP133" s="8"/>
      <c r="BQ133" s="9"/>
      <c r="BR133" s="9"/>
      <c r="BS133" s="8"/>
      <c r="BT133" s="8"/>
      <c r="BU133" s="8"/>
      <c r="BV133" s="8"/>
      <c r="BW133" s="81" t="s">
        <v>492</v>
      </c>
      <c r="BX133" s="81" t="s">
        <v>337</v>
      </c>
      <c r="BY133" s="9">
        <v>43836</v>
      </c>
      <c r="BZ133" s="9">
        <v>46142</v>
      </c>
      <c r="CA133" s="8" t="s">
        <v>257</v>
      </c>
    </row>
    <row r="134" spans="1:79" ht="141.6" x14ac:dyDescent="0.25">
      <c r="A134" s="81" t="s">
        <v>1781</v>
      </c>
      <c r="B134" s="8"/>
      <c r="C134" s="81" t="s">
        <v>26</v>
      </c>
      <c r="D134" s="8" t="s">
        <v>7906</v>
      </c>
      <c r="E134" s="8" t="s">
        <v>1782</v>
      </c>
      <c r="F134" s="9">
        <v>35787</v>
      </c>
      <c r="G134" s="8" t="s">
        <v>819</v>
      </c>
      <c r="H134" s="81" t="s">
        <v>250</v>
      </c>
      <c r="I134" s="81" t="s">
        <v>27</v>
      </c>
      <c r="J134" s="81" t="s">
        <v>270</v>
      </c>
      <c r="K134" s="81" t="s">
        <v>488</v>
      </c>
      <c r="L134" s="81" t="s">
        <v>102</v>
      </c>
      <c r="M134" s="81" t="s">
        <v>8394</v>
      </c>
      <c r="N134" s="81" t="s">
        <v>272</v>
      </c>
      <c r="O134" s="81" t="s">
        <v>29</v>
      </c>
      <c r="P134" s="9"/>
      <c r="Q134" s="8"/>
      <c r="R134" s="8"/>
      <c r="S134" s="8"/>
      <c r="T134" s="8"/>
      <c r="U134" s="8"/>
      <c r="V134" s="8"/>
      <c r="W134" s="8"/>
      <c r="X134" s="8" t="s">
        <v>1783</v>
      </c>
      <c r="Y134" s="81" t="s">
        <v>33</v>
      </c>
      <c r="Z134" s="8"/>
      <c r="AA134" s="81" t="s">
        <v>551</v>
      </c>
      <c r="AB134" s="8"/>
      <c r="AC134" s="8"/>
      <c r="AD134" s="81" t="s">
        <v>553</v>
      </c>
      <c r="AE134" s="81" t="s">
        <v>8194</v>
      </c>
      <c r="AF134" s="81" t="s">
        <v>492</v>
      </c>
      <c r="AG134" s="81" t="s">
        <v>553</v>
      </c>
      <c r="AH134" s="8"/>
      <c r="AI134" s="8"/>
      <c r="AJ134" s="8"/>
      <c r="AK134" s="8"/>
      <c r="AL134" s="8"/>
      <c r="AM134" s="81" t="s">
        <v>243</v>
      </c>
      <c r="AN134" s="8"/>
      <c r="AO134" s="8"/>
      <c r="AP134" s="8"/>
      <c r="AQ134" s="8"/>
      <c r="AR134" s="9">
        <v>43647</v>
      </c>
      <c r="AS134" s="8" t="s">
        <v>8182</v>
      </c>
      <c r="AT134" s="8" t="s">
        <v>348</v>
      </c>
      <c r="AU134" s="9"/>
      <c r="AV134" s="81" t="s">
        <v>322</v>
      </c>
      <c r="AW134" s="81" t="s">
        <v>492</v>
      </c>
      <c r="AX134" s="8" t="s">
        <v>1784</v>
      </c>
      <c r="AY134" s="8"/>
      <c r="AZ134" s="8" t="s">
        <v>8386</v>
      </c>
      <c r="BA134" s="81" t="s">
        <v>556</v>
      </c>
      <c r="BB134" s="8"/>
      <c r="BC134" s="8"/>
      <c r="BD134" s="8"/>
      <c r="BE134" s="81" t="s">
        <v>261</v>
      </c>
      <c r="BF134" s="8" t="s">
        <v>1785</v>
      </c>
      <c r="BG134" s="9">
        <v>46785</v>
      </c>
      <c r="BH134" s="81" t="s">
        <v>305</v>
      </c>
      <c r="BI134" s="81" t="s">
        <v>559</v>
      </c>
      <c r="BJ134" s="9">
        <v>42614</v>
      </c>
      <c r="BK134" s="9">
        <v>43647</v>
      </c>
      <c r="BL134" s="81" t="s">
        <v>1787</v>
      </c>
      <c r="BM134" s="8"/>
      <c r="BN134" s="8"/>
      <c r="BO134" s="8"/>
      <c r="BP134" s="8"/>
      <c r="BQ134" s="9"/>
      <c r="BR134" s="9"/>
      <c r="BS134" s="8"/>
      <c r="BT134" s="8"/>
      <c r="BU134" s="8"/>
      <c r="BV134" s="8"/>
      <c r="BW134" s="81" t="s">
        <v>492</v>
      </c>
      <c r="BX134" s="81" t="s">
        <v>337</v>
      </c>
      <c r="BY134" s="9">
        <v>43836</v>
      </c>
      <c r="BZ134" s="9">
        <v>46873</v>
      </c>
      <c r="CA134" s="8" t="s">
        <v>257</v>
      </c>
    </row>
    <row r="135" spans="1:79" ht="173.4" x14ac:dyDescent="0.25">
      <c r="A135" s="81" t="s">
        <v>1788</v>
      </c>
      <c r="B135" s="8"/>
      <c r="C135" s="81" t="s">
        <v>26</v>
      </c>
      <c r="D135" s="8" t="s">
        <v>7907</v>
      </c>
      <c r="E135" s="8"/>
      <c r="F135" s="9">
        <v>35993</v>
      </c>
      <c r="G135" s="8" t="s">
        <v>393</v>
      </c>
      <c r="H135" s="81" t="s">
        <v>250</v>
      </c>
      <c r="I135" s="81" t="s">
        <v>27</v>
      </c>
      <c r="J135" s="81" t="s">
        <v>270</v>
      </c>
      <c r="K135" s="81" t="s">
        <v>488</v>
      </c>
      <c r="L135" s="81" t="s">
        <v>102</v>
      </c>
      <c r="M135" s="81" t="s">
        <v>8395</v>
      </c>
      <c r="N135" s="81" t="s">
        <v>272</v>
      </c>
      <c r="O135" s="81" t="s">
        <v>253</v>
      </c>
      <c r="P135" s="9"/>
      <c r="Q135" s="8"/>
      <c r="R135" s="8"/>
      <c r="S135" s="8"/>
      <c r="T135" s="8"/>
      <c r="U135" s="8"/>
      <c r="V135" s="81" t="s">
        <v>8141</v>
      </c>
      <c r="W135" s="81" t="s">
        <v>965</v>
      </c>
      <c r="X135" s="8" t="s">
        <v>1789</v>
      </c>
      <c r="Y135" s="81" t="s">
        <v>33</v>
      </c>
      <c r="Z135" s="8"/>
      <c r="AA135" s="81" t="s">
        <v>551</v>
      </c>
      <c r="AB135" s="8"/>
      <c r="AC135" s="8"/>
      <c r="AD135" s="81" t="s">
        <v>552</v>
      </c>
      <c r="AE135" s="81" t="s">
        <v>8160</v>
      </c>
      <c r="AF135" s="81" t="s">
        <v>492</v>
      </c>
      <c r="AG135" s="81" t="s">
        <v>553</v>
      </c>
      <c r="AH135" s="81" t="s">
        <v>552</v>
      </c>
      <c r="AI135" s="8"/>
      <c r="AJ135" s="8"/>
      <c r="AK135" s="8"/>
      <c r="AL135" s="8"/>
      <c r="AM135" s="81" t="s">
        <v>243</v>
      </c>
      <c r="AN135" s="8"/>
      <c r="AO135" s="8"/>
      <c r="AP135" s="8"/>
      <c r="AQ135" s="8"/>
      <c r="AR135" s="9">
        <v>43647</v>
      </c>
      <c r="AS135" s="8" t="s">
        <v>8182</v>
      </c>
      <c r="AT135" s="8" t="s">
        <v>348</v>
      </c>
      <c r="AU135" s="9"/>
      <c r="AV135" s="81" t="s">
        <v>322</v>
      </c>
      <c r="AW135" s="81" t="s">
        <v>242</v>
      </c>
      <c r="AX135" s="8" t="s">
        <v>1790</v>
      </c>
      <c r="AY135" s="8"/>
      <c r="AZ135" s="8" t="s">
        <v>8386</v>
      </c>
      <c r="BA135" s="81" t="s">
        <v>556</v>
      </c>
      <c r="BB135" s="8"/>
      <c r="BC135" s="8"/>
      <c r="BD135" s="8"/>
      <c r="BE135" s="81" t="s">
        <v>261</v>
      </c>
      <c r="BF135" s="8" t="s">
        <v>1791</v>
      </c>
      <c r="BG135" s="9">
        <v>46584</v>
      </c>
      <c r="BH135" s="81" t="s">
        <v>305</v>
      </c>
      <c r="BI135" s="81" t="s">
        <v>559</v>
      </c>
      <c r="BJ135" s="9">
        <v>42614</v>
      </c>
      <c r="BK135" s="9">
        <v>43647</v>
      </c>
      <c r="BL135" s="81" t="s">
        <v>1744</v>
      </c>
      <c r="BM135" s="8"/>
      <c r="BN135" s="8"/>
      <c r="BO135" s="8"/>
      <c r="BP135" s="8"/>
      <c r="BQ135" s="9"/>
      <c r="BR135" s="9"/>
      <c r="BS135" s="8"/>
      <c r="BT135" s="8"/>
      <c r="BU135" s="8"/>
      <c r="BV135" s="8"/>
      <c r="BW135" s="81" t="s">
        <v>242</v>
      </c>
      <c r="BX135" s="81" t="s">
        <v>337</v>
      </c>
      <c r="BY135" s="9">
        <v>45962</v>
      </c>
      <c r="BZ135" s="9">
        <v>46507</v>
      </c>
      <c r="CA135" s="8" t="s">
        <v>245</v>
      </c>
    </row>
    <row r="136" spans="1:79" ht="157.19999999999999" x14ac:dyDescent="0.25">
      <c r="A136" s="81" t="s">
        <v>1793</v>
      </c>
      <c r="B136" s="8"/>
      <c r="C136" s="81" t="s">
        <v>352</v>
      </c>
      <c r="D136" s="8" t="s">
        <v>7908</v>
      </c>
      <c r="E136" s="8"/>
      <c r="F136" s="9">
        <v>34731</v>
      </c>
      <c r="G136" s="8" t="s">
        <v>837</v>
      </c>
      <c r="H136" s="81" t="s">
        <v>250</v>
      </c>
      <c r="I136" s="81" t="s">
        <v>27</v>
      </c>
      <c r="J136" s="81" t="s">
        <v>474</v>
      </c>
      <c r="K136" s="81" t="s">
        <v>1794</v>
      </c>
      <c r="L136" s="81" t="s">
        <v>102</v>
      </c>
      <c r="M136" s="81" t="s">
        <v>8396</v>
      </c>
      <c r="N136" s="81" t="s">
        <v>272</v>
      </c>
      <c r="O136" s="81" t="s">
        <v>253</v>
      </c>
      <c r="P136" s="9"/>
      <c r="Q136" s="8"/>
      <c r="R136" s="8"/>
      <c r="S136" s="8"/>
      <c r="T136" s="8"/>
      <c r="U136" s="8"/>
      <c r="V136" s="81" t="s">
        <v>8141</v>
      </c>
      <c r="W136" s="81" t="s">
        <v>1585</v>
      </c>
      <c r="X136" s="8" t="s">
        <v>1795</v>
      </c>
      <c r="Y136" s="81" t="s">
        <v>33</v>
      </c>
      <c r="Z136" s="8"/>
      <c r="AA136" s="81" t="s">
        <v>1796</v>
      </c>
      <c r="AB136" s="8"/>
      <c r="AC136" s="8"/>
      <c r="AD136" s="81" t="s">
        <v>241</v>
      </c>
      <c r="AE136" s="81" t="s">
        <v>8114</v>
      </c>
      <c r="AF136" s="81" t="s">
        <v>242</v>
      </c>
      <c r="AG136" s="81" t="s">
        <v>241</v>
      </c>
      <c r="AH136" s="8"/>
      <c r="AI136" s="8"/>
      <c r="AJ136" s="8"/>
      <c r="AK136" s="8"/>
      <c r="AL136" s="8"/>
      <c r="AM136" s="81" t="s">
        <v>243</v>
      </c>
      <c r="AN136" s="8"/>
      <c r="AO136" s="8"/>
      <c r="AP136" s="8"/>
      <c r="AQ136" s="8"/>
      <c r="AR136" s="9">
        <v>43607</v>
      </c>
      <c r="AS136" s="8" t="s">
        <v>8397</v>
      </c>
      <c r="AT136" s="8" t="s">
        <v>348</v>
      </c>
      <c r="AU136" s="9"/>
      <c r="AV136" s="81" t="s">
        <v>322</v>
      </c>
      <c r="AW136" s="81" t="s">
        <v>242</v>
      </c>
      <c r="AX136" s="8" t="s">
        <v>1798</v>
      </c>
      <c r="AY136" s="8"/>
      <c r="AZ136" s="8" t="s">
        <v>8357</v>
      </c>
      <c r="BA136" s="81" t="s">
        <v>361</v>
      </c>
      <c r="BB136" s="8"/>
      <c r="BC136" s="8"/>
      <c r="BD136" s="8"/>
      <c r="BE136" s="81" t="s">
        <v>261</v>
      </c>
      <c r="BF136" s="8" t="s">
        <v>1799</v>
      </c>
      <c r="BG136" s="9">
        <v>52348</v>
      </c>
      <c r="BH136" s="81" t="s">
        <v>81</v>
      </c>
      <c r="BI136" s="81" t="s">
        <v>1565</v>
      </c>
      <c r="BJ136" s="9">
        <v>41518</v>
      </c>
      <c r="BK136" s="9">
        <v>42916</v>
      </c>
      <c r="BL136" s="81" t="s">
        <v>85</v>
      </c>
      <c r="BM136" s="81" t="s">
        <v>82</v>
      </c>
      <c r="BN136" s="8"/>
      <c r="BO136" s="8"/>
      <c r="BP136" s="8"/>
      <c r="BQ136" s="9"/>
      <c r="BR136" s="9"/>
      <c r="BS136" s="8"/>
      <c r="BT136" s="8"/>
      <c r="BU136" s="8"/>
      <c r="BV136" s="8"/>
      <c r="BW136" s="81" t="s">
        <v>242</v>
      </c>
      <c r="BX136" s="81" t="s">
        <v>337</v>
      </c>
      <c r="BY136" s="9">
        <v>43607</v>
      </c>
      <c r="BZ136" s="9">
        <v>46234</v>
      </c>
      <c r="CA136" s="8" t="s">
        <v>257</v>
      </c>
    </row>
    <row r="137" spans="1:79" ht="141.6" x14ac:dyDescent="0.25">
      <c r="A137" s="81" t="s">
        <v>1801</v>
      </c>
      <c r="B137" s="8"/>
      <c r="C137" s="81" t="s">
        <v>26</v>
      </c>
      <c r="D137" s="8" t="s">
        <v>7909</v>
      </c>
      <c r="E137" s="8"/>
      <c r="F137" s="9">
        <v>36090</v>
      </c>
      <c r="G137" s="8" t="s">
        <v>393</v>
      </c>
      <c r="H137" s="81" t="s">
        <v>250</v>
      </c>
      <c r="I137" s="81" t="s">
        <v>27</v>
      </c>
      <c r="J137" s="81" t="s">
        <v>293</v>
      </c>
      <c r="K137" s="81" t="s">
        <v>294</v>
      </c>
      <c r="L137" s="81" t="s">
        <v>102</v>
      </c>
      <c r="M137" s="81" t="s">
        <v>8398</v>
      </c>
      <c r="N137" s="81" t="s">
        <v>272</v>
      </c>
      <c r="O137" s="81" t="s">
        <v>29</v>
      </c>
      <c r="P137" s="9"/>
      <c r="Q137" s="8"/>
      <c r="R137" s="8"/>
      <c r="S137" s="8"/>
      <c r="T137" s="8"/>
      <c r="U137" s="8"/>
      <c r="V137" s="8"/>
      <c r="W137" s="8"/>
      <c r="X137" s="8" t="s">
        <v>1802</v>
      </c>
      <c r="Y137" s="81" t="s">
        <v>33</v>
      </c>
      <c r="Z137" s="8"/>
      <c r="AA137" s="81" t="s">
        <v>1379</v>
      </c>
      <c r="AB137" s="8"/>
      <c r="AC137" s="8"/>
      <c r="AD137" s="81" t="s">
        <v>1380</v>
      </c>
      <c r="AE137" s="81" t="s">
        <v>8309</v>
      </c>
      <c r="AF137" s="81" t="s">
        <v>242</v>
      </c>
      <c r="AG137" s="81" t="s">
        <v>1380</v>
      </c>
      <c r="AH137" s="8"/>
      <c r="AI137" s="8"/>
      <c r="AJ137" s="8"/>
      <c r="AK137" s="8"/>
      <c r="AL137" s="8"/>
      <c r="AM137" s="81" t="s">
        <v>243</v>
      </c>
      <c r="AN137" s="8"/>
      <c r="AO137" s="8"/>
      <c r="AP137" s="8"/>
      <c r="AQ137" s="8"/>
      <c r="AR137" s="9">
        <v>43545</v>
      </c>
      <c r="AS137" s="8" t="s">
        <v>8399</v>
      </c>
      <c r="AT137" s="8" t="s">
        <v>348</v>
      </c>
      <c r="AU137" s="9"/>
      <c r="AV137" s="81" t="s">
        <v>322</v>
      </c>
      <c r="AW137" s="81" t="s">
        <v>242</v>
      </c>
      <c r="AX137" s="8" t="s">
        <v>1804</v>
      </c>
      <c r="AY137" s="8"/>
      <c r="AZ137" s="8" t="s">
        <v>8400</v>
      </c>
      <c r="BA137" s="81" t="s">
        <v>556</v>
      </c>
      <c r="BB137" s="8"/>
      <c r="BC137" s="8"/>
      <c r="BD137" s="8"/>
      <c r="BE137" s="81" t="s">
        <v>261</v>
      </c>
      <c r="BF137" s="8" t="s">
        <v>1805</v>
      </c>
      <c r="BG137" s="9">
        <v>47176</v>
      </c>
      <c r="BH137" s="81" t="s">
        <v>81</v>
      </c>
      <c r="BI137" s="81" t="s">
        <v>1508</v>
      </c>
      <c r="BJ137" s="9">
        <v>42064</v>
      </c>
      <c r="BK137" s="9">
        <v>43110</v>
      </c>
      <c r="BL137" s="81" t="s">
        <v>1808</v>
      </c>
      <c r="BM137" s="8"/>
      <c r="BN137" s="8"/>
      <c r="BO137" s="8"/>
      <c r="BP137" s="8"/>
      <c r="BQ137" s="9"/>
      <c r="BR137" s="9"/>
      <c r="BS137" s="8"/>
      <c r="BT137" s="8"/>
      <c r="BU137" s="8"/>
      <c r="BV137" s="8"/>
      <c r="BW137" s="81" t="s">
        <v>242</v>
      </c>
      <c r="BX137" s="81" t="s">
        <v>337</v>
      </c>
      <c r="BY137" s="9">
        <v>43545</v>
      </c>
      <c r="BZ137" s="9">
        <v>46965</v>
      </c>
      <c r="CA137" s="8" t="s">
        <v>63</v>
      </c>
    </row>
    <row r="138" spans="1:79" ht="141.6" x14ac:dyDescent="0.25">
      <c r="A138" s="81" t="s">
        <v>1809</v>
      </c>
      <c r="B138" s="8"/>
      <c r="C138" s="81" t="s">
        <v>352</v>
      </c>
      <c r="D138" s="8" t="s">
        <v>7910</v>
      </c>
      <c r="E138" s="8" t="s">
        <v>1810</v>
      </c>
      <c r="F138" s="9">
        <v>32818</v>
      </c>
      <c r="G138" s="8" t="s">
        <v>1348</v>
      </c>
      <c r="H138" s="81" t="s">
        <v>250</v>
      </c>
      <c r="I138" s="81" t="s">
        <v>27</v>
      </c>
      <c r="J138" s="81" t="s">
        <v>252</v>
      </c>
      <c r="K138" s="81" t="s">
        <v>294</v>
      </c>
      <c r="L138" s="81" t="s">
        <v>102</v>
      </c>
      <c r="M138" s="81" t="s">
        <v>8401</v>
      </c>
      <c r="N138" s="81" t="s">
        <v>119</v>
      </c>
      <c r="O138" s="81" t="s">
        <v>29</v>
      </c>
      <c r="P138" s="9"/>
      <c r="Q138" s="8"/>
      <c r="R138" s="8"/>
      <c r="S138" s="8"/>
      <c r="T138" s="81" t="s">
        <v>8141</v>
      </c>
      <c r="U138" s="81" t="s">
        <v>1811</v>
      </c>
      <c r="V138" s="81" t="s">
        <v>8141</v>
      </c>
      <c r="W138" s="81" t="s">
        <v>1665</v>
      </c>
      <c r="X138" s="8" t="s">
        <v>1812</v>
      </c>
      <c r="Y138" s="81" t="s">
        <v>33</v>
      </c>
      <c r="Z138" s="8"/>
      <c r="AA138" s="81" t="s">
        <v>1813</v>
      </c>
      <c r="AB138" s="8"/>
      <c r="AC138" s="8"/>
      <c r="AD138" s="81" t="s">
        <v>1588</v>
      </c>
      <c r="AE138" s="81" t="s">
        <v>8351</v>
      </c>
      <c r="AF138" s="81" t="s">
        <v>242</v>
      </c>
      <c r="AG138" s="81" t="s">
        <v>1588</v>
      </c>
      <c r="AH138" s="8"/>
      <c r="AI138" s="8"/>
      <c r="AJ138" s="8"/>
      <c r="AK138" s="8"/>
      <c r="AL138" s="8"/>
      <c r="AM138" s="81" t="s">
        <v>243</v>
      </c>
      <c r="AN138" s="8"/>
      <c r="AO138" s="8"/>
      <c r="AP138" s="8"/>
      <c r="AQ138" s="8"/>
      <c r="AR138" s="9">
        <v>43542</v>
      </c>
      <c r="AS138" s="8" t="s">
        <v>8399</v>
      </c>
      <c r="AT138" s="8" t="s">
        <v>348</v>
      </c>
      <c r="AU138" s="9"/>
      <c r="AV138" s="81" t="s">
        <v>322</v>
      </c>
      <c r="AW138" s="81" t="s">
        <v>242</v>
      </c>
      <c r="AX138" s="8" t="s">
        <v>1815</v>
      </c>
      <c r="AY138" s="8"/>
      <c r="AZ138" s="8" t="s">
        <v>8402</v>
      </c>
      <c r="BA138" s="81" t="s">
        <v>361</v>
      </c>
      <c r="BB138" s="8"/>
      <c r="BC138" s="8"/>
      <c r="BD138" s="8"/>
      <c r="BE138" s="81" t="s">
        <v>261</v>
      </c>
      <c r="BF138" s="8" t="s">
        <v>1816</v>
      </c>
      <c r="BG138" s="9">
        <v>49790</v>
      </c>
      <c r="BH138" s="81" t="s">
        <v>81</v>
      </c>
      <c r="BI138" s="81" t="s">
        <v>365</v>
      </c>
      <c r="BJ138" s="9">
        <v>41334</v>
      </c>
      <c r="BK138" s="9">
        <v>42384</v>
      </c>
      <c r="BL138" s="81" t="s">
        <v>1360</v>
      </c>
      <c r="BM138" s="8"/>
      <c r="BN138" s="8"/>
      <c r="BO138" s="8"/>
      <c r="BP138" s="8"/>
      <c r="BQ138" s="9"/>
      <c r="BR138" s="9"/>
      <c r="BS138" s="8"/>
      <c r="BT138" s="8"/>
      <c r="BU138" s="8"/>
      <c r="BV138" s="8"/>
      <c r="BW138" s="81" t="s">
        <v>242</v>
      </c>
      <c r="BX138" s="81" t="s">
        <v>337</v>
      </c>
      <c r="BY138" s="9">
        <v>43542</v>
      </c>
      <c r="BZ138" s="9">
        <v>46965</v>
      </c>
      <c r="CA138" s="8" t="s">
        <v>63</v>
      </c>
    </row>
    <row r="139" spans="1:79" ht="189" x14ac:dyDescent="0.25">
      <c r="A139" s="81" t="s">
        <v>1820</v>
      </c>
      <c r="B139" s="8"/>
      <c r="C139" s="81" t="s">
        <v>352</v>
      </c>
      <c r="D139" s="8" t="s">
        <v>7911</v>
      </c>
      <c r="E139" s="8"/>
      <c r="F139" s="9">
        <v>34662</v>
      </c>
      <c r="G139" s="8" t="s">
        <v>837</v>
      </c>
      <c r="H139" s="81" t="s">
        <v>250</v>
      </c>
      <c r="I139" s="81" t="s">
        <v>27</v>
      </c>
      <c r="J139" s="81" t="s">
        <v>293</v>
      </c>
      <c r="K139" s="81" t="s">
        <v>294</v>
      </c>
      <c r="L139" s="81" t="s">
        <v>102</v>
      </c>
      <c r="M139" s="81" t="s">
        <v>8403</v>
      </c>
      <c r="N139" s="81" t="s">
        <v>119</v>
      </c>
      <c r="O139" s="81" t="s">
        <v>29</v>
      </c>
      <c r="P139" s="9"/>
      <c r="Q139" s="8"/>
      <c r="R139" s="8"/>
      <c r="S139" s="8"/>
      <c r="T139" s="8"/>
      <c r="U139" s="8"/>
      <c r="V139" s="8"/>
      <c r="W139" s="8"/>
      <c r="X139" s="8" t="s">
        <v>1821</v>
      </c>
      <c r="Y139" s="81" t="s">
        <v>33</v>
      </c>
      <c r="Z139" s="8"/>
      <c r="AA139" s="81" t="s">
        <v>1796</v>
      </c>
      <c r="AB139" s="8"/>
      <c r="AC139" s="8"/>
      <c r="AD139" s="81" t="s">
        <v>878</v>
      </c>
      <c r="AE139" s="81" t="s">
        <v>8228</v>
      </c>
      <c r="AF139" s="81" t="s">
        <v>242</v>
      </c>
      <c r="AG139" s="81" t="s">
        <v>459</v>
      </c>
      <c r="AH139" s="81" t="s">
        <v>878</v>
      </c>
      <c r="AI139" s="8"/>
      <c r="AJ139" s="8"/>
      <c r="AK139" s="8"/>
      <c r="AL139" s="8"/>
      <c r="AM139" s="81" t="s">
        <v>243</v>
      </c>
      <c r="AN139" s="8"/>
      <c r="AO139" s="8"/>
      <c r="AP139" s="8"/>
      <c r="AQ139" s="8"/>
      <c r="AR139" s="9">
        <v>43530</v>
      </c>
      <c r="AS139" s="8" t="s">
        <v>8404</v>
      </c>
      <c r="AT139" s="8" t="s">
        <v>348</v>
      </c>
      <c r="AU139" s="9"/>
      <c r="AV139" s="81" t="s">
        <v>322</v>
      </c>
      <c r="AW139" s="81" t="s">
        <v>242</v>
      </c>
      <c r="AX139" s="8" t="s">
        <v>1823</v>
      </c>
      <c r="AY139" s="8"/>
      <c r="AZ139" s="8" t="s">
        <v>8405</v>
      </c>
      <c r="BA139" s="81" t="s">
        <v>361</v>
      </c>
      <c r="BB139" s="8"/>
      <c r="BC139" s="8"/>
      <c r="BD139" s="8"/>
      <c r="BE139" s="81" t="s">
        <v>261</v>
      </c>
      <c r="BF139" s="8" t="s">
        <v>1824</v>
      </c>
      <c r="BG139" s="9">
        <v>51530</v>
      </c>
      <c r="BH139" s="81" t="s">
        <v>305</v>
      </c>
      <c r="BI139" s="81" t="s">
        <v>1826</v>
      </c>
      <c r="BJ139" s="9">
        <v>41153</v>
      </c>
      <c r="BK139" s="9">
        <v>42400</v>
      </c>
      <c r="BL139" s="81" t="s">
        <v>1674</v>
      </c>
      <c r="BM139" s="8"/>
      <c r="BN139" s="8"/>
      <c r="BO139" s="8"/>
      <c r="BP139" s="8"/>
      <c r="BQ139" s="9"/>
      <c r="BR139" s="9"/>
      <c r="BS139" s="8"/>
      <c r="BT139" s="81" t="s">
        <v>1827</v>
      </c>
      <c r="BU139" s="81" t="s">
        <v>118</v>
      </c>
      <c r="BV139" s="8" t="s">
        <v>1828</v>
      </c>
      <c r="BW139" s="81" t="s">
        <v>242</v>
      </c>
      <c r="BX139" s="81" t="s">
        <v>1556</v>
      </c>
      <c r="BY139" s="9">
        <v>45870</v>
      </c>
      <c r="BZ139" s="9"/>
      <c r="CA139" s="8" t="s">
        <v>61</v>
      </c>
    </row>
    <row r="140" spans="1:79" ht="141.6" x14ac:dyDescent="0.25">
      <c r="A140" s="81" t="s">
        <v>1829</v>
      </c>
      <c r="B140" s="8"/>
      <c r="C140" s="81" t="s">
        <v>26</v>
      </c>
      <c r="D140" s="8" t="s">
        <v>7912</v>
      </c>
      <c r="E140" s="8"/>
      <c r="F140" s="9">
        <v>34702</v>
      </c>
      <c r="G140" s="8" t="s">
        <v>837</v>
      </c>
      <c r="H140" s="81" t="s">
        <v>250</v>
      </c>
      <c r="I140" s="81" t="s">
        <v>27</v>
      </c>
      <c r="J140" s="81" t="s">
        <v>270</v>
      </c>
      <c r="K140" s="81" t="s">
        <v>488</v>
      </c>
      <c r="L140" s="81" t="s">
        <v>102</v>
      </c>
      <c r="M140" s="81" t="s">
        <v>8406</v>
      </c>
      <c r="N140" s="81" t="s">
        <v>272</v>
      </c>
      <c r="O140" s="81" t="s">
        <v>253</v>
      </c>
      <c r="P140" s="9"/>
      <c r="Q140" s="8"/>
      <c r="R140" s="8"/>
      <c r="S140" s="8"/>
      <c r="T140" s="8"/>
      <c r="U140" s="8"/>
      <c r="V140" s="8"/>
      <c r="W140" s="8"/>
      <c r="X140" s="8" t="s">
        <v>1830</v>
      </c>
      <c r="Y140" s="81" t="s">
        <v>33</v>
      </c>
      <c r="Z140" s="8"/>
      <c r="AA140" s="81" t="s">
        <v>551</v>
      </c>
      <c r="AB140" s="8"/>
      <c r="AC140" s="8"/>
      <c r="AD140" s="81" t="s">
        <v>553</v>
      </c>
      <c r="AE140" s="81" t="s">
        <v>8194</v>
      </c>
      <c r="AF140" s="81" t="s">
        <v>492</v>
      </c>
      <c r="AG140" s="81" t="s">
        <v>553</v>
      </c>
      <c r="AH140" s="8"/>
      <c r="AI140" s="8"/>
      <c r="AJ140" s="8"/>
      <c r="AK140" s="8"/>
      <c r="AL140" s="8"/>
      <c r="AM140" s="81" t="s">
        <v>243</v>
      </c>
      <c r="AN140" s="8"/>
      <c r="AO140" s="8"/>
      <c r="AP140" s="8"/>
      <c r="AQ140" s="8"/>
      <c r="AR140" s="9">
        <v>43510</v>
      </c>
      <c r="AS140" s="8" t="s">
        <v>8404</v>
      </c>
      <c r="AT140" s="8" t="s">
        <v>348</v>
      </c>
      <c r="AU140" s="9"/>
      <c r="AV140" s="81" t="s">
        <v>322</v>
      </c>
      <c r="AW140" s="81" t="s">
        <v>492</v>
      </c>
      <c r="AX140" s="8" t="s">
        <v>1831</v>
      </c>
      <c r="AY140" s="8"/>
      <c r="AZ140" s="8" t="s">
        <v>8335</v>
      </c>
      <c r="BA140" s="81" t="s">
        <v>556</v>
      </c>
      <c r="BB140" s="8"/>
      <c r="BC140" s="8"/>
      <c r="BD140" s="8"/>
      <c r="BE140" s="81" t="s">
        <v>261</v>
      </c>
      <c r="BF140" s="8" t="s">
        <v>1832</v>
      </c>
      <c r="BG140" s="9">
        <v>52100</v>
      </c>
      <c r="BH140" s="81" t="s">
        <v>305</v>
      </c>
      <c r="BI140" s="81" t="s">
        <v>559</v>
      </c>
      <c r="BJ140" s="9">
        <v>41153</v>
      </c>
      <c r="BK140" s="9">
        <v>42186</v>
      </c>
      <c r="BL140" s="81" t="s">
        <v>1835</v>
      </c>
      <c r="BM140" s="8"/>
      <c r="BN140" s="8"/>
      <c r="BO140" s="8"/>
      <c r="BP140" s="8"/>
      <c r="BQ140" s="9"/>
      <c r="BR140" s="9"/>
      <c r="BS140" s="8"/>
      <c r="BT140" s="8"/>
      <c r="BU140" s="8"/>
      <c r="BV140" s="8"/>
      <c r="BW140" s="81" t="s">
        <v>492</v>
      </c>
      <c r="BX140" s="81" t="s">
        <v>337</v>
      </c>
      <c r="BY140" s="9">
        <v>43836</v>
      </c>
      <c r="BZ140" s="9">
        <v>46142</v>
      </c>
      <c r="CA140" s="8" t="s">
        <v>257</v>
      </c>
    </row>
    <row r="141" spans="1:79" ht="157.19999999999999" x14ac:dyDescent="0.25">
      <c r="A141" s="81" t="s">
        <v>1836</v>
      </c>
      <c r="B141" s="8"/>
      <c r="C141" s="81" t="s">
        <v>26</v>
      </c>
      <c r="D141" s="8" t="s">
        <v>7913</v>
      </c>
      <c r="E141" s="8"/>
      <c r="F141" s="9">
        <v>33887</v>
      </c>
      <c r="G141" s="8" t="s">
        <v>1689</v>
      </c>
      <c r="H141" s="81" t="s">
        <v>250</v>
      </c>
      <c r="I141" s="81" t="s">
        <v>27</v>
      </c>
      <c r="J141" s="81" t="s">
        <v>474</v>
      </c>
      <c r="K141" s="81" t="s">
        <v>601</v>
      </c>
      <c r="L141" s="81" t="s">
        <v>102</v>
      </c>
      <c r="M141" s="81" t="s">
        <v>8407</v>
      </c>
      <c r="N141" s="81" t="s">
        <v>272</v>
      </c>
      <c r="O141" s="81" t="s">
        <v>29</v>
      </c>
      <c r="P141" s="9"/>
      <c r="Q141" s="8"/>
      <c r="R141" s="8"/>
      <c r="S141" s="8"/>
      <c r="T141" s="81" t="s">
        <v>8247</v>
      </c>
      <c r="U141" s="81" t="s">
        <v>1837</v>
      </c>
      <c r="V141" s="8"/>
      <c r="W141" s="8"/>
      <c r="X141" s="8" t="s">
        <v>1838</v>
      </c>
      <c r="Y141" s="81" t="s">
        <v>33</v>
      </c>
      <c r="Z141" s="8"/>
      <c r="AA141" s="81" t="s">
        <v>506</v>
      </c>
      <c r="AB141" s="8"/>
      <c r="AC141" s="8"/>
      <c r="AD141" s="81" t="s">
        <v>241</v>
      </c>
      <c r="AE141" s="81" t="s">
        <v>8114</v>
      </c>
      <c r="AF141" s="81" t="s">
        <v>242</v>
      </c>
      <c r="AG141" s="81" t="s">
        <v>241</v>
      </c>
      <c r="AH141" s="8"/>
      <c r="AI141" s="8"/>
      <c r="AJ141" s="8"/>
      <c r="AK141" s="8"/>
      <c r="AL141" s="8"/>
      <c r="AM141" s="81" t="s">
        <v>243</v>
      </c>
      <c r="AN141" s="8"/>
      <c r="AO141" s="8"/>
      <c r="AP141" s="8"/>
      <c r="AQ141" s="8"/>
      <c r="AR141" s="9">
        <v>43409</v>
      </c>
      <c r="AS141" s="8" t="s">
        <v>8408</v>
      </c>
      <c r="AT141" s="8" t="s">
        <v>348</v>
      </c>
      <c r="AU141" s="9"/>
      <c r="AV141" s="81" t="s">
        <v>322</v>
      </c>
      <c r="AW141" s="81" t="s">
        <v>242</v>
      </c>
      <c r="AX141" s="8" t="s">
        <v>1840</v>
      </c>
      <c r="AY141" s="8"/>
      <c r="AZ141" s="8" t="s">
        <v>8328</v>
      </c>
      <c r="BA141" s="81" t="s">
        <v>399</v>
      </c>
      <c r="BB141" s="8"/>
      <c r="BC141" s="8"/>
      <c r="BD141" s="8"/>
      <c r="BE141" s="81" t="s">
        <v>261</v>
      </c>
      <c r="BF141" s="8" t="s">
        <v>1841</v>
      </c>
      <c r="BG141" s="9">
        <v>46421</v>
      </c>
      <c r="BH141" s="81" t="s">
        <v>81</v>
      </c>
      <c r="BI141" s="81" t="s">
        <v>886</v>
      </c>
      <c r="BJ141" s="9">
        <v>40787</v>
      </c>
      <c r="BK141" s="9">
        <v>42180</v>
      </c>
      <c r="BL141" s="81" t="s">
        <v>786</v>
      </c>
      <c r="BM141" s="81" t="s">
        <v>82</v>
      </c>
      <c r="BN141" s="8"/>
      <c r="BO141" s="8"/>
      <c r="BP141" s="8"/>
      <c r="BQ141" s="9"/>
      <c r="BR141" s="9"/>
      <c r="BS141" s="8"/>
      <c r="BT141" s="8"/>
      <c r="BU141" s="8"/>
      <c r="BV141" s="8"/>
      <c r="BW141" s="81" t="s">
        <v>242</v>
      </c>
      <c r="BX141" s="81" t="s">
        <v>1556</v>
      </c>
      <c r="BY141" s="9">
        <v>45870</v>
      </c>
      <c r="BZ141" s="9"/>
      <c r="CA141" s="8" t="s">
        <v>61</v>
      </c>
    </row>
    <row r="142" spans="1:79" ht="157.19999999999999" x14ac:dyDescent="0.25">
      <c r="A142" s="81" t="s">
        <v>1845</v>
      </c>
      <c r="B142" s="8"/>
      <c r="C142" s="81" t="s">
        <v>26</v>
      </c>
      <c r="D142" s="8" t="s">
        <v>7914</v>
      </c>
      <c r="E142" s="8"/>
      <c r="F142" s="9">
        <v>32966</v>
      </c>
      <c r="G142" s="8" t="s">
        <v>1348</v>
      </c>
      <c r="H142" s="81" t="s">
        <v>250</v>
      </c>
      <c r="I142" s="81" t="s">
        <v>27</v>
      </c>
      <c r="J142" s="81" t="s">
        <v>252</v>
      </c>
      <c r="K142" s="81" t="s">
        <v>415</v>
      </c>
      <c r="L142" s="81" t="s">
        <v>102</v>
      </c>
      <c r="M142" s="81" t="s">
        <v>8409</v>
      </c>
      <c r="N142" s="81" t="s">
        <v>119</v>
      </c>
      <c r="O142" s="81" t="s">
        <v>29</v>
      </c>
      <c r="P142" s="9"/>
      <c r="Q142" s="8"/>
      <c r="R142" s="8"/>
      <c r="S142" s="8"/>
      <c r="T142" s="81" t="s">
        <v>8141</v>
      </c>
      <c r="U142" s="81" t="s">
        <v>1846</v>
      </c>
      <c r="V142" s="8"/>
      <c r="W142" s="8"/>
      <c r="X142" s="8" t="s">
        <v>1847</v>
      </c>
      <c r="Y142" s="81" t="s">
        <v>33</v>
      </c>
      <c r="Z142" s="8"/>
      <c r="AA142" s="81" t="s">
        <v>1848</v>
      </c>
      <c r="AB142" s="8"/>
      <c r="AC142" s="8"/>
      <c r="AD142" s="81" t="s">
        <v>491</v>
      </c>
      <c r="AE142" s="81" t="s">
        <v>8152</v>
      </c>
      <c r="AF142" s="81" t="s">
        <v>492</v>
      </c>
      <c r="AG142" s="81" t="s">
        <v>491</v>
      </c>
      <c r="AH142" s="8"/>
      <c r="AI142" s="8"/>
      <c r="AJ142" s="8"/>
      <c r="AK142" s="8"/>
      <c r="AL142" s="8"/>
      <c r="AM142" s="81" t="s">
        <v>243</v>
      </c>
      <c r="AN142" s="8"/>
      <c r="AO142" s="8"/>
      <c r="AP142" s="8"/>
      <c r="AQ142" s="8"/>
      <c r="AR142" s="9">
        <v>43389</v>
      </c>
      <c r="AS142" s="8" t="s">
        <v>8408</v>
      </c>
      <c r="AT142" s="8" t="s">
        <v>348</v>
      </c>
      <c r="AU142" s="9"/>
      <c r="AV142" s="81" t="s">
        <v>322</v>
      </c>
      <c r="AW142" s="81" t="s">
        <v>492</v>
      </c>
      <c r="AX142" s="8" t="s">
        <v>1849</v>
      </c>
      <c r="AY142" s="8"/>
      <c r="AZ142" s="8" t="s">
        <v>8410</v>
      </c>
      <c r="BA142" s="81" t="s">
        <v>399</v>
      </c>
      <c r="BB142" s="8"/>
      <c r="BC142" s="8"/>
      <c r="BD142" s="8"/>
      <c r="BE142" s="81" t="s">
        <v>261</v>
      </c>
      <c r="BF142" s="8" t="s">
        <v>1850</v>
      </c>
      <c r="BG142" s="9">
        <v>51029</v>
      </c>
      <c r="BH142" s="81" t="s">
        <v>305</v>
      </c>
      <c r="BI142" s="81" t="s">
        <v>1852</v>
      </c>
      <c r="BJ142" s="9">
        <v>40057</v>
      </c>
      <c r="BK142" s="9">
        <v>41091</v>
      </c>
      <c r="BL142" s="81" t="s">
        <v>1854</v>
      </c>
      <c r="BM142" s="8"/>
      <c r="BN142" s="8"/>
      <c r="BO142" s="8"/>
      <c r="BP142" s="8"/>
      <c r="BQ142" s="9"/>
      <c r="BR142" s="9"/>
      <c r="BS142" s="8"/>
      <c r="BT142" s="81" t="s">
        <v>1855</v>
      </c>
      <c r="BU142" s="81" t="s">
        <v>266</v>
      </c>
      <c r="BV142" s="8" t="s">
        <v>1856</v>
      </c>
      <c r="BW142" s="81" t="s">
        <v>492</v>
      </c>
      <c r="BX142" s="81" t="s">
        <v>337</v>
      </c>
      <c r="BY142" s="9">
        <v>45663</v>
      </c>
      <c r="BZ142" s="9">
        <v>47603</v>
      </c>
      <c r="CA142" s="8" t="s">
        <v>257</v>
      </c>
    </row>
    <row r="143" spans="1:79" ht="157.19999999999999" x14ac:dyDescent="0.25">
      <c r="A143" s="81" t="s">
        <v>1858</v>
      </c>
      <c r="B143" s="8"/>
      <c r="C143" s="81" t="s">
        <v>26</v>
      </c>
      <c r="D143" s="8" t="s">
        <v>7915</v>
      </c>
      <c r="E143" s="8"/>
      <c r="F143" s="9">
        <v>33855</v>
      </c>
      <c r="G143" s="8" t="s">
        <v>1689</v>
      </c>
      <c r="H143" s="81" t="s">
        <v>250</v>
      </c>
      <c r="I143" s="81" t="s">
        <v>27</v>
      </c>
      <c r="J143" s="81" t="s">
        <v>270</v>
      </c>
      <c r="K143" s="81" t="s">
        <v>488</v>
      </c>
      <c r="L143" s="81" t="s">
        <v>102</v>
      </c>
      <c r="M143" s="81" t="s">
        <v>8411</v>
      </c>
      <c r="N143" s="81" t="s">
        <v>119</v>
      </c>
      <c r="O143" s="81" t="s">
        <v>29</v>
      </c>
      <c r="P143" s="9"/>
      <c r="Q143" s="8"/>
      <c r="R143" s="8"/>
      <c r="S143" s="8"/>
      <c r="T143" s="81" t="s">
        <v>8247</v>
      </c>
      <c r="U143" s="81" t="s">
        <v>8188</v>
      </c>
      <c r="V143" s="8"/>
      <c r="W143" s="8"/>
      <c r="X143" s="8" t="s">
        <v>1859</v>
      </c>
      <c r="Y143" s="81" t="s">
        <v>33</v>
      </c>
      <c r="Z143" s="8"/>
      <c r="AA143" s="81" t="s">
        <v>634</v>
      </c>
      <c r="AB143" s="8"/>
      <c r="AC143" s="8"/>
      <c r="AD143" s="81" t="s">
        <v>635</v>
      </c>
      <c r="AE143" s="81" t="s">
        <v>8174</v>
      </c>
      <c r="AF143" s="81" t="s">
        <v>256</v>
      </c>
      <c r="AG143" s="81" t="s">
        <v>635</v>
      </c>
      <c r="AH143" s="8"/>
      <c r="AI143" s="8"/>
      <c r="AJ143" s="8"/>
      <c r="AK143" s="8"/>
      <c r="AL143" s="8"/>
      <c r="AM143" s="81" t="s">
        <v>243</v>
      </c>
      <c r="AN143" s="8"/>
      <c r="AO143" s="8"/>
      <c r="AP143" s="8"/>
      <c r="AQ143" s="8"/>
      <c r="AR143" s="9">
        <v>43363</v>
      </c>
      <c r="AS143" s="8" t="s">
        <v>8412</v>
      </c>
      <c r="AT143" s="8" t="s">
        <v>348</v>
      </c>
      <c r="AU143" s="9"/>
      <c r="AV143" s="81" t="s">
        <v>322</v>
      </c>
      <c r="AW143" s="81" t="s">
        <v>256</v>
      </c>
      <c r="AX143" s="8" t="s">
        <v>1860</v>
      </c>
      <c r="AY143" s="8"/>
      <c r="AZ143" s="8" t="s">
        <v>8257</v>
      </c>
      <c r="BA143" s="81" t="s">
        <v>399</v>
      </c>
      <c r="BB143" s="8"/>
      <c r="BC143" s="8"/>
      <c r="BD143" s="8"/>
      <c r="BE143" s="81" t="s">
        <v>261</v>
      </c>
      <c r="BF143" s="8" t="s">
        <v>1861</v>
      </c>
      <c r="BG143" s="9">
        <v>51995</v>
      </c>
      <c r="BH143" s="81" t="s">
        <v>81</v>
      </c>
      <c r="BI143" s="81" t="s">
        <v>1032</v>
      </c>
      <c r="BJ143" s="9">
        <v>40787</v>
      </c>
      <c r="BK143" s="9">
        <v>42186</v>
      </c>
      <c r="BL143" s="81" t="s">
        <v>1239</v>
      </c>
      <c r="BM143" s="81" t="s">
        <v>82</v>
      </c>
      <c r="BN143" s="8"/>
      <c r="BO143" s="8"/>
      <c r="BP143" s="8"/>
      <c r="BQ143" s="9"/>
      <c r="BR143" s="9"/>
      <c r="BS143" s="8"/>
      <c r="BT143" s="8"/>
      <c r="BU143" s="8"/>
      <c r="BV143" s="8"/>
      <c r="BW143" s="81" t="s">
        <v>256</v>
      </c>
      <c r="BX143" s="81" t="s">
        <v>337</v>
      </c>
      <c r="BY143" s="9">
        <v>43836</v>
      </c>
      <c r="BZ143" s="9">
        <v>46873</v>
      </c>
      <c r="CA143" s="8" t="s">
        <v>257</v>
      </c>
    </row>
    <row r="144" spans="1:79" ht="205.2" x14ac:dyDescent="0.25">
      <c r="A144" s="81" t="s">
        <v>1863</v>
      </c>
      <c r="B144" s="8"/>
      <c r="C144" s="81" t="s">
        <v>26</v>
      </c>
      <c r="D144" s="8" t="s">
        <v>7916</v>
      </c>
      <c r="E144" s="8"/>
      <c r="F144" s="9">
        <v>34671</v>
      </c>
      <c r="G144" s="8" t="s">
        <v>837</v>
      </c>
      <c r="H144" s="81" t="s">
        <v>250</v>
      </c>
      <c r="I144" s="81" t="s">
        <v>27</v>
      </c>
      <c r="J144" s="81" t="s">
        <v>293</v>
      </c>
      <c r="K144" s="81" t="s">
        <v>294</v>
      </c>
      <c r="L144" s="81" t="s">
        <v>102</v>
      </c>
      <c r="M144" s="81" t="s">
        <v>8413</v>
      </c>
      <c r="N144" s="81" t="s">
        <v>272</v>
      </c>
      <c r="O144" s="81" t="s">
        <v>29</v>
      </c>
      <c r="P144" s="9"/>
      <c r="Q144" s="8"/>
      <c r="R144" s="8"/>
      <c r="S144" s="8"/>
      <c r="T144" s="8"/>
      <c r="U144" s="8"/>
      <c r="V144" s="8"/>
      <c r="W144" s="8"/>
      <c r="X144" s="8" t="s">
        <v>1864</v>
      </c>
      <c r="Y144" s="81" t="s">
        <v>33</v>
      </c>
      <c r="Z144" s="8"/>
      <c r="AA144" s="81" t="s">
        <v>1865</v>
      </c>
      <c r="AB144" s="8"/>
      <c r="AC144" s="8"/>
      <c r="AD144" s="81" t="s">
        <v>344</v>
      </c>
      <c r="AE144" s="81" t="s">
        <v>8129</v>
      </c>
      <c r="AF144" s="81" t="s">
        <v>242</v>
      </c>
      <c r="AG144" s="81" t="s">
        <v>345</v>
      </c>
      <c r="AH144" s="81" t="s">
        <v>346</v>
      </c>
      <c r="AI144" s="81" t="s">
        <v>344</v>
      </c>
      <c r="AJ144" s="8"/>
      <c r="AK144" s="8"/>
      <c r="AL144" s="8"/>
      <c r="AM144" s="81" t="s">
        <v>243</v>
      </c>
      <c r="AN144" s="8"/>
      <c r="AO144" s="8"/>
      <c r="AP144" s="8"/>
      <c r="AQ144" s="8"/>
      <c r="AR144" s="9">
        <v>43354</v>
      </c>
      <c r="AS144" s="8" t="s">
        <v>8414</v>
      </c>
      <c r="AT144" s="8" t="s">
        <v>348</v>
      </c>
      <c r="AU144" s="9"/>
      <c r="AV144" s="81" t="s">
        <v>322</v>
      </c>
      <c r="AW144" s="81" t="s">
        <v>242</v>
      </c>
      <c r="AX144" s="8" t="s">
        <v>1866</v>
      </c>
      <c r="AY144" s="8"/>
      <c r="AZ144" s="8" t="s">
        <v>8415</v>
      </c>
      <c r="BA144" s="81" t="s">
        <v>556</v>
      </c>
      <c r="BB144" s="8"/>
      <c r="BC144" s="8"/>
      <c r="BD144" s="8"/>
      <c r="BE144" s="81" t="s">
        <v>261</v>
      </c>
      <c r="BF144" s="8" t="s">
        <v>1867</v>
      </c>
      <c r="BG144" s="9">
        <v>53005</v>
      </c>
      <c r="BH144" s="81" t="s">
        <v>1705</v>
      </c>
      <c r="BI144" s="81" t="s">
        <v>1869</v>
      </c>
      <c r="BJ144" s="9">
        <v>40057</v>
      </c>
      <c r="BK144" s="9">
        <v>40360</v>
      </c>
      <c r="BL144" s="8"/>
      <c r="BM144" s="8"/>
      <c r="BN144" s="8"/>
      <c r="BO144" s="8"/>
      <c r="BP144" s="8"/>
      <c r="BQ144" s="9"/>
      <c r="BR144" s="9"/>
      <c r="BS144" s="8"/>
      <c r="BT144" s="8"/>
      <c r="BU144" s="8"/>
      <c r="BV144" s="8"/>
      <c r="BW144" s="81" t="s">
        <v>242</v>
      </c>
      <c r="BX144" s="81" t="s">
        <v>337</v>
      </c>
      <c r="BY144" s="9">
        <v>45870</v>
      </c>
      <c r="BZ144" s="9">
        <v>46873</v>
      </c>
      <c r="CA144" s="8" t="s">
        <v>245</v>
      </c>
    </row>
    <row r="145" spans="1:79" ht="157.19999999999999" x14ac:dyDescent="0.25">
      <c r="A145" s="81" t="s">
        <v>1870</v>
      </c>
      <c r="B145" s="8"/>
      <c r="C145" s="81" t="s">
        <v>26</v>
      </c>
      <c r="D145" s="8" t="s">
        <v>7917</v>
      </c>
      <c r="E145" s="8"/>
      <c r="F145" s="9">
        <v>32772</v>
      </c>
      <c r="G145" s="8" t="s">
        <v>1348</v>
      </c>
      <c r="H145" s="81" t="s">
        <v>250</v>
      </c>
      <c r="I145" s="81" t="s">
        <v>27</v>
      </c>
      <c r="J145" s="81" t="s">
        <v>474</v>
      </c>
      <c r="K145" s="81" t="s">
        <v>1871</v>
      </c>
      <c r="L145" s="81" t="s">
        <v>102</v>
      </c>
      <c r="M145" s="81" t="s">
        <v>8416</v>
      </c>
      <c r="N145" s="81" t="s">
        <v>119</v>
      </c>
      <c r="O145" s="81" t="s">
        <v>29</v>
      </c>
      <c r="P145" s="9"/>
      <c r="Q145" s="8"/>
      <c r="R145" s="8"/>
      <c r="S145" s="8"/>
      <c r="T145" s="81" t="s">
        <v>8247</v>
      </c>
      <c r="U145" s="81" t="s">
        <v>1654</v>
      </c>
      <c r="V145" s="8"/>
      <c r="W145" s="8"/>
      <c r="X145" s="8" t="s">
        <v>1872</v>
      </c>
      <c r="Y145" s="81" t="s">
        <v>33</v>
      </c>
      <c r="Z145" s="8"/>
      <c r="AA145" s="81" t="s">
        <v>240</v>
      </c>
      <c r="AB145" s="8"/>
      <c r="AC145" s="8"/>
      <c r="AD145" s="81" t="s">
        <v>655</v>
      </c>
      <c r="AE145" s="81" t="s">
        <v>8178</v>
      </c>
      <c r="AF145" s="81" t="s">
        <v>242</v>
      </c>
      <c r="AG145" s="81" t="s">
        <v>655</v>
      </c>
      <c r="AH145" s="8"/>
      <c r="AI145" s="8"/>
      <c r="AJ145" s="8"/>
      <c r="AK145" s="8"/>
      <c r="AL145" s="8"/>
      <c r="AM145" s="81" t="s">
        <v>243</v>
      </c>
      <c r="AN145" s="8"/>
      <c r="AO145" s="8"/>
      <c r="AP145" s="8"/>
      <c r="AQ145" s="8"/>
      <c r="AR145" s="9">
        <v>43313</v>
      </c>
      <c r="AS145" s="8" t="s">
        <v>8246</v>
      </c>
      <c r="AT145" s="8" t="s">
        <v>348</v>
      </c>
      <c r="AU145" s="9"/>
      <c r="AV145" s="81" t="s">
        <v>322</v>
      </c>
      <c r="AW145" s="81" t="s">
        <v>242</v>
      </c>
      <c r="AX145" s="8" t="s">
        <v>1873</v>
      </c>
      <c r="AY145" s="8"/>
      <c r="AZ145" s="8" t="s">
        <v>8278</v>
      </c>
      <c r="BA145" s="81" t="s">
        <v>399</v>
      </c>
      <c r="BB145" s="8"/>
      <c r="BC145" s="8"/>
      <c r="BD145" s="8"/>
      <c r="BE145" s="81" t="s">
        <v>261</v>
      </c>
      <c r="BF145" s="8" t="s">
        <v>1874</v>
      </c>
      <c r="BG145" s="9">
        <v>49923</v>
      </c>
      <c r="BH145" s="81" t="s">
        <v>81</v>
      </c>
      <c r="BI145" s="81" t="s">
        <v>1876</v>
      </c>
      <c r="BJ145" s="9">
        <v>39326</v>
      </c>
      <c r="BK145" s="9">
        <v>40836</v>
      </c>
      <c r="BL145" s="81" t="s">
        <v>1879</v>
      </c>
      <c r="BM145" s="81" t="s">
        <v>82</v>
      </c>
      <c r="BN145" s="8"/>
      <c r="BO145" s="8"/>
      <c r="BP145" s="8"/>
      <c r="BQ145" s="9"/>
      <c r="BR145" s="9"/>
      <c r="BS145" s="8"/>
      <c r="BT145" s="8"/>
      <c r="BU145" s="8"/>
      <c r="BV145" s="8"/>
      <c r="BW145" s="81" t="s">
        <v>242</v>
      </c>
      <c r="BX145" s="81" t="s">
        <v>337</v>
      </c>
      <c r="BY145" s="9">
        <v>43313</v>
      </c>
      <c r="BZ145" s="9">
        <v>46599</v>
      </c>
      <c r="CA145" s="8" t="s">
        <v>63</v>
      </c>
    </row>
    <row r="146" spans="1:79" ht="205.2" x14ac:dyDescent="0.25">
      <c r="A146" s="81" t="s">
        <v>1880</v>
      </c>
      <c r="B146" s="8"/>
      <c r="C146" s="81" t="s">
        <v>26</v>
      </c>
      <c r="D146" s="8" t="s">
        <v>7918</v>
      </c>
      <c r="E146" s="8"/>
      <c r="F146" s="9">
        <v>35159</v>
      </c>
      <c r="G146" s="8" t="s">
        <v>741</v>
      </c>
      <c r="H146" s="81" t="s">
        <v>250</v>
      </c>
      <c r="I146" s="81" t="s">
        <v>27</v>
      </c>
      <c r="J146" s="81" t="s">
        <v>252</v>
      </c>
      <c r="K146" s="81" t="s">
        <v>294</v>
      </c>
      <c r="L146" s="81" t="s">
        <v>102</v>
      </c>
      <c r="M146" s="81" t="s">
        <v>8417</v>
      </c>
      <c r="N146" s="81" t="s">
        <v>272</v>
      </c>
      <c r="O146" s="81" t="s">
        <v>253</v>
      </c>
      <c r="P146" s="9"/>
      <c r="Q146" s="8"/>
      <c r="R146" s="8"/>
      <c r="S146" s="8"/>
      <c r="T146" s="8"/>
      <c r="U146" s="8"/>
      <c r="V146" s="8"/>
      <c r="W146" s="8"/>
      <c r="X146" s="8" t="s">
        <v>1881</v>
      </c>
      <c r="Y146" s="81" t="s">
        <v>33</v>
      </c>
      <c r="Z146" s="8"/>
      <c r="AA146" s="81" t="s">
        <v>574</v>
      </c>
      <c r="AB146" s="8"/>
      <c r="AC146" s="8"/>
      <c r="AD146" s="81" t="s">
        <v>344</v>
      </c>
      <c r="AE146" s="81" t="s">
        <v>8129</v>
      </c>
      <c r="AF146" s="81" t="s">
        <v>242</v>
      </c>
      <c r="AG146" s="81" t="s">
        <v>345</v>
      </c>
      <c r="AH146" s="81" t="s">
        <v>346</v>
      </c>
      <c r="AI146" s="81" t="s">
        <v>344</v>
      </c>
      <c r="AJ146" s="8"/>
      <c r="AK146" s="8"/>
      <c r="AL146" s="8"/>
      <c r="AM146" s="81" t="s">
        <v>243</v>
      </c>
      <c r="AN146" s="8"/>
      <c r="AO146" s="8"/>
      <c r="AP146" s="8"/>
      <c r="AQ146" s="8"/>
      <c r="AR146" s="9">
        <v>43282</v>
      </c>
      <c r="AS146" s="8" t="s">
        <v>8418</v>
      </c>
      <c r="AT146" s="8" t="s">
        <v>348</v>
      </c>
      <c r="AU146" s="9"/>
      <c r="AV146" s="81" t="s">
        <v>322</v>
      </c>
      <c r="AW146" s="81" t="s">
        <v>242</v>
      </c>
      <c r="AX146" s="8" t="s">
        <v>1882</v>
      </c>
      <c r="AY146" s="8"/>
      <c r="AZ146" s="8" t="s">
        <v>8310</v>
      </c>
      <c r="BA146" s="81" t="s">
        <v>556</v>
      </c>
      <c r="BB146" s="8"/>
      <c r="BC146" s="8"/>
      <c r="BD146" s="8"/>
      <c r="BE146" s="81" t="s">
        <v>261</v>
      </c>
      <c r="BF146" s="8" t="s">
        <v>1883</v>
      </c>
      <c r="BG146" s="9">
        <v>46432</v>
      </c>
      <c r="BH146" s="81" t="s">
        <v>305</v>
      </c>
      <c r="BI146" s="81" t="s">
        <v>559</v>
      </c>
      <c r="BJ146" s="9">
        <v>42248</v>
      </c>
      <c r="BK146" s="9">
        <v>43282</v>
      </c>
      <c r="BL146" s="81" t="s">
        <v>1885</v>
      </c>
      <c r="BM146" s="8"/>
      <c r="BN146" s="8"/>
      <c r="BO146" s="8"/>
      <c r="BP146" s="8"/>
      <c r="BQ146" s="9"/>
      <c r="BR146" s="9"/>
      <c r="BS146" s="8"/>
      <c r="BT146" s="8"/>
      <c r="BU146" s="8"/>
      <c r="BV146" s="8"/>
      <c r="BW146" s="81" t="s">
        <v>242</v>
      </c>
      <c r="BX146" s="81" t="s">
        <v>337</v>
      </c>
      <c r="BY146" s="9">
        <v>45870</v>
      </c>
      <c r="BZ146" s="9">
        <v>46873</v>
      </c>
      <c r="CA146" s="8" t="s">
        <v>245</v>
      </c>
    </row>
    <row r="147" spans="1:79" ht="141.6" x14ac:dyDescent="0.25">
      <c r="A147" s="81" t="s">
        <v>1886</v>
      </c>
      <c r="B147" s="8"/>
      <c r="C147" s="81" t="s">
        <v>26</v>
      </c>
      <c r="D147" s="8" t="s">
        <v>7919</v>
      </c>
      <c r="E147" s="8"/>
      <c r="F147" s="9">
        <v>35058</v>
      </c>
      <c r="G147" s="8" t="s">
        <v>741</v>
      </c>
      <c r="H147" s="81" t="s">
        <v>250</v>
      </c>
      <c r="I147" s="81" t="s">
        <v>27</v>
      </c>
      <c r="J147" s="81" t="s">
        <v>270</v>
      </c>
      <c r="K147" s="81" t="s">
        <v>488</v>
      </c>
      <c r="L147" s="81" t="s">
        <v>102</v>
      </c>
      <c r="M147" s="81" t="s">
        <v>8419</v>
      </c>
      <c r="N147" s="81" t="s">
        <v>119</v>
      </c>
      <c r="O147" s="81" t="s">
        <v>253</v>
      </c>
      <c r="P147" s="9"/>
      <c r="Q147" s="8"/>
      <c r="R147" s="8"/>
      <c r="S147" s="8"/>
      <c r="T147" s="8"/>
      <c r="U147" s="8"/>
      <c r="V147" s="8"/>
      <c r="W147" s="8"/>
      <c r="X147" s="8" t="s">
        <v>1887</v>
      </c>
      <c r="Y147" s="81" t="s">
        <v>33</v>
      </c>
      <c r="Z147" s="8"/>
      <c r="AA147" s="81" t="s">
        <v>616</v>
      </c>
      <c r="AB147" s="8"/>
      <c r="AC147" s="8"/>
      <c r="AD147" s="81" t="s">
        <v>553</v>
      </c>
      <c r="AE147" s="81" t="s">
        <v>8194</v>
      </c>
      <c r="AF147" s="81" t="s">
        <v>492</v>
      </c>
      <c r="AG147" s="81" t="s">
        <v>553</v>
      </c>
      <c r="AH147" s="8"/>
      <c r="AI147" s="8"/>
      <c r="AJ147" s="8"/>
      <c r="AK147" s="8"/>
      <c r="AL147" s="8"/>
      <c r="AM147" s="81" t="s">
        <v>243</v>
      </c>
      <c r="AN147" s="8"/>
      <c r="AO147" s="8"/>
      <c r="AP147" s="8"/>
      <c r="AQ147" s="8"/>
      <c r="AR147" s="9">
        <v>43282</v>
      </c>
      <c r="AS147" s="8" t="s">
        <v>8418</v>
      </c>
      <c r="AT147" s="8" t="s">
        <v>348</v>
      </c>
      <c r="AU147" s="9"/>
      <c r="AV147" s="81" t="s">
        <v>322</v>
      </c>
      <c r="AW147" s="81" t="s">
        <v>492</v>
      </c>
      <c r="AX147" s="8" t="s">
        <v>1888</v>
      </c>
      <c r="AY147" s="8"/>
      <c r="AZ147" s="8" t="s">
        <v>8310</v>
      </c>
      <c r="BA147" s="81" t="s">
        <v>556</v>
      </c>
      <c r="BB147" s="8"/>
      <c r="BC147" s="8"/>
      <c r="BD147" s="8"/>
      <c r="BE147" s="81" t="s">
        <v>261</v>
      </c>
      <c r="BF147" s="8" t="s">
        <v>1889</v>
      </c>
      <c r="BG147" s="9">
        <v>47332</v>
      </c>
      <c r="BH147" s="81" t="s">
        <v>305</v>
      </c>
      <c r="BI147" s="81" t="s">
        <v>559</v>
      </c>
      <c r="BJ147" s="9">
        <v>42246</v>
      </c>
      <c r="BK147" s="9">
        <v>42551</v>
      </c>
      <c r="BL147" s="81" t="s">
        <v>1787</v>
      </c>
      <c r="BM147" s="8"/>
      <c r="BN147" s="8"/>
      <c r="BO147" s="8"/>
      <c r="BP147" s="8"/>
      <c r="BQ147" s="9"/>
      <c r="BR147" s="9"/>
      <c r="BS147" s="8"/>
      <c r="BT147" s="8"/>
      <c r="BU147" s="8"/>
      <c r="BV147" s="8"/>
      <c r="BW147" s="81" t="s">
        <v>492</v>
      </c>
      <c r="BX147" s="81" t="s">
        <v>337</v>
      </c>
      <c r="BY147" s="9">
        <v>45778</v>
      </c>
      <c r="BZ147" s="9">
        <v>47603</v>
      </c>
      <c r="CA147" s="8" t="s">
        <v>61</v>
      </c>
    </row>
    <row r="148" spans="1:79" ht="141.6" x14ac:dyDescent="0.25">
      <c r="A148" s="81" t="s">
        <v>1893</v>
      </c>
      <c r="B148" s="8"/>
      <c r="C148" s="81" t="s">
        <v>26</v>
      </c>
      <c r="D148" s="8" t="s">
        <v>7920</v>
      </c>
      <c r="E148" s="8" t="s">
        <v>1894</v>
      </c>
      <c r="F148" s="9">
        <v>35059</v>
      </c>
      <c r="G148" s="8" t="s">
        <v>741</v>
      </c>
      <c r="H148" s="81" t="s">
        <v>250</v>
      </c>
      <c r="I148" s="81" t="s">
        <v>27</v>
      </c>
      <c r="J148" s="81" t="s">
        <v>270</v>
      </c>
      <c r="K148" s="81" t="s">
        <v>601</v>
      </c>
      <c r="L148" s="81" t="s">
        <v>102</v>
      </c>
      <c r="M148" s="81" t="s">
        <v>8420</v>
      </c>
      <c r="N148" s="81" t="s">
        <v>272</v>
      </c>
      <c r="O148" s="81" t="s">
        <v>29</v>
      </c>
      <c r="P148" s="9"/>
      <c r="Q148" s="8"/>
      <c r="R148" s="8"/>
      <c r="S148" s="8"/>
      <c r="T148" s="8"/>
      <c r="U148" s="8"/>
      <c r="V148" s="8"/>
      <c r="W148" s="8"/>
      <c r="X148" s="8" t="s">
        <v>1896</v>
      </c>
      <c r="Y148" s="81" t="s">
        <v>33</v>
      </c>
      <c r="Z148" s="8"/>
      <c r="AA148" s="81" t="s">
        <v>1379</v>
      </c>
      <c r="AB148" s="8"/>
      <c r="AC148" s="8"/>
      <c r="AD148" s="81" t="s">
        <v>1380</v>
      </c>
      <c r="AE148" s="81" t="s">
        <v>8309</v>
      </c>
      <c r="AF148" s="81" t="s">
        <v>242</v>
      </c>
      <c r="AG148" s="81" t="s">
        <v>1380</v>
      </c>
      <c r="AH148" s="8"/>
      <c r="AI148" s="8"/>
      <c r="AJ148" s="8"/>
      <c r="AK148" s="8"/>
      <c r="AL148" s="8"/>
      <c r="AM148" s="81" t="s">
        <v>243</v>
      </c>
      <c r="AN148" s="8"/>
      <c r="AO148" s="8"/>
      <c r="AP148" s="8"/>
      <c r="AQ148" s="8"/>
      <c r="AR148" s="9">
        <v>43282</v>
      </c>
      <c r="AS148" s="8" t="s">
        <v>8418</v>
      </c>
      <c r="AT148" s="8" t="s">
        <v>348</v>
      </c>
      <c r="AU148" s="9"/>
      <c r="AV148" s="81" t="s">
        <v>322</v>
      </c>
      <c r="AW148" s="81" t="s">
        <v>242</v>
      </c>
      <c r="AX148" s="8" t="s">
        <v>1897</v>
      </c>
      <c r="AY148" s="8"/>
      <c r="AZ148" s="8" t="s">
        <v>8310</v>
      </c>
      <c r="BA148" s="81" t="s">
        <v>556</v>
      </c>
      <c r="BB148" s="8"/>
      <c r="BC148" s="8"/>
      <c r="BD148" s="8"/>
      <c r="BE148" s="81" t="s">
        <v>261</v>
      </c>
      <c r="BF148" s="8" t="s">
        <v>1898</v>
      </c>
      <c r="BG148" s="9">
        <v>53190</v>
      </c>
      <c r="BH148" s="81" t="s">
        <v>305</v>
      </c>
      <c r="BI148" s="81" t="s">
        <v>1900</v>
      </c>
      <c r="BJ148" s="9">
        <v>42248</v>
      </c>
      <c r="BK148" s="9">
        <v>43282</v>
      </c>
      <c r="BL148" s="81" t="s">
        <v>330</v>
      </c>
      <c r="BM148" s="8"/>
      <c r="BN148" s="8"/>
      <c r="BO148" s="8"/>
      <c r="BP148" s="8"/>
      <c r="BQ148" s="9"/>
      <c r="BR148" s="9"/>
      <c r="BS148" s="8"/>
      <c r="BT148" s="8"/>
      <c r="BU148" s="8"/>
      <c r="BV148" s="8"/>
      <c r="BW148" s="81" t="s">
        <v>242</v>
      </c>
      <c r="BX148" s="81" t="s">
        <v>337</v>
      </c>
      <c r="BY148" s="9">
        <v>45870</v>
      </c>
      <c r="BZ148" s="9">
        <v>47695</v>
      </c>
      <c r="CA148" s="8" t="s">
        <v>61</v>
      </c>
    </row>
    <row r="149" spans="1:79" ht="157.19999999999999" x14ac:dyDescent="0.25">
      <c r="A149" s="81" t="s">
        <v>1901</v>
      </c>
      <c r="B149" s="8"/>
      <c r="C149" s="81" t="s">
        <v>26</v>
      </c>
      <c r="D149" s="8" t="s">
        <v>7921</v>
      </c>
      <c r="E149" s="8"/>
      <c r="F149" s="9">
        <v>34503</v>
      </c>
      <c r="G149" s="8" t="s">
        <v>837</v>
      </c>
      <c r="H149" s="81" t="s">
        <v>250</v>
      </c>
      <c r="I149" s="81" t="s">
        <v>251</v>
      </c>
      <c r="J149" s="81" t="s">
        <v>293</v>
      </c>
      <c r="K149" s="81" t="s">
        <v>1231</v>
      </c>
      <c r="L149" s="81" t="s">
        <v>102</v>
      </c>
      <c r="M149" s="81" t="s">
        <v>1902</v>
      </c>
      <c r="N149" s="81" t="s">
        <v>272</v>
      </c>
      <c r="O149" s="81" t="s">
        <v>29</v>
      </c>
      <c r="P149" s="9"/>
      <c r="Q149" s="8"/>
      <c r="R149" s="8"/>
      <c r="S149" s="8"/>
      <c r="T149" s="8"/>
      <c r="U149" s="8"/>
      <c r="V149" s="8"/>
      <c r="W149" s="8"/>
      <c r="X149" s="8" t="s">
        <v>1903</v>
      </c>
      <c r="Y149" s="81" t="s">
        <v>33</v>
      </c>
      <c r="Z149" s="8"/>
      <c r="AA149" s="81" t="s">
        <v>733</v>
      </c>
      <c r="AB149" s="8"/>
      <c r="AC149" s="8"/>
      <c r="AD149" s="81" t="s">
        <v>241</v>
      </c>
      <c r="AE149" s="81" t="s">
        <v>8114</v>
      </c>
      <c r="AF149" s="81" t="s">
        <v>242</v>
      </c>
      <c r="AG149" s="81" t="s">
        <v>241</v>
      </c>
      <c r="AH149" s="8"/>
      <c r="AI149" s="8"/>
      <c r="AJ149" s="8"/>
      <c r="AK149" s="8"/>
      <c r="AL149" s="8"/>
      <c r="AM149" s="81" t="s">
        <v>243</v>
      </c>
      <c r="AN149" s="8"/>
      <c r="AO149" s="8"/>
      <c r="AP149" s="8"/>
      <c r="AQ149" s="8"/>
      <c r="AR149" s="9">
        <v>43276</v>
      </c>
      <c r="AS149" s="8" t="s">
        <v>8418</v>
      </c>
      <c r="AT149" s="8" t="s">
        <v>348</v>
      </c>
      <c r="AU149" s="9"/>
      <c r="AV149" s="81" t="s">
        <v>322</v>
      </c>
      <c r="AW149" s="81" t="s">
        <v>242</v>
      </c>
      <c r="AX149" s="8" t="s">
        <v>1904</v>
      </c>
      <c r="AY149" s="8"/>
      <c r="AZ149" s="8" t="s">
        <v>8184</v>
      </c>
      <c r="BA149" s="81" t="s">
        <v>556</v>
      </c>
      <c r="BB149" s="8"/>
      <c r="BC149" s="8"/>
      <c r="BD149" s="8"/>
      <c r="BE149" s="81" t="s">
        <v>261</v>
      </c>
      <c r="BF149" s="8" t="s">
        <v>1905</v>
      </c>
      <c r="BG149" s="9">
        <v>47635</v>
      </c>
      <c r="BH149" s="81" t="s">
        <v>305</v>
      </c>
      <c r="BI149" s="81" t="s">
        <v>1103</v>
      </c>
      <c r="BJ149" s="9">
        <v>42795</v>
      </c>
      <c r="BK149" s="9">
        <v>43647</v>
      </c>
      <c r="BL149" s="81" t="s">
        <v>1906</v>
      </c>
      <c r="BM149" s="8"/>
      <c r="BN149" s="8"/>
      <c r="BO149" s="8"/>
      <c r="BP149" s="8"/>
      <c r="BQ149" s="9"/>
      <c r="BR149" s="9"/>
      <c r="BS149" s="8"/>
      <c r="BT149" s="81" t="s">
        <v>1907</v>
      </c>
      <c r="BU149" s="81" t="s">
        <v>266</v>
      </c>
      <c r="BV149" s="8" t="s">
        <v>1908</v>
      </c>
      <c r="BW149" s="81" t="s">
        <v>242</v>
      </c>
      <c r="BX149" s="81" t="s">
        <v>1556</v>
      </c>
      <c r="BY149" s="9">
        <v>45017</v>
      </c>
      <c r="BZ149" s="9"/>
      <c r="CA149" s="8" t="s">
        <v>245</v>
      </c>
    </row>
    <row r="150" spans="1:79" ht="173.4" x14ac:dyDescent="0.25">
      <c r="A150" s="81" t="s">
        <v>1910</v>
      </c>
      <c r="B150" s="8"/>
      <c r="C150" s="81" t="s">
        <v>352</v>
      </c>
      <c r="D150" s="8" t="s">
        <v>7922</v>
      </c>
      <c r="E150" s="8"/>
      <c r="F150" s="9">
        <v>32797</v>
      </c>
      <c r="G150" s="8" t="s">
        <v>1348</v>
      </c>
      <c r="H150" s="81" t="s">
        <v>250</v>
      </c>
      <c r="I150" s="81" t="s">
        <v>27</v>
      </c>
      <c r="J150" s="81" t="s">
        <v>252</v>
      </c>
      <c r="K150" s="81" t="s">
        <v>294</v>
      </c>
      <c r="L150" s="81" t="s">
        <v>102</v>
      </c>
      <c r="M150" s="81" t="s">
        <v>8421</v>
      </c>
      <c r="N150" s="81" t="s">
        <v>28</v>
      </c>
      <c r="O150" s="81" t="s">
        <v>29</v>
      </c>
      <c r="P150" s="9"/>
      <c r="Q150" s="8"/>
      <c r="R150" s="8"/>
      <c r="S150" s="8"/>
      <c r="T150" s="8"/>
      <c r="U150" s="8"/>
      <c r="V150" s="8"/>
      <c r="W150" s="8"/>
      <c r="X150" s="8" t="s">
        <v>1911</v>
      </c>
      <c r="Y150" s="81" t="s">
        <v>33</v>
      </c>
      <c r="Z150" s="8"/>
      <c r="AA150" s="81" t="s">
        <v>1444</v>
      </c>
      <c r="AB150" s="8"/>
      <c r="AC150" s="8"/>
      <c r="AD150" s="81" t="s">
        <v>320</v>
      </c>
      <c r="AE150" s="81" t="s">
        <v>8125</v>
      </c>
      <c r="AF150" s="81" t="s">
        <v>242</v>
      </c>
      <c r="AG150" s="81" t="s">
        <v>298</v>
      </c>
      <c r="AH150" s="81" t="s">
        <v>320</v>
      </c>
      <c r="AI150" s="8"/>
      <c r="AJ150" s="8"/>
      <c r="AK150" s="8"/>
      <c r="AL150" s="8"/>
      <c r="AM150" s="81" t="s">
        <v>243</v>
      </c>
      <c r="AN150" s="8"/>
      <c r="AO150" s="8"/>
      <c r="AP150" s="8"/>
      <c r="AQ150" s="8"/>
      <c r="AR150" s="9">
        <v>43256</v>
      </c>
      <c r="AS150" s="8" t="s">
        <v>8422</v>
      </c>
      <c r="AT150" s="8" t="s">
        <v>348</v>
      </c>
      <c r="AU150" s="9"/>
      <c r="AV150" s="81" t="s">
        <v>322</v>
      </c>
      <c r="AW150" s="81" t="s">
        <v>242</v>
      </c>
      <c r="AX150" s="8" t="s">
        <v>1913</v>
      </c>
      <c r="AY150" s="8"/>
      <c r="AZ150" s="8" t="s">
        <v>8423</v>
      </c>
      <c r="BA150" s="81" t="s">
        <v>361</v>
      </c>
      <c r="BB150" s="8"/>
      <c r="BC150" s="8"/>
      <c r="BD150" s="8"/>
      <c r="BE150" s="81" t="s">
        <v>261</v>
      </c>
      <c r="BF150" s="8" t="s">
        <v>1914</v>
      </c>
      <c r="BG150" s="9">
        <v>50917</v>
      </c>
      <c r="BH150" s="81" t="s">
        <v>81</v>
      </c>
      <c r="BI150" s="81" t="s">
        <v>1916</v>
      </c>
      <c r="BJ150" s="9">
        <v>39696</v>
      </c>
      <c r="BK150" s="9">
        <v>40907</v>
      </c>
      <c r="BL150" s="81" t="s">
        <v>1595</v>
      </c>
      <c r="BM150" s="8"/>
      <c r="BN150" s="8"/>
      <c r="BO150" s="8"/>
      <c r="BP150" s="8"/>
      <c r="BQ150" s="9"/>
      <c r="BR150" s="9"/>
      <c r="BS150" s="8"/>
      <c r="BT150" s="8"/>
      <c r="BU150" s="8"/>
      <c r="BV150" s="8"/>
      <c r="BW150" s="81" t="s">
        <v>242</v>
      </c>
      <c r="BX150" s="81" t="s">
        <v>337</v>
      </c>
      <c r="BY150" s="9">
        <v>45505</v>
      </c>
      <c r="BZ150" s="9">
        <v>47330</v>
      </c>
      <c r="CA150" s="8" t="s">
        <v>63</v>
      </c>
    </row>
    <row r="151" spans="1:79" ht="157.19999999999999" x14ac:dyDescent="0.25">
      <c r="A151" s="81" t="s">
        <v>1919</v>
      </c>
      <c r="B151" s="8"/>
      <c r="C151" s="81" t="s">
        <v>26</v>
      </c>
      <c r="D151" s="8" t="s">
        <v>7923</v>
      </c>
      <c r="E151" s="8"/>
      <c r="F151" s="9">
        <v>30547</v>
      </c>
      <c r="G151" s="8" t="s">
        <v>1678</v>
      </c>
      <c r="H151" s="81" t="s">
        <v>250</v>
      </c>
      <c r="I151" s="81" t="s">
        <v>435</v>
      </c>
      <c r="J151" s="81" t="s">
        <v>252</v>
      </c>
      <c r="K151" s="81" t="s">
        <v>668</v>
      </c>
      <c r="L151" s="81" t="s">
        <v>102</v>
      </c>
      <c r="M151" s="81" t="s">
        <v>8424</v>
      </c>
      <c r="N151" s="81" t="s">
        <v>119</v>
      </c>
      <c r="O151" s="81" t="s">
        <v>29</v>
      </c>
      <c r="P151" s="9"/>
      <c r="Q151" s="8"/>
      <c r="R151" s="8"/>
      <c r="S151" s="8"/>
      <c r="T151" s="81" t="s">
        <v>8247</v>
      </c>
      <c r="U151" s="81" t="s">
        <v>1654</v>
      </c>
      <c r="V151" s="8"/>
      <c r="W151" s="8"/>
      <c r="X151" s="8" t="s">
        <v>1920</v>
      </c>
      <c r="Y151" s="81" t="s">
        <v>33</v>
      </c>
      <c r="Z151" s="8"/>
      <c r="AA151" s="81" t="s">
        <v>240</v>
      </c>
      <c r="AB151" s="8"/>
      <c r="AC151" s="8"/>
      <c r="AD151" s="81" t="s">
        <v>491</v>
      </c>
      <c r="AE151" s="81" t="s">
        <v>8152</v>
      </c>
      <c r="AF151" s="81" t="s">
        <v>492</v>
      </c>
      <c r="AG151" s="81" t="s">
        <v>491</v>
      </c>
      <c r="AH151" s="8"/>
      <c r="AI151" s="8"/>
      <c r="AJ151" s="8"/>
      <c r="AK151" s="8"/>
      <c r="AL151" s="8"/>
      <c r="AM151" s="81" t="s">
        <v>243</v>
      </c>
      <c r="AN151" s="8"/>
      <c r="AO151" s="8"/>
      <c r="AP151" s="8"/>
      <c r="AQ151" s="8"/>
      <c r="AR151" s="9">
        <v>43241</v>
      </c>
      <c r="AS151" s="8" t="s">
        <v>8422</v>
      </c>
      <c r="AT151" s="8" t="s">
        <v>348</v>
      </c>
      <c r="AU151" s="9"/>
      <c r="AV151" s="81" t="s">
        <v>322</v>
      </c>
      <c r="AW151" s="81" t="s">
        <v>492</v>
      </c>
      <c r="AX151" s="8" t="s">
        <v>1921</v>
      </c>
      <c r="AY151" s="8"/>
      <c r="AZ151" s="8" t="s">
        <v>8366</v>
      </c>
      <c r="BA151" s="81" t="s">
        <v>399</v>
      </c>
      <c r="BB151" s="8"/>
      <c r="BC151" s="8"/>
      <c r="BD151" s="8"/>
      <c r="BE151" s="81" t="s">
        <v>261</v>
      </c>
      <c r="BF151" s="8" t="s">
        <v>1922</v>
      </c>
      <c r="BG151" s="9">
        <v>49833</v>
      </c>
      <c r="BH151" s="81" t="s">
        <v>81</v>
      </c>
      <c r="BI151" s="81" t="s">
        <v>1332</v>
      </c>
      <c r="BJ151" s="9">
        <v>38231</v>
      </c>
      <c r="BK151" s="9">
        <v>39630</v>
      </c>
      <c r="BL151" s="81" t="s">
        <v>1475</v>
      </c>
      <c r="BM151" s="81" t="s">
        <v>82</v>
      </c>
      <c r="BN151" s="8"/>
      <c r="BO151" s="8"/>
      <c r="BP151" s="8"/>
      <c r="BQ151" s="9"/>
      <c r="BR151" s="9"/>
      <c r="BS151" s="8"/>
      <c r="BT151" s="8"/>
      <c r="BU151" s="8"/>
      <c r="BV151" s="8"/>
      <c r="BW151" s="81" t="s">
        <v>492</v>
      </c>
      <c r="BX151" s="81" t="s">
        <v>337</v>
      </c>
      <c r="BY151" s="9">
        <v>45663</v>
      </c>
      <c r="BZ151" s="9">
        <v>47603</v>
      </c>
      <c r="CA151" s="8" t="s">
        <v>257</v>
      </c>
    </row>
    <row r="152" spans="1:79" ht="157.19999999999999" x14ac:dyDescent="0.25">
      <c r="A152" s="81" t="s">
        <v>1926</v>
      </c>
      <c r="B152" s="8"/>
      <c r="C152" s="81" t="s">
        <v>26</v>
      </c>
      <c r="D152" s="8" t="s">
        <v>7924</v>
      </c>
      <c r="E152" s="8"/>
      <c r="F152" s="9">
        <v>34341</v>
      </c>
      <c r="G152" s="8" t="s">
        <v>667</v>
      </c>
      <c r="H152" s="81" t="s">
        <v>250</v>
      </c>
      <c r="I152" s="81" t="s">
        <v>27</v>
      </c>
      <c r="J152" s="81" t="s">
        <v>270</v>
      </c>
      <c r="K152" s="81" t="s">
        <v>488</v>
      </c>
      <c r="L152" s="81" t="s">
        <v>102</v>
      </c>
      <c r="M152" s="81" t="s">
        <v>8425</v>
      </c>
      <c r="N152" s="81" t="s">
        <v>272</v>
      </c>
      <c r="O152" s="81" t="s">
        <v>29</v>
      </c>
      <c r="P152" s="9"/>
      <c r="Q152" s="8"/>
      <c r="R152" s="8"/>
      <c r="S152" s="8"/>
      <c r="T152" s="8"/>
      <c r="U152" s="8"/>
      <c r="V152" s="8"/>
      <c r="W152" s="8"/>
      <c r="X152" s="8" t="s">
        <v>1927</v>
      </c>
      <c r="Y152" s="81" t="s">
        <v>33</v>
      </c>
      <c r="Z152" s="8"/>
      <c r="AA152" s="81" t="s">
        <v>240</v>
      </c>
      <c r="AB152" s="8"/>
      <c r="AC152" s="8"/>
      <c r="AD152" s="81" t="s">
        <v>491</v>
      </c>
      <c r="AE152" s="81" t="s">
        <v>8152</v>
      </c>
      <c r="AF152" s="81" t="s">
        <v>492</v>
      </c>
      <c r="AG152" s="81" t="s">
        <v>491</v>
      </c>
      <c r="AH152" s="8"/>
      <c r="AI152" s="8"/>
      <c r="AJ152" s="8"/>
      <c r="AK152" s="8"/>
      <c r="AL152" s="8"/>
      <c r="AM152" s="81" t="s">
        <v>243</v>
      </c>
      <c r="AN152" s="8"/>
      <c r="AO152" s="8"/>
      <c r="AP152" s="8"/>
      <c r="AQ152" s="8"/>
      <c r="AR152" s="9">
        <v>43237</v>
      </c>
      <c r="AS152" s="8" t="s">
        <v>8422</v>
      </c>
      <c r="AT152" s="8" t="s">
        <v>348</v>
      </c>
      <c r="AU152" s="9"/>
      <c r="AV152" s="81" t="s">
        <v>322</v>
      </c>
      <c r="AW152" s="81" t="s">
        <v>492</v>
      </c>
      <c r="AX152" s="8" t="s">
        <v>1928</v>
      </c>
      <c r="AY152" s="8"/>
      <c r="AZ152" s="8" t="s">
        <v>8426</v>
      </c>
      <c r="BA152" s="81" t="s">
        <v>399</v>
      </c>
      <c r="BB152" s="8"/>
      <c r="BC152" s="8"/>
      <c r="BD152" s="8"/>
      <c r="BE152" s="81" t="s">
        <v>261</v>
      </c>
      <c r="BF152" s="8" t="s">
        <v>1929</v>
      </c>
      <c r="BG152" s="9">
        <v>47399</v>
      </c>
      <c r="BH152" s="81" t="s">
        <v>81</v>
      </c>
      <c r="BI152" s="81" t="s">
        <v>827</v>
      </c>
      <c r="BJ152" s="9">
        <v>41516</v>
      </c>
      <c r="BK152" s="9">
        <v>43039</v>
      </c>
      <c r="BL152" s="81" t="s">
        <v>285</v>
      </c>
      <c r="BM152" s="81" t="s">
        <v>82</v>
      </c>
      <c r="BN152" s="8"/>
      <c r="BO152" s="8"/>
      <c r="BP152" s="8"/>
      <c r="BQ152" s="9"/>
      <c r="BR152" s="9"/>
      <c r="BS152" s="8"/>
      <c r="BT152" s="8"/>
      <c r="BU152" s="8"/>
      <c r="BV152" s="8"/>
      <c r="BW152" s="81" t="s">
        <v>492</v>
      </c>
      <c r="BX152" s="81" t="s">
        <v>1556</v>
      </c>
      <c r="BY152" s="9">
        <v>45663</v>
      </c>
      <c r="BZ152" s="9"/>
      <c r="CA152" s="8" t="s">
        <v>257</v>
      </c>
    </row>
    <row r="153" spans="1:79" ht="157.19999999999999" x14ac:dyDescent="0.25">
      <c r="A153" s="81" t="s">
        <v>1933</v>
      </c>
      <c r="B153" s="8"/>
      <c r="C153" s="81" t="s">
        <v>26</v>
      </c>
      <c r="D153" s="8" t="s">
        <v>7925</v>
      </c>
      <c r="E153" s="8"/>
      <c r="F153" s="9">
        <v>34396</v>
      </c>
      <c r="G153" s="8" t="s">
        <v>667</v>
      </c>
      <c r="H153" s="81" t="s">
        <v>250</v>
      </c>
      <c r="I153" s="81" t="s">
        <v>27</v>
      </c>
      <c r="J153" s="81" t="s">
        <v>270</v>
      </c>
      <c r="K153" s="81" t="s">
        <v>488</v>
      </c>
      <c r="L153" s="81" t="s">
        <v>102</v>
      </c>
      <c r="M153" s="81" t="s">
        <v>975</v>
      </c>
      <c r="N153" s="81" t="s">
        <v>272</v>
      </c>
      <c r="O153" s="81" t="s">
        <v>29</v>
      </c>
      <c r="P153" s="9"/>
      <c r="Q153" s="8"/>
      <c r="R153" s="8"/>
      <c r="S153" s="8"/>
      <c r="T153" s="81" t="s">
        <v>8247</v>
      </c>
      <c r="U153" s="81" t="s">
        <v>8188</v>
      </c>
      <c r="V153" s="81" t="s">
        <v>8239</v>
      </c>
      <c r="W153" s="81" t="s">
        <v>1934</v>
      </c>
      <c r="X153" s="8" t="s">
        <v>1935</v>
      </c>
      <c r="Y153" s="81" t="s">
        <v>33</v>
      </c>
      <c r="Z153" s="8"/>
      <c r="AA153" s="81" t="s">
        <v>240</v>
      </c>
      <c r="AB153" s="8"/>
      <c r="AC153" s="8"/>
      <c r="AD153" s="81" t="s">
        <v>655</v>
      </c>
      <c r="AE153" s="81" t="s">
        <v>8178</v>
      </c>
      <c r="AF153" s="81" t="s">
        <v>242</v>
      </c>
      <c r="AG153" s="81" t="s">
        <v>655</v>
      </c>
      <c r="AH153" s="8"/>
      <c r="AI153" s="8"/>
      <c r="AJ153" s="8"/>
      <c r="AK153" s="8"/>
      <c r="AL153" s="8"/>
      <c r="AM153" s="81" t="s">
        <v>243</v>
      </c>
      <c r="AN153" s="8"/>
      <c r="AO153" s="8"/>
      <c r="AP153" s="8"/>
      <c r="AQ153" s="8"/>
      <c r="AR153" s="9">
        <v>43227</v>
      </c>
      <c r="AS153" s="8" t="s">
        <v>8427</v>
      </c>
      <c r="AT153" s="8" t="s">
        <v>348</v>
      </c>
      <c r="AU153" s="9"/>
      <c r="AV153" s="81" t="s">
        <v>322</v>
      </c>
      <c r="AW153" s="81" t="s">
        <v>242</v>
      </c>
      <c r="AX153" s="8" t="s">
        <v>1937</v>
      </c>
      <c r="AY153" s="8"/>
      <c r="AZ153" s="8" t="s">
        <v>8253</v>
      </c>
      <c r="BA153" s="81" t="s">
        <v>399</v>
      </c>
      <c r="BB153" s="8"/>
      <c r="BC153" s="8"/>
      <c r="BD153" s="8"/>
      <c r="BE153" s="81" t="s">
        <v>261</v>
      </c>
      <c r="BF153" s="8" t="s">
        <v>1938</v>
      </c>
      <c r="BG153" s="9">
        <v>52271</v>
      </c>
      <c r="BH153" s="81" t="s">
        <v>81</v>
      </c>
      <c r="BI153" s="81" t="s">
        <v>1940</v>
      </c>
      <c r="BJ153" s="9">
        <v>41153</v>
      </c>
      <c r="BK153" s="9">
        <v>42544</v>
      </c>
      <c r="BL153" s="81" t="s">
        <v>1475</v>
      </c>
      <c r="BM153" s="81" t="s">
        <v>82</v>
      </c>
      <c r="BN153" s="8"/>
      <c r="BO153" s="8"/>
      <c r="BP153" s="8"/>
      <c r="BQ153" s="9"/>
      <c r="BR153" s="9"/>
      <c r="BS153" s="8"/>
      <c r="BT153" s="8"/>
      <c r="BU153" s="8"/>
      <c r="BV153" s="8"/>
      <c r="BW153" s="81" t="s">
        <v>242</v>
      </c>
      <c r="BX153" s="81" t="s">
        <v>337</v>
      </c>
      <c r="BY153" s="9">
        <v>43227</v>
      </c>
      <c r="BZ153" s="9">
        <v>46599</v>
      </c>
      <c r="CA153" s="8" t="s">
        <v>63</v>
      </c>
    </row>
    <row r="154" spans="1:79" ht="157.19999999999999" x14ac:dyDescent="0.25">
      <c r="A154" s="81" t="s">
        <v>1941</v>
      </c>
      <c r="B154" s="8"/>
      <c r="C154" s="81" t="s">
        <v>26</v>
      </c>
      <c r="D154" s="8" t="s">
        <v>7926</v>
      </c>
      <c r="E154" s="8"/>
      <c r="F154" s="9">
        <v>31943</v>
      </c>
      <c r="G154" s="8" t="s">
        <v>434</v>
      </c>
      <c r="H154" s="81" t="s">
        <v>250</v>
      </c>
      <c r="I154" s="81" t="s">
        <v>27</v>
      </c>
      <c r="J154" s="81" t="s">
        <v>270</v>
      </c>
      <c r="K154" s="81" t="s">
        <v>353</v>
      </c>
      <c r="L154" s="81" t="s">
        <v>102</v>
      </c>
      <c r="M154" s="81" t="s">
        <v>8428</v>
      </c>
      <c r="N154" s="81" t="s">
        <v>119</v>
      </c>
      <c r="O154" s="81" t="s">
        <v>29</v>
      </c>
      <c r="P154" s="9"/>
      <c r="Q154" s="8"/>
      <c r="R154" s="8"/>
      <c r="S154" s="8"/>
      <c r="T154" s="81" t="s">
        <v>8141</v>
      </c>
      <c r="U154" s="81" t="s">
        <v>1156</v>
      </c>
      <c r="V154" s="8"/>
      <c r="W154" s="8"/>
      <c r="X154" s="8" t="s">
        <v>1942</v>
      </c>
      <c r="Y154" s="81" t="s">
        <v>33</v>
      </c>
      <c r="Z154" s="8"/>
      <c r="AA154" s="81" t="s">
        <v>565</v>
      </c>
      <c r="AB154" s="8"/>
      <c r="AC154" s="8"/>
      <c r="AD154" s="81" t="s">
        <v>566</v>
      </c>
      <c r="AE154" s="81" t="s">
        <v>8162</v>
      </c>
      <c r="AF154" s="81" t="s">
        <v>256</v>
      </c>
      <c r="AG154" s="81" t="s">
        <v>566</v>
      </c>
      <c r="AH154" s="8"/>
      <c r="AI154" s="8"/>
      <c r="AJ154" s="8"/>
      <c r="AK154" s="8"/>
      <c r="AL154" s="8"/>
      <c r="AM154" s="81" t="s">
        <v>243</v>
      </c>
      <c r="AN154" s="8"/>
      <c r="AO154" s="8"/>
      <c r="AP154" s="8"/>
      <c r="AQ154" s="8"/>
      <c r="AR154" s="9">
        <v>43193</v>
      </c>
      <c r="AS154" s="8" t="s">
        <v>8429</v>
      </c>
      <c r="AT154" s="8" t="s">
        <v>348</v>
      </c>
      <c r="AU154" s="9"/>
      <c r="AV154" s="81" t="s">
        <v>322</v>
      </c>
      <c r="AW154" s="81" t="s">
        <v>256</v>
      </c>
      <c r="AX154" s="8" t="s">
        <v>1943</v>
      </c>
      <c r="AY154" s="8"/>
      <c r="AZ154" s="8" t="s">
        <v>8430</v>
      </c>
      <c r="BA154" s="81" t="s">
        <v>556</v>
      </c>
      <c r="BB154" s="8"/>
      <c r="BC154" s="8"/>
      <c r="BD154" s="8"/>
      <c r="BE154" s="81" t="s">
        <v>261</v>
      </c>
      <c r="BF154" s="8" t="s">
        <v>1944</v>
      </c>
      <c r="BG154" s="9">
        <v>50400</v>
      </c>
      <c r="BH154" s="81" t="s">
        <v>81</v>
      </c>
      <c r="BI154" s="81" t="s">
        <v>1946</v>
      </c>
      <c r="BJ154" s="9">
        <v>39326</v>
      </c>
      <c r="BK154" s="9">
        <v>40724</v>
      </c>
      <c r="BL154" s="81" t="s">
        <v>1475</v>
      </c>
      <c r="BM154" s="81" t="s">
        <v>82</v>
      </c>
      <c r="BN154" s="8"/>
      <c r="BO154" s="8"/>
      <c r="BP154" s="8"/>
      <c r="BQ154" s="9"/>
      <c r="BR154" s="9"/>
      <c r="BS154" s="8"/>
      <c r="BT154" s="8"/>
      <c r="BU154" s="8"/>
      <c r="BV154" s="8"/>
      <c r="BW154" s="81" t="s">
        <v>256</v>
      </c>
      <c r="BX154" s="81" t="s">
        <v>1556</v>
      </c>
      <c r="BY154" s="9">
        <v>45663</v>
      </c>
      <c r="BZ154" s="9"/>
      <c r="CA154" s="8" t="s">
        <v>257</v>
      </c>
    </row>
    <row r="155" spans="1:79" ht="157.19999999999999" x14ac:dyDescent="0.25">
      <c r="A155" s="81" t="s">
        <v>1947</v>
      </c>
      <c r="B155" s="8"/>
      <c r="C155" s="81" t="s">
        <v>26</v>
      </c>
      <c r="D155" s="8" t="s">
        <v>7927</v>
      </c>
      <c r="E155" s="8" t="s">
        <v>1948</v>
      </c>
      <c r="F155" s="9">
        <v>34622</v>
      </c>
      <c r="G155" s="8" t="s">
        <v>837</v>
      </c>
      <c r="H155" s="81" t="s">
        <v>250</v>
      </c>
      <c r="I155" s="81" t="s">
        <v>27</v>
      </c>
      <c r="J155" s="81" t="s">
        <v>293</v>
      </c>
      <c r="K155" s="81" t="s">
        <v>455</v>
      </c>
      <c r="L155" s="81" t="s">
        <v>102</v>
      </c>
      <c r="M155" s="81" t="s">
        <v>8431</v>
      </c>
      <c r="N155" s="81" t="s">
        <v>272</v>
      </c>
      <c r="O155" s="81" t="s">
        <v>253</v>
      </c>
      <c r="P155" s="9"/>
      <c r="Q155" s="8"/>
      <c r="R155" s="8"/>
      <c r="S155" s="8"/>
      <c r="T155" s="81" t="s">
        <v>8247</v>
      </c>
      <c r="U155" s="81" t="s">
        <v>8188</v>
      </c>
      <c r="V155" s="8"/>
      <c r="W155" s="8"/>
      <c r="X155" s="8" t="s">
        <v>1949</v>
      </c>
      <c r="Y155" s="81" t="s">
        <v>33</v>
      </c>
      <c r="Z155" s="8"/>
      <c r="AA155" s="81" t="s">
        <v>240</v>
      </c>
      <c r="AB155" s="8"/>
      <c r="AC155" s="8"/>
      <c r="AD155" s="81" t="s">
        <v>241</v>
      </c>
      <c r="AE155" s="81" t="s">
        <v>8114</v>
      </c>
      <c r="AF155" s="81" t="s">
        <v>242</v>
      </c>
      <c r="AG155" s="81" t="s">
        <v>241</v>
      </c>
      <c r="AH155" s="8"/>
      <c r="AI155" s="8"/>
      <c r="AJ155" s="8"/>
      <c r="AK155" s="8"/>
      <c r="AL155" s="8"/>
      <c r="AM155" s="81" t="s">
        <v>243</v>
      </c>
      <c r="AN155" s="8"/>
      <c r="AO155" s="8"/>
      <c r="AP155" s="8"/>
      <c r="AQ155" s="8"/>
      <c r="AR155" s="9">
        <v>43052</v>
      </c>
      <c r="AS155" s="8" t="s">
        <v>8432</v>
      </c>
      <c r="AT155" s="8" t="s">
        <v>348</v>
      </c>
      <c r="AU155" s="9"/>
      <c r="AV155" s="81" t="s">
        <v>322</v>
      </c>
      <c r="AW155" s="81" t="s">
        <v>242</v>
      </c>
      <c r="AX155" s="8" t="s">
        <v>1951</v>
      </c>
      <c r="AY155" s="8"/>
      <c r="AZ155" s="8" t="s">
        <v>8278</v>
      </c>
      <c r="BA155" s="81" t="s">
        <v>399</v>
      </c>
      <c r="BB155" s="8"/>
      <c r="BC155" s="8"/>
      <c r="BD155" s="8"/>
      <c r="BE155" s="81" t="s">
        <v>261</v>
      </c>
      <c r="BF155" s="8" t="s">
        <v>1952</v>
      </c>
      <c r="BG155" s="9">
        <v>46055</v>
      </c>
      <c r="BH155" s="81" t="s">
        <v>81</v>
      </c>
      <c r="BI155" s="81" t="s">
        <v>1953</v>
      </c>
      <c r="BJ155" s="9">
        <v>41153</v>
      </c>
      <c r="BK155" s="9">
        <v>42561</v>
      </c>
      <c r="BL155" s="81" t="s">
        <v>1475</v>
      </c>
      <c r="BM155" s="81" t="s">
        <v>82</v>
      </c>
      <c r="BN155" s="8"/>
      <c r="BO155" s="8"/>
      <c r="BP155" s="8"/>
      <c r="BQ155" s="9"/>
      <c r="BR155" s="9"/>
      <c r="BS155" s="8"/>
      <c r="BT155" s="8"/>
      <c r="BU155" s="8"/>
      <c r="BV155" s="8"/>
      <c r="BW155" s="81" t="s">
        <v>242</v>
      </c>
      <c r="BX155" s="81" t="s">
        <v>1556</v>
      </c>
      <c r="BY155" s="9">
        <v>45505</v>
      </c>
      <c r="BZ155" s="9"/>
      <c r="CA155" s="8" t="s">
        <v>61</v>
      </c>
    </row>
    <row r="156" spans="1:79" ht="157.19999999999999" x14ac:dyDescent="0.25">
      <c r="A156" s="81" t="s">
        <v>1955</v>
      </c>
      <c r="B156" s="8"/>
      <c r="C156" s="81" t="s">
        <v>26</v>
      </c>
      <c r="D156" s="8" t="s">
        <v>7928</v>
      </c>
      <c r="E156" s="8" t="s">
        <v>1956</v>
      </c>
      <c r="F156" s="9">
        <v>32826</v>
      </c>
      <c r="G156" s="8" t="s">
        <v>1348</v>
      </c>
      <c r="H156" s="81" t="s">
        <v>250</v>
      </c>
      <c r="I156" s="81" t="s">
        <v>27</v>
      </c>
      <c r="J156" s="81" t="s">
        <v>474</v>
      </c>
      <c r="K156" s="81" t="s">
        <v>808</v>
      </c>
      <c r="L156" s="81" t="s">
        <v>102</v>
      </c>
      <c r="M156" s="81" t="s">
        <v>8433</v>
      </c>
      <c r="N156" s="81" t="s">
        <v>119</v>
      </c>
      <c r="O156" s="81" t="s">
        <v>29</v>
      </c>
      <c r="P156" s="9"/>
      <c r="Q156" s="8"/>
      <c r="R156" s="8"/>
      <c r="S156" s="8"/>
      <c r="T156" s="8"/>
      <c r="U156" s="8"/>
      <c r="V156" s="8"/>
      <c r="W156" s="8"/>
      <c r="X156" s="8" t="s">
        <v>1957</v>
      </c>
      <c r="Y156" s="81" t="s">
        <v>33</v>
      </c>
      <c r="Z156" s="8"/>
      <c r="AA156" s="81" t="s">
        <v>565</v>
      </c>
      <c r="AB156" s="8"/>
      <c r="AC156" s="8"/>
      <c r="AD156" s="81" t="s">
        <v>566</v>
      </c>
      <c r="AE156" s="81" t="s">
        <v>8162</v>
      </c>
      <c r="AF156" s="81" t="s">
        <v>256</v>
      </c>
      <c r="AG156" s="81" t="s">
        <v>566</v>
      </c>
      <c r="AH156" s="8"/>
      <c r="AI156" s="8"/>
      <c r="AJ156" s="8"/>
      <c r="AK156" s="8"/>
      <c r="AL156" s="8"/>
      <c r="AM156" s="81" t="s">
        <v>243</v>
      </c>
      <c r="AN156" s="8"/>
      <c r="AO156" s="8"/>
      <c r="AP156" s="8"/>
      <c r="AQ156" s="8"/>
      <c r="AR156" s="9">
        <v>42926</v>
      </c>
      <c r="AS156" s="8" t="s">
        <v>8216</v>
      </c>
      <c r="AT156" s="8" t="s">
        <v>348</v>
      </c>
      <c r="AU156" s="9"/>
      <c r="AV156" s="81" t="s">
        <v>322</v>
      </c>
      <c r="AW156" s="81" t="s">
        <v>256</v>
      </c>
      <c r="AX156" s="8" t="s">
        <v>1958</v>
      </c>
      <c r="AY156" s="8"/>
      <c r="AZ156" s="8" t="s">
        <v>8434</v>
      </c>
      <c r="BA156" s="81" t="s">
        <v>556</v>
      </c>
      <c r="BB156" s="8"/>
      <c r="BC156" s="8"/>
      <c r="BD156" s="8"/>
      <c r="BE156" s="81" t="s">
        <v>261</v>
      </c>
      <c r="BF156" s="8" t="s">
        <v>1959</v>
      </c>
      <c r="BG156" s="9">
        <v>51632</v>
      </c>
      <c r="BH156" s="81" t="s">
        <v>305</v>
      </c>
      <c r="BI156" s="81" t="s">
        <v>1961</v>
      </c>
      <c r="BJ156" s="9">
        <v>39692</v>
      </c>
      <c r="BK156" s="9">
        <v>40724</v>
      </c>
      <c r="BL156" s="81" t="s">
        <v>1962</v>
      </c>
      <c r="BM156" s="8"/>
      <c r="BN156" s="8"/>
      <c r="BO156" s="8"/>
      <c r="BP156" s="8"/>
      <c r="BQ156" s="9"/>
      <c r="BR156" s="9"/>
      <c r="BS156" s="8"/>
      <c r="BT156" s="8"/>
      <c r="BU156" s="8"/>
      <c r="BV156" s="8"/>
      <c r="BW156" s="81" t="s">
        <v>256</v>
      </c>
      <c r="BX156" s="81" t="s">
        <v>1556</v>
      </c>
      <c r="BY156" s="9">
        <v>43836</v>
      </c>
      <c r="BZ156" s="9"/>
      <c r="CA156" s="8" t="s">
        <v>257</v>
      </c>
    </row>
    <row r="157" spans="1:79" ht="141.6" x14ac:dyDescent="0.25">
      <c r="A157" s="81" t="s">
        <v>1963</v>
      </c>
      <c r="B157" s="8"/>
      <c r="C157" s="81" t="s">
        <v>26</v>
      </c>
      <c r="D157" s="8" t="s">
        <v>7929</v>
      </c>
      <c r="E157" s="8"/>
      <c r="F157" s="9">
        <v>34906</v>
      </c>
      <c r="G157" s="8" t="s">
        <v>741</v>
      </c>
      <c r="H157" s="81" t="s">
        <v>250</v>
      </c>
      <c r="I157" s="81" t="s">
        <v>27</v>
      </c>
      <c r="J157" s="81" t="s">
        <v>252</v>
      </c>
      <c r="K157" s="81" t="s">
        <v>1964</v>
      </c>
      <c r="L157" s="81" t="s">
        <v>102</v>
      </c>
      <c r="M157" s="81" t="s">
        <v>8435</v>
      </c>
      <c r="N157" s="81" t="s">
        <v>119</v>
      </c>
      <c r="O157" s="81" t="s">
        <v>29</v>
      </c>
      <c r="P157" s="9"/>
      <c r="Q157" s="8"/>
      <c r="R157" s="8"/>
      <c r="S157" s="8"/>
      <c r="T157" s="8"/>
      <c r="U157" s="8"/>
      <c r="V157" s="81" t="s">
        <v>8247</v>
      </c>
      <c r="W157" s="81" t="s">
        <v>1965</v>
      </c>
      <c r="X157" s="8" t="s">
        <v>1966</v>
      </c>
      <c r="Y157" s="81" t="s">
        <v>33</v>
      </c>
      <c r="Z157" s="8"/>
      <c r="AA157" s="81" t="s">
        <v>477</v>
      </c>
      <c r="AB157" s="8"/>
      <c r="AC157" s="8"/>
      <c r="AD157" s="81" t="s">
        <v>1967</v>
      </c>
      <c r="AE157" s="81" t="s">
        <v>8436</v>
      </c>
      <c r="AF157" s="81" t="s">
        <v>242</v>
      </c>
      <c r="AG157" s="81" t="s">
        <v>1967</v>
      </c>
      <c r="AH157" s="8"/>
      <c r="AI157" s="8"/>
      <c r="AJ157" s="8"/>
      <c r="AK157" s="8"/>
      <c r="AL157" s="8"/>
      <c r="AM157" s="81" t="s">
        <v>243</v>
      </c>
      <c r="AN157" s="8"/>
      <c r="AO157" s="8"/>
      <c r="AP157" s="8"/>
      <c r="AQ157" s="8"/>
      <c r="AR157" s="9">
        <v>42917</v>
      </c>
      <c r="AS157" s="8" t="s">
        <v>8216</v>
      </c>
      <c r="AT157" s="8" t="s">
        <v>348</v>
      </c>
      <c r="AU157" s="9"/>
      <c r="AV157" s="81" t="s">
        <v>322</v>
      </c>
      <c r="AW157" s="81" t="s">
        <v>242</v>
      </c>
      <c r="AX157" s="8" t="s">
        <v>1968</v>
      </c>
      <c r="AY157" s="8"/>
      <c r="AZ157" s="8" t="s">
        <v>8402</v>
      </c>
      <c r="BA157" s="81" t="s">
        <v>399</v>
      </c>
      <c r="BB157" s="8"/>
      <c r="BC157" s="8"/>
      <c r="BD157" s="8"/>
      <c r="BE157" s="81" t="s">
        <v>261</v>
      </c>
      <c r="BF157" s="8" t="s">
        <v>1969</v>
      </c>
      <c r="BG157" s="9">
        <v>46186</v>
      </c>
      <c r="BH157" s="81" t="s">
        <v>81</v>
      </c>
      <c r="BI157" s="81" t="s">
        <v>83</v>
      </c>
      <c r="BJ157" s="9">
        <v>41508</v>
      </c>
      <c r="BK157" s="9">
        <v>42916</v>
      </c>
      <c r="BL157" s="81" t="s">
        <v>84</v>
      </c>
      <c r="BM157" s="81" t="s">
        <v>82</v>
      </c>
      <c r="BN157" s="8"/>
      <c r="BO157" s="8"/>
      <c r="BP157" s="8"/>
      <c r="BQ157" s="9"/>
      <c r="BR157" s="9"/>
      <c r="BS157" s="8"/>
      <c r="BT157" s="8"/>
      <c r="BU157" s="8"/>
      <c r="BV157" s="8"/>
      <c r="BW157" s="81" t="s">
        <v>242</v>
      </c>
      <c r="BX157" s="81" t="s">
        <v>1556</v>
      </c>
      <c r="BY157" s="9">
        <v>45505</v>
      </c>
      <c r="BZ157" s="9"/>
      <c r="CA157" s="8" t="s">
        <v>61</v>
      </c>
    </row>
    <row r="158" spans="1:79" ht="141.6" x14ac:dyDescent="0.25">
      <c r="A158" s="81" t="s">
        <v>1972</v>
      </c>
      <c r="B158" s="8"/>
      <c r="C158" s="81" t="s">
        <v>26</v>
      </c>
      <c r="D158" s="8" t="s">
        <v>7930</v>
      </c>
      <c r="E158" s="8" t="s">
        <v>1973</v>
      </c>
      <c r="F158" s="9">
        <v>35804</v>
      </c>
      <c r="G158" s="8" t="s">
        <v>819</v>
      </c>
      <c r="H158" s="81" t="s">
        <v>250</v>
      </c>
      <c r="I158" s="81" t="s">
        <v>27</v>
      </c>
      <c r="J158" s="81" t="s">
        <v>293</v>
      </c>
      <c r="K158" s="81" t="s">
        <v>294</v>
      </c>
      <c r="L158" s="81" t="s">
        <v>102</v>
      </c>
      <c r="M158" s="81" t="s">
        <v>8437</v>
      </c>
      <c r="N158" s="81" t="s">
        <v>272</v>
      </c>
      <c r="O158" s="81" t="s">
        <v>29</v>
      </c>
      <c r="P158" s="9">
        <v>42786</v>
      </c>
      <c r="Q158" s="8" t="s">
        <v>8438</v>
      </c>
      <c r="R158" s="8"/>
      <c r="S158" s="8"/>
      <c r="T158" s="8"/>
      <c r="U158" s="8"/>
      <c r="V158" s="8"/>
      <c r="W158" s="8"/>
      <c r="X158" s="8" t="s">
        <v>1974</v>
      </c>
      <c r="Y158" s="81" t="s">
        <v>33</v>
      </c>
      <c r="Z158" s="8"/>
      <c r="AA158" s="81" t="s">
        <v>1379</v>
      </c>
      <c r="AB158" s="8"/>
      <c r="AC158" s="8"/>
      <c r="AD158" s="81" t="s">
        <v>1380</v>
      </c>
      <c r="AE158" s="81" t="s">
        <v>8309</v>
      </c>
      <c r="AF158" s="81" t="s">
        <v>242</v>
      </c>
      <c r="AG158" s="81" t="s">
        <v>1380</v>
      </c>
      <c r="AH158" s="8"/>
      <c r="AI158" s="8"/>
      <c r="AJ158" s="8"/>
      <c r="AK158" s="8"/>
      <c r="AL158" s="8"/>
      <c r="AM158" s="81" t="s">
        <v>243</v>
      </c>
      <c r="AN158" s="8"/>
      <c r="AO158" s="8"/>
      <c r="AP158" s="8"/>
      <c r="AQ158" s="8"/>
      <c r="AR158" s="9">
        <v>42917</v>
      </c>
      <c r="AS158" s="8" t="s">
        <v>8216</v>
      </c>
      <c r="AT158" s="8" t="s">
        <v>348</v>
      </c>
      <c r="AU158" s="9"/>
      <c r="AV158" s="81" t="s">
        <v>322</v>
      </c>
      <c r="AW158" s="81" t="s">
        <v>242</v>
      </c>
      <c r="AX158" s="8" t="s">
        <v>1975</v>
      </c>
      <c r="AY158" s="8"/>
      <c r="AZ158" s="8" t="s">
        <v>8402</v>
      </c>
      <c r="BA158" s="81" t="s">
        <v>556</v>
      </c>
      <c r="BB158" s="8"/>
      <c r="BC158" s="8"/>
      <c r="BD158" s="8"/>
      <c r="BE158" s="81" t="s">
        <v>261</v>
      </c>
      <c r="BF158" s="8" t="s">
        <v>1976</v>
      </c>
      <c r="BG158" s="9">
        <v>46929</v>
      </c>
      <c r="BH158" s="81" t="s">
        <v>713</v>
      </c>
      <c r="BI158" s="81" t="s">
        <v>1978</v>
      </c>
      <c r="BJ158" s="9">
        <v>41883</v>
      </c>
      <c r="BK158" s="9">
        <v>42916</v>
      </c>
      <c r="BL158" s="81" t="s">
        <v>1979</v>
      </c>
      <c r="BM158" s="8"/>
      <c r="BN158" s="8"/>
      <c r="BO158" s="8"/>
      <c r="BP158" s="8"/>
      <c r="BQ158" s="9"/>
      <c r="BR158" s="9"/>
      <c r="BS158" s="8"/>
      <c r="BT158" s="8"/>
      <c r="BU158" s="8"/>
      <c r="BV158" s="8"/>
      <c r="BW158" s="81" t="s">
        <v>242</v>
      </c>
      <c r="BX158" s="81" t="s">
        <v>1556</v>
      </c>
      <c r="BY158" s="9">
        <v>42917</v>
      </c>
      <c r="BZ158" s="9"/>
      <c r="CA158" s="8" t="s">
        <v>63</v>
      </c>
    </row>
    <row r="159" spans="1:79" ht="141.6" x14ac:dyDescent="0.25">
      <c r="A159" s="81" t="s">
        <v>1980</v>
      </c>
      <c r="B159" s="8"/>
      <c r="C159" s="81" t="s">
        <v>352</v>
      </c>
      <c r="D159" s="8" t="s">
        <v>7931</v>
      </c>
      <c r="E159" s="8" t="s">
        <v>1981</v>
      </c>
      <c r="F159" s="9">
        <v>34660</v>
      </c>
      <c r="G159" s="8" t="s">
        <v>837</v>
      </c>
      <c r="H159" s="81" t="s">
        <v>250</v>
      </c>
      <c r="I159" s="81" t="s">
        <v>27</v>
      </c>
      <c r="J159" s="81" t="s">
        <v>270</v>
      </c>
      <c r="K159" s="81" t="s">
        <v>808</v>
      </c>
      <c r="L159" s="81" t="s">
        <v>102</v>
      </c>
      <c r="M159" s="81" t="s">
        <v>975</v>
      </c>
      <c r="N159" s="81" t="s">
        <v>272</v>
      </c>
      <c r="O159" s="81" t="s">
        <v>253</v>
      </c>
      <c r="P159" s="9"/>
      <c r="Q159" s="8"/>
      <c r="R159" s="8"/>
      <c r="S159" s="8"/>
      <c r="T159" s="8"/>
      <c r="U159" s="8"/>
      <c r="V159" s="8"/>
      <c r="W159" s="8"/>
      <c r="X159" s="8" t="s">
        <v>1982</v>
      </c>
      <c r="Y159" s="81" t="s">
        <v>33</v>
      </c>
      <c r="Z159" s="8"/>
      <c r="AA159" s="81" t="s">
        <v>477</v>
      </c>
      <c r="AB159" s="8"/>
      <c r="AC159" s="8"/>
      <c r="AD159" s="81" t="s">
        <v>1967</v>
      </c>
      <c r="AE159" s="81" t="s">
        <v>8436</v>
      </c>
      <c r="AF159" s="81" t="s">
        <v>242</v>
      </c>
      <c r="AG159" s="81" t="s">
        <v>1967</v>
      </c>
      <c r="AH159" s="8"/>
      <c r="AI159" s="8"/>
      <c r="AJ159" s="8"/>
      <c r="AK159" s="8"/>
      <c r="AL159" s="8"/>
      <c r="AM159" s="81" t="s">
        <v>243</v>
      </c>
      <c r="AN159" s="8"/>
      <c r="AO159" s="8"/>
      <c r="AP159" s="8"/>
      <c r="AQ159" s="8"/>
      <c r="AR159" s="9">
        <v>42917</v>
      </c>
      <c r="AS159" s="8" t="s">
        <v>8216</v>
      </c>
      <c r="AT159" s="8" t="s">
        <v>348</v>
      </c>
      <c r="AU159" s="9"/>
      <c r="AV159" s="81" t="s">
        <v>322</v>
      </c>
      <c r="AW159" s="81" t="s">
        <v>242</v>
      </c>
      <c r="AX159" s="8" t="s">
        <v>1983</v>
      </c>
      <c r="AY159" s="8"/>
      <c r="AZ159" s="8" t="s">
        <v>8402</v>
      </c>
      <c r="BA159" s="81" t="s">
        <v>399</v>
      </c>
      <c r="BB159" s="8"/>
      <c r="BC159" s="8"/>
      <c r="BD159" s="8"/>
      <c r="BE159" s="81" t="s">
        <v>261</v>
      </c>
      <c r="BF159" s="8" t="s">
        <v>1984</v>
      </c>
      <c r="BG159" s="9">
        <v>52580</v>
      </c>
      <c r="BH159" s="81" t="s">
        <v>81</v>
      </c>
      <c r="BI159" s="81" t="s">
        <v>365</v>
      </c>
      <c r="BJ159" s="9">
        <v>41518</v>
      </c>
      <c r="BK159" s="9">
        <v>42917</v>
      </c>
      <c r="BL159" s="81" t="s">
        <v>1986</v>
      </c>
      <c r="BM159" s="81" t="s">
        <v>82</v>
      </c>
      <c r="BN159" s="8"/>
      <c r="BO159" s="8"/>
      <c r="BP159" s="8"/>
      <c r="BQ159" s="9"/>
      <c r="BR159" s="9"/>
      <c r="BS159" s="8"/>
      <c r="BT159" s="8"/>
      <c r="BU159" s="8"/>
      <c r="BV159" s="8"/>
      <c r="BW159" s="81" t="s">
        <v>242</v>
      </c>
      <c r="BX159" s="81" t="s">
        <v>1556</v>
      </c>
      <c r="BY159" s="9">
        <v>45505</v>
      </c>
      <c r="BZ159" s="9"/>
      <c r="CA159" s="8" t="s">
        <v>61</v>
      </c>
    </row>
    <row r="160" spans="1:79" ht="173.4" x14ac:dyDescent="0.25">
      <c r="A160" s="81" t="s">
        <v>1987</v>
      </c>
      <c r="B160" s="8"/>
      <c r="C160" s="81" t="s">
        <v>26</v>
      </c>
      <c r="D160" s="8" t="s">
        <v>7932</v>
      </c>
      <c r="E160" s="8" t="s">
        <v>1988</v>
      </c>
      <c r="F160" s="9">
        <v>30067</v>
      </c>
      <c r="G160" s="8" t="s">
        <v>1245</v>
      </c>
      <c r="H160" s="81" t="s">
        <v>250</v>
      </c>
      <c r="I160" s="81" t="s">
        <v>27</v>
      </c>
      <c r="J160" s="81" t="s">
        <v>252</v>
      </c>
      <c r="K160" s="81" t="s">
        <v>415</v>
      </c>
      <c r="L160" s="81" t="s">
        <v>102</v>
      </c>
      <c r="M160" s="81" t="s">
        <v>8439</v>
      </c>
      <c r="N160" s="81" t="s">
        <v>119</v>
      </c>
      <c r="O160" s="81" t="s">
        <v>253</v>
      </c>
      <c r="P160" s="9"/>
      <c r="Q160" s="8"/>
      <c r="R160" s="8"/>
      <c r="S160" s="8"/>
      <c r="T160" s="8"/>
      <c r="U160" s="8"/>
      <c r="V160" s="8"/>
      <c r="W160" s="8"/>
      <c r="X160" s="8" t="s">
        <v>1989</v>
      </c>
      <c r="Y160" s="81" t="s">
        <v>33</v>
      </c>
      <c r="Z160" s="8"/>
      <c r="AA160" s="81" t="s">
        <v>1444</v>
      </c>
      <c r="AB160" s="8"/>
      <c r="AC160" s="8"/>
      <c r="AD160" s="81" t="s">
        <v>320</v>
      </c>
      <c r="AE160" s="81" t="s">
        <v>8125</v>
      </c>
      <c r="AF160" s="81" t="s">
        <v>242</v>
      </c>
      <c r="AG160" s="81" t="s">
        <v>298</v>
      </c>
      <c r="AH160" s="81" t="s">
        <v>320</v>
      </c>
      <c r="AI160" s="8"/>
      <c r="AJ160" s="8"/>
      <c r="AK160" s="8"/>
      <c r="AL160" s="8"/>
      <c r="AM160" s="81" t="s">
        <v>243</v>
      </c>
      <c r="AN160" s="8"/>
      <c r="AO160" s="8"/>
      <c r="AP160" s="8"/>
      <c r="AQ160" s="8"/>
      <c r="AR160" s="9">
        <v>42849</v>
      </c>
      <c r="AS160" s="8" t="s">
        <v>8440</v>
      </c>
      <c r="AT160" s="8" t="s">
        <v>348</v>
      </c>
      <c r="AU160" s="9"/>
      <c r="AV160" s="81" t="s">
        <v>322</v>
      </c>
      <c r="AW160" s="81" t="s">
        <v>242</v>
      </c>
      <c r="AX160" s="8" t="s">
        <v>1991</v>
      </c>
      <c r="AY160" s="8"/>
      <c r="AZ160" s="8" t="s">
        <v>8441</v>
      </c>
      <c r="BA160" s="81" t="s">
        <v>361</v>
      </c>
      <c r="BB160" s="8"/>
      <c r="BC160" s="8"/>
      <c r="BD160" s="8"/>
      <c r="BE160" s="81" t="s">
        <v>261</v>
      </c>
      <c r="BF160" s="8" t="s">
        <v>1992</v>
      </c>
      <c r="BG160" s="9">
        <v>47116</v>
      </c>
      <c r="BH160" s="81" t="s">
        <v>1252</v>
      </c>
      <c r="BI160" s="81" t="s">
        <v>1994</v>
      </c>
      <c r="BJ160" s="9">
        <v>35674</v>
      </c>
      <c r="BK160" s="9">
        <v>36708</v>
      </c>
      <c r="BL160" s="81" t="s">
        <v>1996</v>
      </c>
      <c r="BM160" s="8"/>
      <c r="BN160" s="8"/>
      <c r="BO160" s="8"/>
      <c r="BP160" s="8"/>
      <c r="BQ160" s="9"/>
      <c r="BR160" s="9"/>
      <c r="BS160" s="8"/>
      <c r="BT160" s="81" t="s">
        <v>1997</v>
      </c>
      <c r="BU160" s="81" t="s">
        <v>266</v>
      </c>
      <c r="BV160" s="8" t="s">
        <v>1998</v>
      </c>
      <c r="BW160" s="81" t="s">
        <v>242</v>
      </c>
      <c r="BX160" s="81" t="s">
        <v>337</v>
      </c>
      <c r="BY160" s="9">
        <v>42849</v>
      </c>
      <c r="BZ160" s="9">
        <v>46599</v>
      </c>
      <c r="CA160" s="8" t="s">
        <v>257</v>
      </c>
    </row>
    <row r="161" spans="1:79" ht="141.6" x14ac:dyDescent="0.25">
      <c r="A161" s="81" t="s">
        <v>1999</v>
      </c>
      <c r="B161" s="8"/>
      <c r="C161" s="81" t="s">
        <v>352</v>
      </c>
      <c r="D161" s="8" t="s">
        <v>7933</v>
      </c>
      <c r="E161" s="8" t="s">
        <v>2000</v>
      </c>
      <c r="F161" s="9">
        <v>33379</v>
      </c>
      <c r="G161" s="8" t="s">
        <v>1392</v>
      </c>
      <c r="H161" s="81" t="s">
        <v>250</v>
      </c>
      <c r="I161" s="81" t="s">
        <v>27</v>
      </c>
      <c r="J161" s="81" t="s">
        <v>293</v>
      </c>
      <c r="K161" s="81" t="s">
        <v>294</v>
      </c>
      <c r="L161" s="81" t="s">
        <v>102</v>
      </c>
      <c r="M161" s="81" t="s">
        <v>8442</v>
      </c>
      <c r="N161" s="81" t="s">
        <v>119</v>
      </c>
      <c r="O161" s="81" t="s">
        <v>29</v>
      </c>
      <c r="P161" s="9"/>
      <c r="Q161" s="8"/>
      <c r="R161" s="8"/>
      <c r="S161" s="8"/>
      <c r="T161" s="8"/>
      <c r="U161" s="8"/>
      <c r="V161" s="81" t="s">
        <v>8247</v>
      </c>
      <c r="W161" s="81" t="s">
        <v>1350</v>
      </c>
      <c r="X161" s="8" t="s">
        <v>2001</v>
      </c>
      <c r="Y161" s="81" t="s">
        <v>33</v>
      </c>
      <c r="Z161" s="8"/>
      <c r="AA161" s="81" t="s">
        <v>2002</v>
      </c>
      <c r="AB161" s="8"/>
      <c r="AC161" s="8"/>
      <c r="AD161" s="81" t="s">
        <v>1353</v>
      </c>
      <c r="AE161" s="81" t="s">
        <v>8303</v>
      </c>
      <c r="AF161" s="81" t="s">
        <v>242</v>
      </c>
      <c r="AG161" s="81" t="s">
        <v>1353</v>
      </c>
      <c r="AH161" s="8"/>
      <c r="AI161" s="8"/>
      <c r="AJ161" s="8"/>
      <c r="AK161" s="8"/>
      <c r="AL161" s="8"/>
      <c r="AM161" s="81" t="s">
        <v>243</v>
      </c>
      <c r="AN161" s="8"/>
      <c r="AO161" s="8"/>
      <c r="AP161" s="8"/>
      <c r="AQ161" s="8"/>
      <c r="AR161" s="9">
        <v>42826</v>
      </c>
      <c r="AS161" s="8" t="s">
        <v>8443</v>
      </c>
      <c r="AT161" s="8" t="s">
        <v>348</v>
      </c>
      <c r="AU161" s="9"/>
      <c r="AV161" s="81" t="s">
        <v>322</v>
      </c>
      <c r="AW161" s="81" t="s">
        <v>492</v>
      </c>
      <c r="AX161" s="8" t="s">
        <v>2003</v>
      </c>
      <c r="AY161" s="8"/>
      <c r="AZ161" s="8" t="s">
        <v>8217</v>
      </c>
      <c r="BA161" s="81" t="s">
        <v>361</v>
      </c>
      <c r="BB161" s="8"/>
      <c r="BC161" s="8"/>
      <c r="BD161" s="8"/>
      <c r="BE161" s="81" t="s">
        <v>261</v>
      </c>
      <c r="BF161" s="8" t="s">
        <v>2004</v>
      </c>
      <c r="BG161" s="9">
        <v>50193</v>
      </c>
      <c r="BH161" s="81" t="s">
        <v>81</v>
      </c>
      <c r="BI161" s="81" t="s">
        <v>2006</v>
      </c>
      <c r="BJ161" s="9">
        <v>40422</v>
      </c>
      <c r="BK161" s="9">
        <v>41815</v>
      </c>
      <c r="BL161" s="81" t="s">
        <v>1360</v>
      </c>
      <c r="BM161" s="81" t="s">
        <v>82</v>
      </c>
      <c r="BN161" s="8"/>
      <c r="BO161" s="8"/>
      <c r="BP161" s="8"/>
      <c r="BQ161" s="9"/>
      <c r="BR161" s="9"/>
      <c r="BS161" s="8"/>
      <c r="BT161" s="8"/>
      <c r="BU161" s="8"/>
      <c r="BV161" s="8"/>
      <c r="BW161" s="81" t="s">
        <v>492</v>
      </c>
      <c r="BX161" s="81" t="s">
        <v>337</v>
      </c>
      <c r="BY161" s="9">
        <v>43836</v>
      </c>
      <c r="BZ161" s="9">
        <v>46873</v>
      </c>
      <c r="CA161" s="8" t="s">
        <v>257</v>
      </c>
    </row>
    <row r="162" spans="1:79" ht="141.6" x14ac:dyDescent="0.25">
      <c r="A162" s="81" t="s">
        <v>2008</v>
      </c>
      <c r="B162" s="8"/>
      <c r="C162" s="81" t="s">
        <v>26</v>
      </c>
      <c r="D162" s="8" t="s">
        <v>7934</v>
      </c>
      <c r="E162" s="8"/>
      <c r="F162" s="9">
        <v>30719</v>
      </c>
      <c r="G162" s="8" t="s">
        <v>1678</v>
      </c>
      <c r="H162" s="81" t="s">
        <v>250</v>
      </c>
      <c r="I162" s="81" t="s">
        <v>27</v>
      </c>
      <c r="J162" s="81" t="s">
        <v>293</v>
      </c>
      <c r="K162" s="81" t="s">
        <v>1964</v>
      </c>
      <c r="L162" s="81" t="s">
        <v>102</v>
      </c>
      <c r="M162" s="81" t="s">
        <v>8444</v>
      </c>
      <c r="N162" s="81" t="s">
        <v>119</v>
      </c>
      <c r="O162" s="81" t="s">
        <v>29</v>
      </c>
      <c r="P162" s="9"/>
      <c r="Q162" s="8"/>
      <c r="R162" s="8"/>
      <c r="S162" s="8"/>
      <c r="T162" s="81" t="s">
        <v>8145</v>
      </c>
      <c r="U162" s="81" t="s">
        <v>8445</v>
      </c>
      <c r="V162" s="81" t="s">
        <v>8247</v>
      </c>
      <c r="W162" s="81" t="s">
        <v>2010</v>
      </c>
      <c r="X162" s="8" t="s">
        <v>2011</v>
      </c>
      <c r="Y162" s="81" t="s">
        <v>33</v>
      </c>
      <c r="Z162" s="8"/>
      <c r="AA162" s="81" t="s">
        <v>1394</v>
      </c>
      <c r="AB162" s="8"/>
      <c r="AC162" s="8"/>
      <c r="AD162" s="81" t="s">
        <v>2012</v>
      </c>
      <c r="AE162" s="81" t="s">
        <v>8446</v>
      </c>
      <c r="AF162" s="81" t="s">
        <v>242</v>
      </c>
      <c r="AG162" s="81" t="s">
        <v>2012</v>
      </c>
      <c r="AH162" s="8"/>
      <c r="AI162" s="8"/>
      <c r="AJ162" s="8"/>
      <c r="AK162" s="8"/>
      <c r="AL162" s="8"/>
      <c r="AM162" s="81" t="s">
        <v>243</v>
      </c>
      <c r="AN162" s="8"/>
      <c r="AO162" s="8"/>
      <c r="AP162" s="8"/>
      <c r="AQ162" s="8"/>
      <c r="AR162" s="9">
        <v>42814</v>
      </c>
      <c r="AS162" s="8" t="s">
        <v>8443</v>
      </c>
      <c r="AT162" s="8" t="s">
        <v>348</v>
      </c>
      <c r="AU162" s="9"/>
      <c r="AV162" s="81" t="s">
        <v>322</v>
      </c>
      <c r="AW162" s="81" t="s">
        <v>242</v>
      </c>
      <c r="AX162" s="8" t="s">
        <v>2014</v>
      </c>
      <c r="AY162" s="8"/>
      <c r="AZ162" s="8" t="s">
        <v>8369</v>
      </c>
      <c r="BA162" s="81" t="s">
        <v>361</v>
      </c>
      <c r="BB162" s="8"/>
      <c r="BC162" s="8"/>
      <c r="BD162" s="8"/>
      <c r="BE162" s="81" t="s">
        <v>261</v>
      </c>
      <c r="BF162" s="8" t="s">
        <v>2015</v>
      </c>
      <c r="BG162" s="9">
        <v>50132</v>
      </c>
      <c r="BH162" s="81" t="s">
        <v>81</v>
      </c>
      <c r="BI162" s="81" t="s">
        <v>802</v>
      </c>
      <c r="BJ162" s="9">
        <v>43160</v>
      </c>
      <c r="BK162" s="9">
        <v>44186</v>
      </c>
      <c r="BL162" s="81" t="s">
        <v>2019</v>
      </c>
      <c r="BM162" s="8"/>
      <c r="BN162" s="8"/>
      <c r="BO162" s="8"/>
      <c r="BP162" s="8"/>
      <c r="BQ162" s="9"/>
      <c r="BR162" s="9"/>
      <c r="BS162" s="8"/>
      <c r="BT162" s="8"/>
      <c r="BU162" s="8"/>
      <c r="BV162" s="8"/>
      <c r="BW162" s="81" t="s">
        <v>242</v>
      </c>
      <c r="BX162" s="81" t="s">
        <v>1556</v>
      </c>
      <c r="BY162" s="9">
        <v>45505</v>
      </c>
      <c r="BZ162" s="9"/>
      <c r="CA162" s="8" t="s">
        <v>61</v>
      </c>
    </row>
    <row r="163" spans="1:79" ht="141.6" x14ac:dyDescent="0.25">
      <c r="A163" s="81" t="s">
        <v>2020</v>
      </c>
      <c r="B163" s="8"/>
      <c r="C163" s="81" t="s">
        <v>352</v>
      </c>
      <c r="D163" s="8" t="s">
        <v>7935</v>
      </c>
      <c r="E163" s="8"/>
      <c r="F163" s="9">
        <v>25464</v>
      </c>
      <c r="G163" s="8" t="s">
        <v>2021</v>
      </c>
      <c r="H163" s="81" t="s">
        <v>250</v>
      </c>
      <c r="I163" s="81" t="s">
        <v>973</v>
      </c>
      <c r="J163" s="81" t="s">
        <v>252</v>
      </c>
      <c r="K163" s="81" t="s">
        <v>1314</v>
      </c>
      <c r="L163" s="81" t="s">
        <v>102</v>
      </c>
      <c r="M163" s="81" t="s">
        <v>8447</v>
      </c>
      <c r="N163" s="81" t="s">
        <v>119</v>
      </c>
      <c r="O163" s="81" t="s">
        <v>29</v>
      </c>
      <c r="P163" s="9"/>
      <c r="Q163" s="8"/>
      <c r="R163" s="8"/>
      <c r="S163" s="8"/>
      <c r="T163" s="81" t="s">
        <v>8247</v>
      </c>
      <c r="U163" s="81" t="s">
        <v>2022</v>
      </c>
      <c r="V163" s="8"/>
      <c r="W163" s="8"/>
      <c r="X163" s="8" t="s">
        <v>2023</v>
      </c>
      <c r="Y163" s="81" t="s">
        <v>33</v>
      </c>
      <c r="Z163" s="8"/>
      <c r="AA163" s="81" t="s">
        <v>2024</v>
      </c>
      <c r="AB163" s="8"/>
      <c r="AC163" s="8"/>
      <c r="AD163" s="81" t="s">
        <v>1967</v>
      </c>
      <c r="AE163" s="81" t="s">
        <v>8436</v>
      </c>
      <c r="AF163" s="81" t="s">
        <v>242</v>
      </c>
      <c r="AG163" s="81" t="s">
        <v>1967</v>
      </c>
      <c r="AH163" s="8"/>
      <c r="AI163" s="8"/>
      <c r="AJ163" s="8"/>
      <c r="AK163" s="8"/>
      <c r="AL163" s="8"/>
      <c r="AM163" s="81" t="s">
        <v>243</v>
      </c>
      <c r="AN163" s="8"/>
      <c r="AO163" s="8"/>
      <c r="AP163" s="8"/>
      <c r="AQ163" s="8"/>
      <c r="AR163" s="9">
        <v>42633</v>
      </c>
      <c r="AS163" s="8" t="s">
        <v>8448</v>
      </c>
      <c r="AT163" s="8" t="s">
        <v>348</v>
      </c>
      <c r="AU163" s="9"/>
      <c r="AV163" s="81" t="s">
        <v>322</v>
      </c>
      <c r="AW163" s="81" t="s">
        <v>242</v>
      </c>
      <c r="AX163" s="8" t="s">
        <v>2026</v>
      </c>
      <c r="AY163" s="8"/>
      <c r="AZ163" s="8" t="s">
        <v>8449</v>
      </c>
      <c r="BA163" s="81" t="s">
        <v>399</v>
      </c>
      <c r="BB163" s="8"/>
      <c r="BC163" s="8"/>
      <c r="BD163" s="8"/>
      <c r="BE163" s="81" t="s">
        <v>261</v>
      </c>
      <c r="BF163" s="8" t="s">
        <v>2027</v>
      </c>
      <c r="BG163" s="9"/>
      <c r="BH163" s="81" t="s">
        <v>305</v>
      </c>
      <c r="BI163" s="81" t="s">
        <v>2028</v>
      </c>
      <c r="BJ163" s="9">
        <v>37135</v>
      </c>
      <c r="BK163" s="9">
        <v>38159</v>
      </c>
      <c r="BL163" s="81" t="s">
        <v>2022</v>
      </c>
      <c r="BM163" s="8"/>
      <c r="BN163" s="8"/>
      <c r="BO163" s="8"/>
      <c r="BP163" s="8"/>
      <c r="BQ163" s="9"/>
      <c r="BR163" s="9"/>
      <c r="BS163" s="8"/>
      <c r="BT163" s="8"/>
      <c r="BU163" s="8"/>
      <c r="BV163" s="8"/>
      <c r="BW163" s="81" t="s">
        <v>242</v>
      </c>
      <c r="BX163" s="81" t="s">
        <v>1625</v>
      </c>
      <c r="BY163" s="9">
        <v>45870</v>
      </c>
      <c r="BZ163" s="9">
        <v>46234</v>
      </c>
      <c r="CA163" s="8"/>
    </row>
    <row r="164" spans="1:79" ht="157.19999999999999" x14ac:dyDescent="0.25">
      <c r="A164" s="81" t="s">
        <v>2031</v>
      </c>
      <c r="B164" s="8"/>
      <c r="C164" s="81" t="s">
        <v>26</v>
      </c>
      <c r="D164" s="8" t="s">
        <v>7936</v>
      </c>
      <c r="E164" s="8"/>
      <c r="F164" s="9">
        <v>34193</v>
      </c>
      <c r="G164" s="8" t="s">
        <v>667</v>
      </c>
      <c r="H164" s="81" t="s">
        <v>250</v>
      </c>
      <c r="I164" s="81" t="s">
        <v>251</v>
      </c>
      <c r="J164" s="81" t="s">
        <v>252</v>
      </c>
      <c r="K164" s="81" t="s">
        <v>294</v>
      </c>
      <c r="L164" s="81" t="s">
        <v>102</v>
      </c>
      <c r="M164" s="81" t="s">
        <v>8450</v>
      </c>
      <c r="N164" s="81" t="s">
        <v>272</v>
      </c>
      <c r="O164" s="81" t="s">
        <v>253</v>
      </c>
      <c r="P164" s="9"/>
      <c r="Q164" s="8"/>
      <c r="R164" s="8"/>
      <c r="S164" s="8"/>
      <c r="T164" s="81" t="s">
        <v>8141</v>
      </c>
      <c r="U164" s="81" t="s">
        <v>1654</v>
      </c>
      <c r="V164" s="8"/>
      <c r="W164" s="8"/>
      <c r="X164" s="8" t="s">
        <v>2032</v>
      </c>
      <c r="Y164" s="81" t="s">
        <v>33</v>
      </c>
      <c r="Z164" s="8"/>
      <c r="AA164" s="81" t="s">
        <v>240</v>
      </c>
      <c r="AB164" s="8"/>
      <c r="AC164" s="8"/>
      <c r="AD164" s="81" t="s">
        <v>241</v>
      </c>
      <c r="AE164" s="81" t="s">
        <v>8114</v>
      </c>
      <c r="AF164" s="81" t="s">
        <v>242</v>
      </c>
      <c r="AG164" s="81" t="s">
        <v>241</v>
      </c>
      <c r="AH164" s="8"/>
      <c r="AI164" s="8"/>
      <c r="AJ164" s="8"/>
      <c r="AK164" s="8"/>
      <c r="AL164" s="8"/>
      <c r="AM164" s="81" t="s">
        <v>243</v>
      </c>
      <c r="AN164" s="8"/>
      <c r="AO164" s="8"/>
      <c r="AP164" s="8"/>
      <c r="AQ164" s="8"/>
      <c r="AR164" s="9">
        <v>42598</v>
      </c>
      <c r="AS164" s="8" t="s">
        <v>8451</v>
      </c>
      <c r="AT164" s="8" t="s">
        <v>348</v>
      </c>
      <c r="AU164" s="9"/>
      <c r="AV164" s="81" t="s">
        <v>322</v>
      </c>
      <c r="AW164" s="81" t="s">
        <v>242</v>
      </c>
      <c r="AX164" s="8" t="s">
        <v>2034</v>
      </c>
      <c r="AY164" s="8"/>
      <c r="AZ164" s="8" t="s">
        <v>8372</v>
      </c>
      <c r="BA164" s="81" t="s">
        <v>399</v>
      </c>
      <c r="BB164" s="8"/>
      <c r="BC164" s="8"/>
      <c r="BD164" s="8"/>
      <c r="BE164" s="81" t="s">
        <v>261</v>
      </c>
      <c r="BF164" s="8" t="s">
        <v>2035</v>
      </c>
      <c r="BG164" s="9">
        <v>51342</v>
      </c>
      <c r="BH164" s="81" t="s">
        <v>81</v>
      </c>
      <c r="BI164" s="81" t="s">
        <v>2037</v>
      </c>
      <c r="BJ164" s="9">
        <v>41153</v>
      </c>
      <c r="BK164" s="9">
        <v>42552</v>
      </c>
      <c r="BL164" s="81" t="s">
        <v>1475</v>
      </c>
      <c r="BM164" s="81" t="s">
        <v>82</v>
      </c>
      <c r="BN164" s="8"/>
      <c r="BO164" s="8"/>
      <c r="BP164" s="8"/>
      <c r="BQ164" s="9"/>
      <c r="BR164" s="9"/>
      <c r="BS164" s="8"/>
      <c r="BT164" s="81" t="s">
        <v>2038</v>
      </c>
      <c r="BU164" s="81" t="s">
        <v>266</v>
      </c>
      <c r="BV164" s="8" t="s">
        <v>2039</v>
      </c>
      <c r="BW164" s="81" t="s">
        <v>242</v>
      </c>
      <c r="BX164" s="81" t="s">
        <v>1556</v>
      </c>
      <c r="BY164" s="9">
        <v>45505</v>
      </c>
      <c r="BZ164" s="9"/>
      <c r="CA164" s="8" t="s">
        <v>63</v>
      </c>
    </row>
    <row r="165" spans="1:79" ht="141.6" x14ac:dyDescent="0.25">
      <c r="A165" s="81" t="s">
        <v>2040</v>
      </c>
      <c r="B165" s="8"/>
      <c r="C165" s="81" t="s">
        <v>352</v>
      </c>
      <c r="D165" s="8" t="s">
        <v>7937</v>
      </c>
      <c r="E165" s="8"/>
      <c r="F165" s="9">
        <v>34154</v>
      </c>
      <c r="G165" s="8" t="s">
        <v>667</v>
      </c>
      <c r="H165" s="81" t="s">
        <v>250</v>
      </c>
      <c r="I165" s="81" t="s">
        <v>27</v>
      </c>
      <c r="J165" s="81" t="s">
        <v>252</v>
      </c>
      <c r="K165" s="81" t="s">
        <v>294</v>
      </c>
      <c r="L165" s="81" t="s">
        <v>102</v>
      </c>
      <c r="M165" s="81" t="s">
        <v>8452</v>
      </c>
      <c r="N165" s="81" t="s">
        <v>272</v>
      </c>
      <c r="O165" s="81" t="s">
        <v>29</v>
      </c>
      <c r="P165" s="9"/>
      <c r="Q165" s="8"/>
      <c r="R165" s="8"/>
      <c r="S165" s="8"/>
      <c r="T165" s="81" t="s">
        <v>8247</v>
      </c>
      <c r="U165" s="81" t="s">
        <v>8188</v>
      </c>
      <c r="V165" s="8"/>
      <c r="W165" s="8"/>
      <c r="X165" s="8" t="s">
        <v>2041</v>
      </c>
      <c r="Y165" s="81" t="s">
        <v>33</v>
      </c>
      <c r="Z165" s="8"/>
      <c r="AA165" s="81" t="s">
        <v>319</v>
      </c>
      <c r="AB165" s="8"/>
      <c r="AC165" s="8"/>
      <c r="AD165" s="81" t="s">
        <v>376</v>
      </c>
      <c r="AE165" s="81" t="s">
        <v>8135</v>
      </c>
      <c r="AF165" s="81" t="s">
        <v>242</v>
      </c>
      <c r="AG165" s="81" t="s">
        <v>376</v>
      </c>
      <c r="AH165" s="8"/>
      <c r="AI165" s="8"/>
      <c r="AJ165" s="8"/>
      <c r="AK165" s="8"/>
      <c r="AL165" s="8"/>
      <c r="AM165" s="81" t="s">
        <v>243</v>
      </c>
      <c r="AN165" s="8"/>
      <c r="AO165" s="8"/>
      <c r="AP165" s="8"/>
      <c r="AQ165" s="8"/>
      <c r="AR165" s="9">
        <v>42584</v>
      </c>
      <c r="AS165" s="8" t="s">
        <v>8453</v>
      </c>
      <c r="AT165" s="8" t="s">
        <v>348</v>
      </c>
      <c r="AU165" s="9"/>
      <c r="AV165" s="81" t="s">
        <v>322</v>
      </c>
      <c r="AW165" s="81" t="s">
        <v>242</v>
      </c>
      <c r="AX165" s="8" t="s">
        <v>2043</v>
      </c>
      <c r="AY165" s="8"/>
      <c r="AZ165" s="8" t="s">
        <v>8454</v>
      </c>
      <c r="BA165" s="81" t="s">
        <v>361</v>
      </c>
      <c r="BB165" s="8"/>
      <c r="BC165" s="8"/>
      <c r="BD165" s="8"/>
      <c r="BE165" s="81" t="s">
        <v>261</v>
      </c>
      <c r="BF165" s="8" t="s">
        <v>2044</v>
      </c>
      <c r="BG165" s="9">
        <v>47021</v>
      </c>
      <c r="BH165" s="81" t="s">
        <v>81</v>
      </c>
      <c r="BI165" s="81" t="s">
        <v>2046</v>
      </c>
      <c r="BJ165" s="9">
        <v>41154</v>
      </c>
      <c r="BK165" s="9">
        <v>42552</v>
      </c>
      <c r="BL165" s="81" t="s">
        <v>1006</v>
      </c>
      <c r="BM165" s="81" t="s">
        <v>82</v>
      </c>
      <c r="BN165" s="8"/>
      <c r="BO165" s="8"/>
      <c r="BP165" s="8"/>
      <c r="BQ165" s="9"/>
      <c r="BR165" s="9"/>
      <c r="BS165" s="8"/>
      <c r="BT165" s="81" t="s">
        <v>2048</v>
      </c>
      <c r="BU165" s="81" t="s">
        <v>266</v>
      </c>
      <c r="BV165" s="8" t="s">
        <v>2049</v>
      </c>
      <c r="BW165" s="81" t="s">
        <v>242</v>
      </c>
      <c r="BX165" s="81" t="s">
        <v>337</v>
      </c>
      <c r="BY165" s="9">
        <v>45870</v>
      </c>
      <c r="BZ165" s="9">
        <v>47695</v>
      </c>
      <c r="CA165" s="8" t="s">
        <v>61</v>
      </c>
    </row>
    <row r="166" spans="1:79" ht="141.6" x14ac:dyDescent="0.25">
      <c r="A166" s="81" t="s">
        <v>2050</v>
      </c>
      <c r="B166" s="8"/>
      <c r="C166" s="81" t="s">
        <v>26</v>
      </c>
      <c r="D166" s="8" t="s">
        <v>7938</v>
      </c>
      <c r="E166" s="8" t="s">
        <v>2051</v>
      </c>
      <c r="F166" s="9">
        <v>34486</v>
      </c>
      <c r="G166" s="8" t="s">
        <v>837</v>
      </c>
      <c r="H166" s="81" t="s">
        <v>250</v>
      </c>
      <c r="I166" s="81" t="s">
        <v>27</v>
      </c>
      <c r="J166" s="81" t="s">
        <v>270</v>
      </c>
      <c r="K166" s="81" t="s">
        <v>394</v>
      </c>
      <c r="L166" s="81" t="s">
        <v>102</v>
      </c>
      <c r="M166" s="81" t="s">
        <v>8455</v>
      </c>
      <c r="N166" s="81" t="s">
        <v>272</v>
      </c>
      <c r="O166" s="81" t="s">
        <v>29</v>
      </c>
      <c r="P166" s="9"/>
      <c r="Q166" s="8"/>
      <c r="R166" s="8"/>
      <c r="S166" s="8"/>
      <c r="T166" s="8"/>
      <c r="U166" s="8"/>
      <c r="V166" s="8"/>
      <c r="W166" s="8"/>
      <c r="X166" s="8" t="s">
        <v>2053</v>
      </c>
      <c r="Y166" s="81" t="s">
        <v>33</v>
      </c>
      <c r="Z166" s="8"/>
      <c r="AA166" s="81" t="s">
        <v>551</v>
      </c>
      <c r="AB166" s="8"/>
      <c r="AC166" s="8"/>
      <c r="AD166" s="81" t="s">
        <v>553</v>
      </c>
      <c r="AE166" s="81" t="s">
        <v>8194</v>
      </c>
      <c r="AF166" s="81" t="s">
        <v>492</v>
      </c>
      <c r="AG166" s="81" t="s">
        <v>553</v>
      </c>
      <c r="AH166" s="8"/>
      <c r="AI166" s="8"/>
      <c r="AJ166" s="8"/>
      <c r="AK166" s="8"/>
      <c r="AL166" s="8"/>
      <c r="AM166" s="81" t="s">
        <v>243</v>
      </c>
      <c r="AN166" s="8"/>
      <c r="AO166" s="8"/>
      <c r="AP166" s="8"/>
      <c r="AQ166" s="8"/>
      <c r="AR166" s="9">
        <v>42552</v>
      </c>
      <c r="AS166" s="8" t="s">
        <v>8456</v>
      </c>
      <c r="AT166" s="8" t="s">
        <v>348</v>
      </c>
      <c r="AU166" s="9"/>
      <c r="AV166" s="81" t="s">
        <v>322</v>
      </c>
      <c r="AW166" s="81" t="s">
        <v>492</v>
      </c>
      <c r="AX166" s="8" t="s">
        <v>2054</v>
      </c>
      <c r="AY166" s="8"/>
      <c r="AZ166" s="8" t="s">
        <v>8457</v>
      </c>
      <c r="BA166" s="81" t="s">
        <v>556</v>
      </c>
      <c r="BB166" s="8"/>
      <c r="BC166" s="8"/>
      <c r="BD166" s="8"/>
      <c r="BE166" s="81" t="s">
        <v>261</v>
      </c>
      <c r="BF166" s="8" t="s">
        <v>2055</v>
      </c>
      <c r="BG166" s="9">
        <v>51338</v>
      </c>
      <c r="BH166" s="81" t="s">
        <v>305</v>
      </c>
      <c r="BI166" s="81" t="s">
        <v>559</v>
      </c>
      <c r="BJ166" s="9">
        <v>41518</v>
      </c>
      <c r="BK166" s="9">
        <v>42552</v>
      </c>
      <c r="BL166" s="81" t="s">
        <v>2057</v>
      </c>
      <c r="BM166" s="8"/>
      <c r="BN166" s="8"/>
      <c r="BO166" s="8"/>
      <c r="BP166" s="8"/>
      <c r="BQ166" s="9"/>
      <c r="BR166" s="9"/>
      <c r="BS166" s="8"/>
      <c r="BT166" s="81" t="s">
        <v>2058</v>
      </c>
      <c r="BU166" s="81" t="s">
        <v>266</v>
      </c>
      <c r="BV166" s="8" t="s">
        <v>2059</v>
      </c>
      <c r="BW166" s="81" t="s">
        <v>492</v>
      </c>
      <c r="BX166" s="81" t="s">
        <v>1556</v>
      </c>
      <c r="BY166" s="9">
        <v>43836</v>
      </c>
      <c r="BZ166" s="9"/>
      <c r="CA166" s="8" t="s">
        <v>257</v>
      </c>
    </row>
    <row r="167" spans="1:79" ht="141.6" x14ac:dyDescent="0.25">
      <c r="A167" s="81" t="s">
        <v>2060</v>
      </c>
      <c r="B167" s="8"/>
      <c r="C167" s="81" t="s">
        <v>26</v>
      </c>
      <c r="D167" s="8" t="s">
        <v>7939</v>
      </c>
      <c r="E167" s="8" t="s">
        <v>2061</v>
      </c>
      <c r="F167" s="9">
        <v>34286</v>
      </c>
      <c r="G167" s="8" t="s">
        <v>667</v>
      </c>
      <c r="H167" s="81" t="s">
        <v>250</v>
      </c>
      <c r="I167" s="81" t="s">
        <v>27</v>
      </c>
      <c r="J167" s="81" t="s">
        <v>270</v>
      </c>
      <c r="K167" s="81" t="s">
        <v>1458</v>
      </c>
      <c r="L167" s="81" t="s">
        <v>102</v>
      </c>
      <c r="M167" s="81" t="s">
        <v>8458</v>
      </c>
      <c r="N167" s="81" t="s">
        <v>272</v>
      </c>
      <c r="O167" s="81" t="s">
        <v>29</v>
      </c>
      <c r="P167" s="9"/>
      <c r="Q167" s="8"/>
      <c r="R167" s="8"/>
      <c r="S167" s="8"/>
      <c r="T167" s="8"/>
      <c r="U167" s="8"/>
      <c r="V167" s="8"/>
      <c r="W167" s="8"/>
      <c r="X167" s="8" t="s">
        <v>2063</v>
      </c>
      <c r="Y167" s="81" t="s">
        <v>33</v>
      </c>
      <c r="Z167" s="8"/>
      <c r="AA167" s="81" t="s">
        <v>551</v>
      </c>
      <c r="AB167" s="8"/>
      <c r="AC167" s="8"/>
      <c r="AD167" s="81" t="s">
        <v>553</v>
      </c>
      <c r="AE167" s="81" t="s">
        <v>8194</v>
      </c>
      <c r="AF167" s="81" t="s">
        <v>492</v>
      </c>
      <c r="AG167" s="81" t="s">
        <v>553</v>
      </c>
      <c r="AH167" s="8"/>
      <c r="AI167" s="8"/>
      <c r="AJ167" s="8"/>
      <c r="AK167" s="8"/>
      <c r="AL167" s="8"/>
      <c r="AM167" s="81" t="s">
        <v>243</v>
      </c>
      <c r="AN167" s="8"/>
      <c r="AO167" s="8"/>
      <c r="AP167" s="8"/>
      <c r="AQ167" s="8"/>
      <c r="AR167" s="9">
        <v>42552</v>
      </c>
      <c r="AS167" s="8" t="s">
        <v>8456</v>
      </c>
      <c r="AT167" s="8" t="s">
        <v>348</v>
      </c>
      <c r="AU167" s="9"/>
      <c r="AV167" s="81" t="s">
        <v>322</v>
      </c>
      <c r="AW167" s="81" t="s">
        <v>492</v>
      </c>
      <c r="AX167" s="8" t="s">
        <v>2064</v>
      </c>
      <c r="AY167" s="8"/>
      <c r="AZ167" s="8" t="s">
        <v>8457</v>
      </c>
      <c r="BA167" s="81" t="s">
        <v>556</v>
      </c>
      <c r="BB167" s="8"/>
      <c r="BC167" s="8"/>
      <c r="BD167" s="8"/>
      <c r="BE167" s="81" t="s">
        <v>261</v>
      </c>
      <c r="BF167" s="8" t="s">
        <v>2065</v>
      </c>
      <c r="BG167" s="9">
        <v>51255</v>
      </c>
      <c r="BH167" s="81" t="s">
        <v>305</v>
      </c>
      <c r="BI167" s="81" t="s">
        <v>559</v>
      </c>
      <c r="BJ167" s="9">
        <v>41518</v>
      </c>
      <c r="BK167" s="9">
        <v>42552</v>
      </c>
      <c r="BL167" s="81" t="s">
        <v>2067</v>
      </c>
      <c r="BM167" s="8"/>
      <c r="BN167" s="8"/>
      <c r="BO167" s="8"/>
      <c r="BP167" s="8"/>
      <c r="BQ167" s="9"/>
      <c r="BR167" s="9"/>
      <c r="BS167" s="8"/>
      <c r="BT167" s="81" t="s">
        <v>2068</v>
      </c>
      <c r="BU167" s="81" t="s">
        <v>266</v>
      </c>
      <c r="BV167" s="8" t="s">
        <v>2069</v>
      </c>
      <c r="BW167" s="81" t="s">
        <v>492</v>
      </c>
      <c r="BX167" s="81" t="s">
        <v>337</v>
      </c>
      <c r="BY167" s="9">
        <v>45663</v>
      </c>
      <c r="BZ167" s="9">
        <v>47603</v>
      </c>
      <c r="CA167" s="8" t="s">
        <v>257</v>
      </c>
    </row>
    <row r="168" spans="1:79" ht="141.6" x14ac:dyDescent="0.25">
      <c r="A168" s="81" t="s">
        <v>2070</v>
      </c>
      <c r="B168" s="8"/>
      <c r="C168" s="81" t="s">
        <v>26</v>
      </c>
      <c r="D168" s="8" t="s">
        <v>7940</v>
      </c>
      <c r="E168" s="8"/>
      <c r="F168" s="9">
        <v>35867</v>
      </c>
      <c r="G168" s="8" t="s">
        <v>819</v>
      </c>
      <c r="H168" s="81" t="s">
        <v>250</v>
      </c>
      <c r="I168" s="81" t="s">
        <v>27</v>
      </c>
      <c r="J168" s="81" t="s">
        <v>293</v>
      </c>
      <c r="K168" s="81" t="s">
        <v>1246</v>
      </c>
      <c r="L168" s="81" t="s">
        <v>102</v>
      </c>
      <c r="M168" s="81" t="s">
        <v>8459</v>
      </c>
      <c r="N168" s="81" t="s">
        <v>272</v>
      </c>
      <c r="O168" s="81" t="s">
        <v>253</v>
      </c>
      <c r="P168" s="9"/>
      <c r="Q168" s="8"/>
      <c r="R168" s="8"/>
      <c r="S168" s="8"/>
      <c r="T168" s="8"/>
      <c r="U168" s="8"/>
      <c r="V168" s="8"/>
      <c r="W168" s="8"/>
      <c r="X168" s="8" t="s">
        <v>2071</v>
      </c>
      <c r="Y168" s="81" t="s">
        <v>33</v>
      </c>
      <c r="Z168" s="8"/>
      <c r="AA168" s="81" t="s">
        <v>2072</v>
      </c>
      <c r="AB168" s="8"/>
      <c r="AC168" s="8"/>
      <c r="AD168" s="81" t="s">
        <v>553</v>
      </c>
      <c r="AE168" s="81" t="s">
        <v>8194</v>
      </c>
      <c r="AF168" s="81" t="s">
        <v>492</v>
      </c>
      <c r="AG168" s="81" t="s">
        <v>553</v>
      </c>
      <c r="AH168" s="8"/>
      <c r="AI168" s="8"/>
      <c r="AJ168" s="8"/>
      <c r="AK168" s="8"/>
      <c r="AL168" s="8"/>
      <c r="AM168" s="81" t="s">
        <v>243</v>
      </c>
      <c r="AN168" s="8"/>
      <c r="AO168" s="8"/>
      <c r="AP168" s="8"/>
      <c r="AQ168" s="8"/>
      <c r="AR168" s="9">
        <v>42552</v>
      </c>
      <c r="AS168" s="8" t="s">
        <v>8456</v>
      </c>
      <c r="AT168" s="8" t="s">
        <v>348</v>
      </c>
      <c r="AU168" s="9"/>
      <c r="AV168" s="81" t="s">
        <v>322</v>
      </c>
      <c r="AW168" s="81" t="s">
        <v>492</v>
      </c>
      <c r="AX168" s="8" t="s">
        <v>2073</v>
      </c>
      <c r="AY168" s="8"/>
      <c r="AZ168" s="8" t="s">
        <v>8457</v>
      </c>
      <c r="BA168" s="81" t="s">
        <v>556</v>
      </c>
      <c r="BB168" s="8"/>
      <c r="BC168" s="8"/>
      <c r="BD168" s="8"/>
      <c r="BE168" s="81" t="s">
        <v>261</v>
      </c>
      <c r="BF168" s="8" t="s">
        <v>2074</v>
      </c>
      <c r="BG168" s="9">
        <v>46825</v>
      </c>
      <c r="BH168" s="81" t="s">
        <v>713</v>
      </c>
      <c r="BI168" s="81" t="s">
        <v>2076</v>
      </c>
      <c r="BJ168" s="9">
        <v>41518</v>
      </c>
      <c r="BK168" s="9">
        <v>42551</v>
      </c>
      <c r="BL168" s="81" t="s">
        <v>2077</v>
      </c>
      <c r="BM168" s="8"/>
      <c r="BN168" s="8"/>
      <c r="BO168" s="8"/>
      <c r="BP168" s="8"/>
      <c r="BQ168" s="9"/>
      <c r="BR168" s="9"/>
      <c r="BS168" s="8"/>
      <c r="BT168" s="81" t="s">
        <v>2078</v>
      </c>
      <c r="BU168" s="81" t="s">
        <v>266</v>
      </c>
      <c r="BV168" s="8" t="s">
        <v>2079</v>
      </c>
      <c r="BW168" s="81" t="s">
        <v>492</v>
      </c>
      <c r="BX168" s="81" t="s">
        <v>337</v>
      </c>
      <c r="BY168" s="9">
        <v>45663</v>
      </c>
      <c r="BZ168" s="9">
        <v>47603</v>
      </c>
      <c r="CA168" s="8" t="s">
        <v>257</v>
      </c>
    </row>
    <row r="169" spans="1:79" ht="157.80000000000001" x14ac:dyDescent="0.25">
      <c r="A169" s="81" t="s">
        <v>2080</v>
      </c>
      <c r="B169" s="8"/>
      <c r="C169" s="81" t="s">
        <v>26</v>
      </c>
      <c r="D169" s="8" t="s">
        <v>7941</v>
      </c>
      <c r="E169" s="8"/>
      <c r="F169" s="9">
        <v>28887</v>
      </c>
      <c r="G169" s="8" t="s">
        <v>1313</v>
      </c>
      <c r="H169" s="81" t="s">
        <v>250</v>
      </c>
      <c r="I169" s="81" t="s">
        <v>27</v>
      </c>
      <c r="J169" s="81" t="s">
        <v>293</v>
      </c>
      <c r="K169" s="81" t="s">
        <v>1246</v>
      </c>
      <c r="L169" s="81" t="s">
        <v>102</v>
      </c>
      <c r="M169" s="81" t="s">
        <v>8460</v>
      </c>
      <c r="N169" s="81" t="s">
        <v>119</v>
      </c>
      <c r="O169" s="81" t="s">
        <v>29</v>
      </c>
      <c r="P169" s="9"/>
      <c r="Q169" s="8"/>
      <c r="R169" s="8"/>
      <c r="S169" s="8"/>
      <c r="T169" s="8"/>
      <c r="U169" s="8"/>
      <c r="V169" s="8"/>
      <c r="W169" s="8"/>
      <c r="X169" s="8" t="s">
        <v>2081</v>
      </c>
      <c r="Y169" s="81" t="s">
        <v>33</v>
      </c>
      <c r="Z169" s="8"/>
      <c r="AA169" s="81" t="s">
        <v>2082</v>
      </c>
      <c r="AB169" s="8"/>
      <c r="AC169" s="8"/>
      <c r="AD169" s="81" t="s">
        <v>2083</v>
      </c>
      <c r="AE169" s="81" t="s">
        <v>8461</v>
      </c>
      <c r="AF169" s="81" t="s">
        <v>242</v>
      </c>
      <c r="AG169" s="81" t="s">
        <v>298</v>
      </c>
      <c r="AH169" s="81" t="s">
        <v>2083</v>
      </c>
      <c r="AI169" s="8"/>
      <c r="AJ169" s="8"/>
      <c r="AK169" s="8"/>
      <c r="AL169" s="8"/>
      <c r="AM169" s="81" t="s">
        <v>243</v>
      </c>
      <c r="AN169" s="8"/>
      <c r="AO169" s="8"/>
      <c r="AP169" s="8"/>
      <c r="AQ169" s="8"/>
      <c r="AR169" s="9">
        <v>42552</v>
      </c>
      <c r="AS169" s="8" t="s">
        <v>8456</v>
      </c>
      <c r="AT169" s="8" t="s">
        <v>348</v>
      </c>
      <c r="AU169" s="9"/>
      <c r="AV169" s="81" t="s">
        <v>322</v>
      </c>
      <c r="AW169" s="81" t="s">
        <v>242</v>
      </c>
      <c r="AX169" s="8" t="s">
        <v>2084</v>
      </c>
      <c r="AY169" s="8"/>
      <c r="AZ169" s="8" t="s">
        <v>8462</v>
      </c>
      <c r="BA169" s="81" t="s">
        <v>556</v>
      </c>
      <c r="BB169" s="8"/>
      <c r="BC169" s="8"/>
      <c r="BD169" s="8"/>
      <c r="BE169" s="81" t="s">
        <v>261</v>
      </c>
      <c r="BF169" s="8" t="s">
        <v>2085</v>
      </c>
      <c r="BG169" s="9">
        <v>46194</v>
      </c>
      <c r="BH169" s="81" t="s">
        <v>120</v>
      </c>
      <c r="BI169" s="81" t="s">
        <v>2087</v>
      </c>
      <c r="BJ169" s="9" t="s">
        <v>2088</v>
      </c>
      <c r="BK169" s="9"/>
      <c r="BL169" s="8"/>
      <c r="BM169" s="8"/>
      <c r="BN169" s="8"/>
      <c r="BO169" s="8"/>
      <c r="BP169" s="8"/>
      <c r="BQ169" s="9"/>
      <c r="BR169" s="9"/>
      <c r="BS169" s="8"/>
      <c r="BT169" s="81" t="s">
        <v>2089</v>
      </c>
      <c r="BU169" s="81" t="s">
        <v>266</v>
      </c>
      <c r="BV169" s="8" t="s">
        <v>2090</v>
      </c>
      <c r="BW169" s="81" t="s">
        <v>242</v>
      </c>
      <c r="BX169" s="81" t="s">
        <v>337</v>
      </c>
      <c r="BY169" s="9">
        <v>42552</v>
      </c>
      <c r="BZ169" s="9">
        <v>46965</v>
      </c>
      <c r="CA169" s="8" t="s">
        <v>61</v>
      </c>
    </row>
    <row r="170" spans="1:79" ht="141.6" x14ac:dyDescent="0.25">
      <c r="A170" s="81" t="s">
        <v>2091</v>
      </c>
      <c r="B170" s="8"/>
      <c r="C170" s="81" t="s">
        <v>352</v>
      </c>
      <c r="D170" s="8" t="s">
        <v>7942</v>
      </c>
      <c r="E170" s="8" t="s">
        <v>2092</v>
      </c>
      <c r="F170" s="9">
        <v>34580</v>
      </c>
      <c r="G170" s="8" t="s">
        <v>837</v>
      </c>
      <c r="H170" s="81" t="s">
        <v>250</v>
      </c>
      <c r="I170" s="81" t="s">
        <v>27</v>
      </c>
      <c r="J170" s="81" t="s">
        <v>270</v>
      </c>
      <c r="K170" s="81" t="s">
        <v>488</v>
      </c>
      <c r="L170" s="81" t="s">
        <v>102</v>
      </c>
      <c r="M170" s="81" t="s">
        <v>8463</v>
      </c>
      <c r="N170" s="81" t="s">
        <v>272</v>
      </c>
      <c r="O170" s="81" t="s">
        <v>29</v>
      </c>
      <c r="P170" s="9"/>
      <c r="Q170" s="8"/>
      <c r="R170" s="8"/>
      <c r="S170" s="8"/>
      <c r="T170" s="81" t="s">
        <v>8141</v>
      </c>
      <c r="U170" s="81" t="s">
        <v>438</v>
      </c>
      <c r="V170" s="81" t="s">
        <v>8141</v>
      </c>
      <c r="W170" s="81" t="s">
        <v>2093</v>
      </c>
      <c r="X170" s="8" t="s">
        <v>2094</v>
      </c>
      <c r="Y170" s="81" t="s">
        <v>33</v>
      </c>
      <c r="Z170" s="8"/>
      <c r="AA170" s="81" t="s">
        <v>1514</v>
      </c>
      <c r="AB170" s="8"/>
      <c r="AC170" s="8"/>
      <c r="AD170" s="81" t="s">
        <v>1515</v>
      </c>
      <c r="AE170" s="81" t="s">
        <v>8337</v>
      </c>
      <c r="AF170" s="81" t="s">
        <v>242</v>
      </c>
      <c r="AG170" s="81" t="s">
        <v>1515</v>
      </c>
      <c r="AH170" s="8"/>
      <c r="AI170" s="8"/>
      <c r="AJ170" s="8"/>
      <c r="AK170" s="8"/>
      <c r="AL170" s="8"/>
      <c r="AM170" s="81" t="s">
        <v>243</v>
      </c>
      <c r="AN170" s="8"/>
      <c r="AO170" s="8"/>
      <c r="AP170" s="8"/>
      <c r="AQ170" s="8"/>
      <c r="AR170" s="9">
        <v>42552</v>
      </c>
      <c r="AS170" s="8" t="s">
        <v>8456</v>
      </c>
      <c r="AT170" s="8" t="s">
        <v>348</v>
      </c>
      <c r="AU170" s="9"/>
      <c r="AV170" s="81" t="s">
        <v>322</v>
      </c>
      <c r="AW170" s="81" t="s">
        <v>242</v>
      </c>
      <c r="AX170" s="8" t="s">
        <v>2095</v>
      </c>
      <c r="AY170" s="8"/>
      <c r="AZ170" s="8" t="s">
        <v>8457</v>
      </c>
      <c r="BA170" s="81" t="s">
        <v>556</v>
      </c>
      <c r="BB170" s="8"/>
      <c r="BC170" s="8"/>
      <c r="BD170" s="8"/>
      <c r="BE170" s="81" t="s">
        <v>261</v>
      </c>
      <c r="BF170" s="8" t="s">
        <v>2096</v>
      </c>
      <c r="BG170" s="9">
        <v>53143</v>
      </c>
      <c r="BH170" s="81" t="s">
        <v>305</v>
      </c>
      <c r="BI170" s="81" t="s">
        <v>559</v>
      </c>
      <c r="BJ170" s="9">
        <v>41518</v>
      </c>
      <c r="BK170" s="9">
        <v>42552</v>
      </c>
      <c r="BL170" s="81" t="s">
        <v>2067</v>
      </c>
      <c r="BM170" s="8"/>
      <c r="BN170" s="8"/>
      <c r="BO170" s="8"/>
      <c r="BP170" s="8"/>
      <c r="BQ170" s="9"/>
      <c r="BR170" s="9"/>
      <c r="BS170" s="8"/>
      <c r="BT170" s="8"/>
      <c r="BU170" s="8"/>
      <c r="BV170" s="8"/>
      <c r="BW170" s="81" t="s">
        <v>242</v>
      </c>
      <c r="BX170" s="81" t="s">
        <v>337</v>
      </c>
      <c r="BY170" s="9">
        <v>45870</v>
      </c>
      <c r="BZ170" s="9">
        <v>47695</v>
      </c>
      <c r="CA170" s="8" t="s">
        <v>58</v>
      </c>
    </row>
    <row r="171" spans="1:79" ht="141.6" x14ac:dyDescent="0.25">
      <c r="A171" s="81" t="s">
        <v>2098</v>
      </c>
      <c r="B171" s="8"/>
      <c r="C171" s="81" t="s">
        <v>26</v>
      </c>
      <c r="D171" s="8" t="s">
        <v>7943</v>
      </c>
      <c r="E171" s="8"/>
      <c r="F171" s="9">
        <v>35688</v>
      </c>
      <c r="G171" s="8" t="s">
        <v>819</v>
      </c>
      <c r="H171" s="81" t="s">
        <v>250</v>
      </c>
      <c r="I171" s="81" t="s">
        <v>2099</v>
      </c>
      <c r="J171" s="81" t="s">
        <v>293</v>
      </c>
      <c r="K171" s="81" t="s">
        <v>1246</v>
      </c>
      <c r="L171" s="81" t="s">
        <v>102</v>
      </c>
      <c r="M171" s="81" t="s">
        <v>8464</v>
      </c>
      <c r="N171" s="81" t="s">
        <v>272</v>
      </c>
      <c r="O171" s="81" t="s">
        <v>253</v>
      </c>
      <c r="P171" s="9"/>
      <c r="Q171" s="8"/>
      <c r="R171" s="8"/>
      <c r="S171" s="8"/>
      <c r="T171" s="8"/>
      <c r="U171" s="8"/>
      <c r="V171" s="8"/>
      <c r="W171" s="8"/>
      <c r="X171" s="8" t="s">
        <v>2100</v>
      </c>
      <c r="Y171" s="81" t="s">
        <v>33</v>
      </c>
      <c r="Z171" s="8"/>
      <c r="AA171" s="81" t="s">
        <v>8465</v>
      </c>
      <c r="AB171" s="8"/>
      <c r="AC171" s="8"/>
      <c r="AD171" s="81" t="s">
        <v>420</v>
      </c>
      <c r="AE171" s="81" t="s">
        <v>8142</v>
      </c>
      <c r="AF171" s="81" t="s">
        <v>242</v>
      </c>
      <c r="AG171" s="81" t="s">
        <v>420</v>
      </c>
      <c r="AH171" s="8"/>
      <c r="AI171" s="8"/>
      <c r="AJ171" s="8"/>
      <c r="AK171" s="8"/>
      <c r="AL171" s="8"/>
      <c r="AM171" s="81" t="s">
        <v>243</v>
      </c>
      <c r="AN171" s="8"/>
      <c r="AO171" s="8"/>
      <c r="AP171" s="8"/>
      <c r="AQ171" s="8"/>
      <c r="AR171" s="9">
        <v>42549</v>
      </c>
      <c r="AS171" s="8" t="s">
        <v>8456</v>
      </c>
      <c r="AT171" s="8" t="s">
        <v>348</v>
      </c>
      <c r="AU171" s="9"/>
      <c r="AV171" s="81" t="s">
        <v>322</v>
      </c>
      <c r="AW171" s="81" t="s">
        <v>242</v>
      </c>
      <c r="AX171" s="8" t="s">
        <v>2102</v>
      </c>
      <c r="AY171" s="8"/>
      <c r="AZ171" s="8" t="s">
        <v>8457</v>
      </c>
      <c r="BA171" s="81" t="s">
        <v>556</v>
      </c>
      <c r="BB171" s="8"/>
      <c r="BC171" s="8"/>
      <c r="BD171" s="8"/>
      <c r="BE171" s="81" t="s">
        <v>261</v>
      </c>
      <c r="BF171" s="8" t="s">
        <v>2103</v>
      </c>
      <c r="BG171" s="9">
        <v>46687</v>
      </c>
      <c r="BH171" s="81" t="s">
        <v>713</v>
      </c>
      <c r="BI171" s="81" t="s">
        <v>2076</v>
      </c>
      <c r="BJ171" s="9">
        <v>41518</v>
      </c>
      <c r="BK171" s="9">
        <v>42551</v>
      </c>
      <c r="BL171" s="81" t="s">
        <v>2077</v>
      </c>
      <c r="BM171" s="8"/>
      <c r="BN171" s="8"/>
      <c r="BO171" s="8"/>
      <c r="BP171" s="8"/>
      <c r="BQ171" s="9"/>
      <c r="BR171" s="9"/>
      <c r="BS171" s="8"/>
      <c r="BT171" s="8"/>
      <c r="BU171" s="8"/>
      <c r="BV171" s="8"/>
      <c r="BW171" s="81" t="s">
        <v>242</v>
      </c>
      <c r="BX171" s="81" t="s">
        <v>337</v>
      </c>
      <c r="BY171" s="9">
        <v>45717</v>
      </c>
      <c r="BZ171" s="9">
        <v>46965</v>
      </c>
      <c r="CA171" s="8" t="s">
        <v>245</v>
      </c>
    </row>
    <row r="172" spans="1:79" ht="141.6" x14ac:dyDescent="0.25">
      <c r="A172" s="81" t="s">
        <v>2106</v>
      </c>
      <c r="B172" s="8"/>
      <c r="C172" s="81" t="s">
        <v>26</v>
      </c>
      <c r="D172" s="8" t="s">
        <v>7944</v>
      </c>
      <c r="E172" s="8" t="s">
        <v>2107</v>
      </c>
      <c r="F172" s="9">
        <v>31949</v>
      </c>
      <c r="G172" s="8" t="s">
        <v>434</v>
      </c>
      <c r="H172" s="81" t="s">
        <v>250</v>
      </c>
      <c r="I172" s="81" t="s">
        <v>27</v>
      </c>
      <c r="J172" s="81" t="s">
        <v>252</v>
      </c>
      <c r="K172" s="81" t="s">
        <v>436</v>
      </c>
      <c r="L172" s="81" t="s">
        <v>102</v>
      </c>
      <c r="M172" s="81" t="s">
        <v>8466</v>
      </c>
      <c r="N172" s="81" t="s">
        <v>119</v>
      </c>
      <c r="O172" s="81" t="s">
        <v>29</v>
      </c>
      <c r="P172" s="9"/>
      <c r="Q172" s="8"/>
      <c r="R172" s="8"/>
      <c r="S172" s="8"/>
      <c r="T172" s="81" t="s">
        <v>8145</v>
      </c>
      <c r="U172" s="81" t="s">
        <v>8379</v>
      </c>
      <c r="V172" s="8"/>
      <c r="W172" s="8"/>
      <c r="X172" s="8" t="s">
        <v>2109</v>
      </c>
      <c r="Y172" s="81" t="s">
        <v>33</v>
      </c>
      <c r="Z172" s="8"/>
      <c r="AA172" s="81" t="s">
        <v>2110</v>
      </c>
      <c r="AB172" s="8"/>
      <c r="AC172" s="8"/>
      <c r="AD172" s="81" t="s">
        <v>459</v>
      </c>
      <c r="AE172" s="81" t="s">
        <v>8147</v>
      </c>
      <c r="AF172" s="81" t="s">
        <v>242</v>
      </c>
      <c r="AG172" s="81" t="s">
        <v>459</v>
      </c>
      <c r="AH172" s="8"/>
      <c r="AI172" s="8"/>
      <c r="AJ172" s="8"/>
      <c r="AK172" s="8"/>
      <c r="AL172" s="8"/>
      <c r="AM172" s="81" t="s">
        <v>243</v>
      </c>
      <c r="AN172" s="8"/>
      <c r="AO172" s="8"/>
      <c r="AP172" s="8"/>
      <c r="AQ172" s="8"/>
      <c r="AR172" s="9">
        <v>42515</v>
      </c>
      <c r="AS172" s="8" t="s">
        <v>8467</v>
      </c>
      <c r="AT172" s="8" t="s">
        <v>348</v>
      </c>
      <c r="AU172" s="9"/>
      <c r="AV172" s="81" t="s">
        <v>322</v>
      </c>
      <c r="AW172" s="81" t="s">
        <v>242</v>
      </c>
      <c r="AX172" s="8" t="s">
        <v>2112</v>
      </c>
      <c r="AY172" s="8"/>
      <c r="AZ172" s="8" t="s">
        <v>8386</v>
      </c>
      <c r="BA172" s="81" t="s">
        <v>399</v>
      </c>
      <c r="BB172" s="8"/>
      <c r="BC172" s="8"/>
      <c r="BD172" s="8"/>
      <c r="BE172" s="81" t="s">
        <v>261</v>
      </c>
      <c r="BF172" s="8" t="s">
        <v>2113</v>
      </c>
      <c r="BG172" s="9">
        <v>52289</v>
      </c>
      <c r="BH172" s="81" t="s">
        <v>81</v>
      </c>
      <c r="BI172" s="81" t="s">
        <v>1032</v>
      </c>
      <c r="BJ172" s="9">
        <v>38596</v>
      </c>
      <c r="BK172" s="9">
        <v>39995</v>
      </c>
      <c r="BL172" s="81" t="s">
        <v>786</v>
      </c>
      <c r="BM172" s="81" t="s">
        <v>82</v>
      </c>
      <c r="BN172" s="8"/>
      <c r="BO172" s="8"/>
      <c r="BP172" s="8"/>
      <c r="BQ172" s="9"/>
      <c r="BR172" s="9"/>
      <c r="BS172" s="8"/>
      <c r="BT172" s="81" t="s">
        <v>2115</v>
      </c>
      <c r="BU172" s="81" t="s">
        <v>266</v>
      </c>
      <c r="BV172" s="8" t="s">
        <v>2116</v>
      </c>
      <c r="BW172" s="81" t="s">
        <v>242</v>
      </c>
      <c r="BX172" s="81" t="s">
        <v>1556</v>
      </c>
      <c r="BY172" s="9">
        <v>42515</v>
      </c>
      <c r="BZ172" s="9"/>
      <c r="CA172" s="8" t="s">
        <v>61</v>
      </c>
    </row>
    <row r="173" spans="1:79" ht="157.19999999999999" x14ac:dyDescent="0.25">
      <c r="A173" s="81" t="s">
        <v>2117</v>
      </c>
      <c r="B173" s="8"/>
      <c r="C173" s="81" t="s">
        <v>26</v>
      </c>
      <c r="D173" s="8" t="s">
        <v>7945</v>
      </c>
      <c r="E173" s="8"/>
      <c r="F173" s="9">
        <v>33237</v>
      </c>
      <c r="G173" s="8" t="s">
        <v>292</v>
      </c>
      <c r="H173" s="81" t="s">
        <v>250</v>
      </c>
      <c r="I173" s="81" t="s">
        <v>27</v>
      </c>
      <c r="J173" s="81" t="s">
        <v>270</v>
      </c>
      <c r="K173" s="81" t="s">
        <v>608</v>
      </c>
      <c r="L173" s="81" t="s">
        <v>102</v>
      </c>
      <c r="M173" s="81" t="s">
        <v>8468</v>
      </c>
      <c r="N173" s="81" t="s">
        <v>119</v>
      </c>
      <c r="O173" s="81" t="s">
        <v>29</v>
      </c>
      <c r="P173" s="9"/>
      <c r="Q173" s="8"/>
      <c r="R173" s="8"/>
      <c r="S173" s="8"/>
      <c r="T173" s="81" t="s">
        <v>8247</v>
      </c>
      <c r="U173" s="81" t="s">
        <v>1654</v>
      </c>
      <c r="V173" s="8"/>
      <c r="W173" s="8"/>
      <c r="X173" s="8" t="s">
        <v>2119</v>
      </c>
      <c r="Y173" s="81" t="s">
        <v>33</v>
      </c>
      <c r="Z173" s="8"/>
      <c r="AA173" s="81" t="s">
        <v>1097</v>
      </c>
      <c r="AB173" s="8"/>
      <c r="AC173" s="8"/>
      <c r="AD173" s="81" t="s">
        <v>861</v>
      </c>
      <c r="AE173" s="81" t="s">
        <v>8220</v>
      </c>
      <c r="AF173" s="81" t="s">
        <v>492</v>
      </c>
      <c r="AG173" s="81" t="s">
        <v>861</v>
      </c>
      <c r="AH173" s="8"/>
      <c r="AI173" s="8"/>
      <c r="AJ173" s="8"/>
      <c r="AK173" s="8"/>
      <c r="AL173" s="8"/>
      <c r="AM173" s="81" t="s">
        <v>243</v>
      </c>
      <c r="AN173" s="8"/>
      <c r="AO173" s="8"/>
      <c r="AP173" s="8"/>
      <c r="AQ173" s="8"/>
      <c r="AR173" s="9">
        <v>42436</v>
      </c>
      <c r="AS173" s="8" t="s">
        <v>8469</v>
      </c>
      <c r="AT173" s="8" t="s">
        <v>348</v>
      </c>
      <c r="AU173" s="9"/>
      <c r="AV173" s="81" t="s">
        <v>322</v>
      </c>
      <c r="AW173" s="81" t="s">
        <v>492</v>
      </c>
      <c r="AX173" s="8" t="s">
        <v>2120</v>
      </c>
      <c r="AY173" s="8"/>
      <c r="AZ173" s="8" t="s">
        <v>8470</v>
      </c>
      <c r="BA173" s="81" t="s">
        <v>399</v>
      </c>
      <c r="BB173" s="8"/>
      <c r="BC173" s="8"/>
      <c r="BD173" s="8"/>
      <c r="BE173" s="81" t="s">
        <v>261</v>
      </c>
      <c r="BF173" s="8" t="s">
        <v>2121</v>
      </c>
      <c r="BG173" s="9">
        <v>50252</v>
      </c>
      <c r="BH173" s="81" t="s">
        <v>81</v>
      </c>
      <c r="BI173" s="81" t="s">
        <v>2123</v>
      </c>
      <c r="BJ173" s="9">
        <v>40422</v>
      </c>
      <c r="BK173" s="9">
        <v>41820</v>
      </c>
      <c r="BL173" s="81" t="s">
        <v>1475</v>
      </c>
      <c r="BM173" s="81" t="s">
        <v>82</v>
      </c>
      <c r="BN173" s="8"/>
      <c r="BO173" s="8"/>
      <c r="BP173" s="8"/>
      <c r="BQ173" s="9"/>
      <c r="BR173" s="9"/>
      <c r="BS173" s="8"/>
      <c r="BT173" s="8"/>
      <c r="BU173" s="8"/>
      <c r="BV173" s="8"/>
      <c r="BW173" s="81" t="s">
        <v>492</v>
      </c>
      <c r="BX173" s="81" t="s">
        <v>337</v>
      </c>
      <c r="BY173" s="9">
        <v>45663</v>
      </c>
      <c r="BZ173" s="9">
        <v>47603</v>
      </c>
      <c r="CA173" s="8" t="s">
        <v>257</v>
      </c>
    </row>
    <row r="174" spans="1:79" ht="157.19999999999999" x14ac:dyDescent="0.25">
      <c r="A174" s="81" t="s">
        <v>2124</v>
      </c>
      <c r="B174" s="8"/>
      <c r="C174" s="81" t="s">
        <v>26</v>
      </c>
      <c r="D174" s="8" t="s">
        <v>7946</v>
      </c>
      <c r="E174" s="8" t="s">
        <v>2125</v>
      </c>
      <c r="F174" s="9">
        <v>31022</v>
      </c>
      <c r="G174" s="8" t="s">
        <v>1746</v>
      </c>
      <c r="H174" s="81" t="s">
        <v>250</v>
      </c>
      <c r="I174" s="81" t="s">
        <v>27</v>
      </c>
      <c r="J174" s="81" t="s">
        <v>270</v>
      </c>
      <c r="K174" s="81" t="s">
        <v>488</v>
      </c>
      <c r="L174" s="81" t="s">
        <v>102</v>
      </c>
      <c r="M174" s="81" t="s">
        <v>8471</v>
      </c>
      <c r="N174" s="81" t="s">
        <v>119</v>
      </c>
      <c r="O174" s="81" t="s">
        <v>253</v>
      </c>
      <c r="P174" s="9"/>
      <c r="Q174" s="8"/>
      <c r="R174" s="8"/>
      <c r="S174" s="8"/>
      <c r="T174" s="81" t="s">
        <v>8141</v>
      </c>
      <c r="U174" s="81" t="s">
        <v>1095</v>
      </c>
      <c r="V174" s="8"/>
      <c r="W174" s="8"/>
      <c r="X174" s="8" t="s">
        <v>2126</v>
      </c>
      <c r="Y174" s="81" t="s">
        <v>33</v>
      </c>
      <c r="Z174" s="8"/>
      <c r="AA174" s="81" t="s">
        <v>1526</v>
      </c>
      <c r="AB174" s="8"/>
      <c r="AC174" s="8"/>
      <c r="AD174" s="81" t="s">
        <v>491</v>
      </c>
      <c r="AE174" s="81" t="s">
        <v>8152</v>
      </c>
      <c r="AF174" s="81" t="s">
        <v>492</v>
      </c>
      <c r="AG174" s="81" t="s">
        <v>491</v>
      </c>
      <c r="AH174" s="8"/>
      <c r="AI174" s="8"/>
      <c r="AJ174" s="8"/>
      <c r="AK174" s="8"/>
      <c r="AL174" s="8"/>
      <c r="AM174" s="81" t="s">
        <v>243</v>
      </c>
      <c r="AN174" s="8"/>
      <c r="AO174" s="8"/>
      <c r="AP174" s="8"/>
      <c r="AQ174" s="8"/>
      <c r="AR174" s="9">
        <v>42433</v>
      </c>
      <c r="AS174" s="8" t="s">
        <v>8469</v>
      </c>
      <c r="AT174" s="8" t="s">
        <v>348</v>
      </c>
      <c r="AU174" s="9"/>
      <c r="AV174" s="81" t="s">
        <v>322</v>
      </c>
      <c r="AW174" s="81" t="s">
        <v>492</v>
      </c>
      <c r="AX174" s="8" t="s">
        <v>2128</v>
      </c>
      <c r="AY174" s="8"/>
      <c r="AZ174" s="8" t="s">
        <v>8139</v>
      </c>
      <c r="BA174" s="81" t="s">
        <v>399</v>
      </c>
      <c r="BB174" s="8"/>
      <c r="BC174" s="8"/>
      <c r="BD174" s="8"/>
      <c r="BE174" s="81" t="s">
        <v>261</v>
      </c>
      <c r="BF174" s="8" t="s">
        <v>2129</v>
      </c>
      <c r="BG174" s="9">
        <v>51368</v>
      </c>
      <c r="BH174" s="81" t="s">
        <v>81</v>
      </c>
      <c r="BI174" s="81" t="s">
        <v>2131</v>
      </c>
      <c r="BJ174" s="9">
        <v>37865</v>
      </c>
      <c r="BK174" s="9">
        <v>39264</v>
      </c>
      <c r="BL174" s="81" t="s">
        <v>405</v>
      </c>
      <c r="BM174" s="81" t="s">
        <v>82</v>
      </c>
      <c r="BN174" s="8"/>
      <c r="BO174" s="8"/>
      <c r="BP174" s="8"/>
      <c r="BQ174" s="9"/>
      <c r="BR174" s="9"/>
      <c r="BS174" s="8"/>
      <c r="BT174" s="8"/>
      <c r="BU174" s="8"/>
      <c r="BV174" s="8"/>
      <c r="BW174" s="81" t="s">
        <v>492</v>
      </c>
      <c r="BX174" s="81" t="s">
        <v>337</v>
      </c>
      <c r="BY174" s="9">
        <v>43836</v>
      </c>
      <c r="BZ174" s="9">
        <v>46873</v>
      </c>
      <c r="CA174" s="8" t="s">
        <v>257</v>
      </c>
    </row>
    <row r="175" spans="1:79" ht="141.6" x14ac:dyDescent="0.25">
      <c r="A175" s="81" t="s">
        <v>2133</v>
      </c>
      <c r="B175" s="8"/>
      <c r="C175" s="81" t="s">
        <v>26</v>
      </c>
      <c r="D175" s="8" t="s">
        <v>7947</v>
      </c>
      <c r="E175" s="8" t="s">
        <v>2134</v>
      </c>
      <c r="F175" s="9">
        <v>31853</v>
      </c>
      <c r="G175" s="8" t="s">
        <v>2135</v>
      </c>
      <c r="H175" s="81" t="s">
        <v>250</v>
      </c>
      <c r="I175" s="81" t="s">
        <v>27</v>
      </c>
      <c r="J175" s="81" t="s">
        <v>270</v>
      </c>
      <c r="K175" s="81" t="s">
        <v>353</v>
      </c>
      <c r="L175" s="81" t="s">
        <v>102</v>
      </c>
      <c r="M175" s="81" t="s">
        <v>8472</v>
      </c>
      <c r="N175" s="81" t="s">
        <v>119</v>
      </c>
      <c r="O175" s="81" t="s">
        <v>253</v>
      </c>
      <c r="P175" s="9"/>
      <c r="Q175" s="8"/>
      <c r="R175" s="8"/>
      <c r="S175" s="8"/>
      <c r="T175" s="8"/>
      <c r="U175" s="8"/>
      <c r="V175" s="8"/>
      <c r="W175" s="8"/>
      <c r="X175" s="8" t="s">
        <v>2136</v>
      </c>
      <c r="Y175" s="81" t="s">
        <v>33</v>
      </c>
      <c r="Z175" s="8"/>
      <c r="AA175" s="81" t="s">
        <v>616</v>
      </c>
      <c r="AB175" s="8"/>
      <c r="AC175" s="8"/>
      <c r="AD175" s="81" t="s">
        <v>553</v>
      </c>
      <c r="AE175" s="81" t="s">
        <v>8194</v>
      </c>
      <c r="AF175" s="81" t="s">
        <v>492</v>
      </c>
      <c r="AG175" s="81" t="s">
        <v>553</v>
      </c>
      <c r="AH175" s="8"/>
      <c r="AI175" s="8"/>
      <c r="AJ175" s="8"/>
      <c r="AK175" s="8"/>
      <c r="AL175" s="8"/>
      <c r="AM175" s="81" t="s">
        <v>243</v>
      </c>
      <c r="AN175" s="8"/>
      <c r="AO175" s="8"/>
      <c r="AP175" s="8"/>
      <c r="AQ175" s="8"/>
      <c r="AR175" s="9">
        <v>42431</v>
      </c>
      <c r="AS175" s="8" t="s">
        <v>8469</v>
      </c>
      <c r="AT175" s="8" t="s">
        <v>348</v>
      </c>
      <c r="AU175" s="9"/>
      <c r="AV175" s="81" t="s">
        <v>322</v>
      </c>
      <c r="AW175" s="81" t="s">
        <v>492</v>
      </c>
      <c r="AX175" s="8" t="s">
        <v>2137</v>
      </c>
      <c r="AY175" s="8"/>
      <c r="AZ175" s="8" t="s">
        <v>8473</v>
      </c>
      <c r="BA175" s="81" t="s">
        <v>556</v>
      </c>
      <c r="BB175" s="8"/>
      <c r="BC175" s="8"/>
      <c r="BD175" s="8"/>
      <c r="BE175" s="81" t="s">
        <v>261</v>
      </c>
      <c r="BF175" s="8" t="s">
        <v>2138</v>
      </c>
      <c r="BG175" s="9">
        <v>50220</v>
      </c>
      <c r="BH175" s="81" t="s">
        <v>81</v>
      </c>
      <c r="BI175" s="81" t="s">
        <v>1032</v>
      </c>
      <c r="BJ175" s="9">
        <v>40057</v>
      </c>
      <c r="BK175" s="9">
        <v>41456</v>
      </c>
      <c r="BL175" s="81" t="s">
        <v>2141</v>
      </c>
      <c r="BM175" s="81" t="s">
        <v>82</v>
      </c>
      <c r="BN175" s="8"/>
      <c r="BO175" s="8"/>
      <c r="BP175" s="8"/>
      <c r="BQ175" s="9"/>
      <c r="BR175" s="9"/>
      <c r="BS175" s="8"/>
      <c r="BT175" s="8"/>
      <c r="BU175" s="8"/>
      <c r="BV175" s="8"/>
      <c r="BW175" s="81" t="s">
        <v>492</v>
      </c>
      <c r="BX175" s="81" t="s">
        <v>1556</v>
      </c>
      <c r="BY175" s="9">
        <v>45663</v>
      </c>
      <c r="BZ175" s="9"/>
      <c r="CA175" s="8" t="s">
        <v>257</v>
      </c>
    </row>
    <row r="176" spans="1:79" ht="157.19999999999999" x14ac:dyDescent="0.25">
      <c r="A176" s="81" t="s">
        <v>2142</v>
      </c>
      <c r="B176" s="8"/>
      <c r="C176" s="81" t="s">
        <v>352</v>
      </c>
      <c r="D176" s="8" t="s">
        <v>7948</v>
      </c>
      <c r="E176" s="8"/>
      <c r="F176" s="9">
        <v>33192</v>
      </c>
      <c r="G176" s="8" t="s">
        <v>292</v>
      </c>
      <c r="H176" s="81" t="s">
        <v>250</v>
      </c>
      <c r="I176" s="81" t="s">
        <v>27</v>
      </c>
      <c r="J176" s="81" t="s">
        <v>252</v>
      </c>
      <c r="K176" s="81" t="s">
        <v>668</v>
      </c>
      <c r="L176" s="81" t="s">
        <v>102</v>
      </c>
      <c r="M176" s="81" t="s">
        <v>8474</v>
      </c>
      <c r="N176" s="81" t="s">
        <v>119</v>
      </c>
      <c r="O176" s="81" t="s">
        <v>253</v>
      </c>
      <c r="P176" s="9"/>
      <c r="Q176" s="8"/>
      <c r="R176" s="8"/>
      <c r="S176" s="8"/>
      <c r="T176" s="8"/>
      <c r="U176" s="8"/>
      <c r="V176" s="8"/>
      <c r="W176" s="8"/>
      <c r="X176" s="8" t="s">
        <v>2143</v>
      </c>
      <c r="Y176" s="81" t="s">
        <v>33</v>
      </c>
      <c r="Z176" s="8"/>
      <c r="AA176" s="81" t="s">
        <v>2144</v>
      </c>
      <c r="AB176" s="8"/>
      <c r="AC176" s="8"/>
      <c r="AD176" s="81" t="s">
        <v>524</v>
      </c>
      <c r="AE176" s="81" t="s">
        <v>8155</v>
      </c>
      <c r="AF176" s="81" t="s">
        <v>242</v>
      </c>
      <c r="AG176" s="81" t="s">
        <v>524</v>
      </c>
      <c r="AH176" s="8"/>
      <c r="AI176" s="8"/>
      <c r="AJ176" s="8"/>
      <c r="AK176" s="8"/>
      <c r="AL176" s="8"/>
      <c r="AM176" s="81" t="s">
        <v>243</v>
      </c>
      <c r="AN176" s="8"/>
      <c r="AO176" s="8"/>
      <c r="AP176" s="8"/>
      <c r="AQ176" s="8"/>
      <c r="AR176" s="9">
        <v>42376</v>
      </c>
      <c r="AS176" s="8" t="s">
        <v>8475</v>
      </c>
      <c r="AT176" s="8" t="s">
        <v>348</v>
      </c>
      <c r="AU176" s="9"/>
      <c r="AV176" s="81" t="s">
        <v>322</v>
      </c>
      <c r="AW176" s="81" t="s">
        <v>242</v>
      </c>
      <c r="AX176" s="8" t="s">
        <v>2146</v>
      </c>
      <c r="AY176" s="8"/>
      <c r="AZ176" s="8" t="s">
        <v>8476</v>
      </c>
      <c r="BA176" s="81" t="s">
        <v>676</v>
      </c>
      <c r="BB176" s="8"/>
      <c r="BC176" s="8"/>
      <c r="BD176" s="8"/>
      <c r="BE176" s="81" t="s">
        <v>261</v>
      </c>
      <c r="BF176" s="8" t="s">
        <v>2147</v>
      </c>
      <c r="BG176" s="9">
        <v>52998</v>
      </c>
      <c r="BH176" s="81" t="s">
        <v>81</v>
      </c>
      <c r="BI176" s="81" t="s">
        <v>2149</v>
      </c>
      <c r="BJ176" s="9">
        <v>41153</v>
      </c>
      <c r="BK176" s="9">
        <v>41821</v>
      </c>
      <c r="BL176" s="81" t="s">
        <v>2150</v>
      </c>
      <c r="BM176" s="81" t="s">
        <v>82</v>
      </c>
      <c r="BN176" s="8"/>
      <c r="BO176" s="8"/>
      <c r="BP176" s="8"/>
      <c r="BQ176" s="9"/>
      <c r="BR176" s="9"/>
      <c r="BS176" s="8"/>
      <c r="BT176" s="8"/>
      <c r="BU176" s="8"/>
      <c r="BV176" s="8"/>
      <c r="BW176" s="81" t="s">
        <v>242</v>
      </c>
      <c r="BX176" s="81" t="s">
        <v>337</v>
      </c>
      <c r="BY176" s="9">
        <v>42376</v>
      </c>
      <c r="BZ176" s="9">
        <v>46446</v>
      </c>
      <c r="CA176" s="8" t="s">
        <v>2152</v>
      </c>
    </row>
    <row r="177" spans="1:79" ht="157.80000000000001" x14ac:dyDescent="0.25">
      <c r="A177" s="81" t="s">
        <v>2153</v>
      </c>
      <c r="B177" s="8"/>
      <c r="C177" s="81" t="s">
        <v>352</v>
      </c>
      <c r="D177" s="8" t="s">
        <v>7949</v>
      </c>
      <c r="E177" s="8"/>
      <c r="F177" s="9">
        <v>28124</v>
      </c>
      <c r="G177" s="8" t="s">
        <v>1441</v>
      </c>
      <c r="H177" s="81" t="s">
        <v>250</v>
      </c>
      <c r="I177" s="81" t="s">
        <v>251</v>
      </c>
      <c r="J177" s="81" t="s">
        <v>293</v>
      </c>
      <c r="K177" s="81" t="s">
        <v>1246</v>
      </c>
      <c r="L177" s="81" t="s">
        <v>102</v>
      </c>
      <c r="M177" s="81" t="s">
        <v>8477</v>
      </c>
      <c r="N177" s="81" t="s">
        <v>119</v>
      </c>
      <c r="O177" s="81" t="s">
        <v>29</v>
      </c>
      <c r="P177" s="9"/>
      <c r="Q177" s="8"/>
      <c r="R177" s="8"/>
      <c r="S177" s="8"/>
      <c r="T177" s="8"/>
      <c r="U177" s="8"/>
      <c r="V177" s="8"/>
      <c r="W177" s="8"/>
      <c r="X177" s="8" t="s">
        <v>2154</v>
      </c>
      <c r="Y177" s="81" t="s">
        <v>33</v>
      </c>
      <c r="Z177" s="8"/>
      <c r="AA177" s="81" t="s">
        <v>2155</v>
      </c>
      <c r="AB177" s="8"/>
      <c r="AC177" s="8"/>
      <c r="AD177" s="81" t="s">
        <v>709</v>
      </c>
      <c r="AE177" s="81" t="s">
        <v>8192</v>
      </c>
      <c r="AF177" s="81" t="s">
        <v>242</v>
      </c>
      <c r="AG177" s="81" t="s">
        <v>298</v>
      </c>
      <c r="AH177" s="81" t="s">
        <v>709</v>
      </c>
      <c r="AI177" s="8"/>
      <c r="AJ177" s="8"/>
      <c r="AK177" s="8"/>
      <c r="AL177" s="8"/>
      <c r="AM177" s="81" t="s">
        <v>243</v>
      </c>
      <c r="AN177" s="8"/>
      <c r="AO177" s="8"/>
      <c r="AP177" s="8"/>
      <c r="AQ177" s="8"/>
      <c r="AR177" s="9">
        <v>42373</v>
      </c>
      <c r="AS177" s="8" t="s">
        <v>8475</v>
      </c>
      <c r="AT177" s="8" t="s">
        <v>348</v>
      </c>
      <c r="AU177" s="9"/>
      <c r="AV177" s="81" t="s">
        <v>322</v>
      </c>
      <c r="AW177" s="81" t="s">
        <v>242</v>
      </c>
      <c r="AX177" s="8" t="s">
        <v>2157</v>
      </c>
      <c r="AY177" s="8"/>
      <c r="AZ177" s="8" t="s">
        <v>8137</v>
      </c>
      <c r="BA177" s="81" t="s">
        <v>361</v>
      </c>
      <c r="BB177" s="8"/>
      <c r="BC177" s="8"/>
      <c r="BD177" s="8"/>
      <c r="BE177" s="81" t="s">
        <v>261</v>
      </c>
      <c r="BF177" s="8" t="s">
        <v>2158</v>
      </c>
      <c r="BG177" s="9">
        <v>46188</v>
      </c>
      <c r="BH177" s="81" t="s">
        <v>1705</v>
      </c>
      <c r="BI177" s="81" t="s">
        <v>2087</v>
      </c>
      <c r="BJ177" s="9" t="s">
        <v>2088</v>
      </c>
      <c r="BK177" s="9"/>
      <c r="BL177" s="8"/>
      <c r="BM177" s="8"/>
      <c r="BN177" s="8"/>
      <c r="BO177" s="8"/>
      <c r="BP177" s="8"/>
      <c r="BQ177" s="9"/>
      <c r="BR177" s="9"/>
      <c r="BS177" s="8"/>
      <c r="BT177" s="81" t="s">
        <v>2160</v>
      </c>
      <c r="BU177" s="81" t="s">
        <v>118</v>
      </c>
      <c r="BV177" s="8" t="s">
        <v>2161</v>
      </c>
      <c r="BW177" s="81" t="s">
        <v>242</v>
      </c>
      <c r="BX177" s="81" t="s">
        <v>337</v>
      </c>
      <c r="BY177" s="9">
        <v>45870</v>
      </c>
      <c r="BZ177" s="9">
        <v>46965</v>
      </c>
      <c r="CA177" s="8" t="s">
        <v>61</v>
      </c>
    </row>
    <row r="178" spans="1:79" ht="157.19999999999999" x14ac:dyDescent="0.25">
      <c r="A178" s="81" t="s">
        <v>2162</v>
      </c>
      <c r="B178" s="8"/>
      <c r="C178" s="81" t="s">
        <v>352</v>
      </c>
      <c r="D178" s="8" t="s">
        <v>7950</v>
      </c>
      <c r="E178" s="8" t="s">
        <v>2163</v>
      </c>
      <c r="F178" s="9">
        <v>33159</v>
      </c>
      <c r="G178" s="8" t="s">
        <v>292</v>
      </c>
      <c r="H178" s="81" t="s">
        <v>250</v>
      </c>
      <c r="I178" s="81" t="s">
        <v>27</v>
      </c>
      <c r="J178" s="81" t="s">
        <v>474</v>
      </c>
      <c r="K178" s="81" t="s">
        <v>2164</v>
      </c>
      <c r="L178" s="81" t="s">
        <v>1618</v>
      </c>
      <c r="M178" s="81" t="s">
        <v>8478</v>
      </c>
      <c r="N178" s="81" t="s">
        <v>119</v>
      </c>
      <c r="O178" s="81" t="s">
        <v>29</v>
      </c>
      <c r="P178" s="9"/>
      <c r="Q178" s="8"/>
      <c r="R178" s="8"/>
      <c r="S178" s="8"/>
      <c r="T178" s="8"/>
      <c r="U178" s="8"/>
      <c r="V178" s="8"/>
      <c r="W178" s="8"/>
      <c r="X178" s="8" t="s">
        <v>2165</v>
      </c>
      <c r="Y178" s="81" t="s">
        <v>33</v>
      </c>
      <c r="Z178" s="8"/>
      <c r="AA178" s="81" t="s">
        <v>1209</v>
      </c>
      <c r="AB178" s="8"/>
      <c r="AC178" s="8"/>
      <c r="AD178" s="81" t="s">
        <v>533</v>
      </c>
      <c r="AE178" s="81" t="s">
        <v>8157</v>
      </c>
      <c r="AF178" s="81" t="s">
        <v>242</v>
      </c>
      <c r="AG178" s="81" t="s">
        <v>533</v>
      </c>
      <c r="AH178" s="8"/>
      <c r="AI178" s="8"/>
      <c r="AJ178" s="8"/>
      <c r="AK178" s="8"/>
      <c r="AL178" s="8"/>
      <c r="AM178" s="81" t="s">
        <v>243</v>
      </c>
      <c r="AN178" s="8"/>
      <c r="AO178" s="8"/>
      <c r="AP178" s="8"/>
      <c r="AQ178" s="8"/>
      <c r="AR178" s="9">
        <v>42338</v>
      </c>
      <c r="AS178" s="8" t="s">
        <v>8479</v>
      </c>
      <c r="AT178" s="8" t="s">
        <v>348</v>
      </c>
      <c r="AU178" s="9"/>
      <c r="AV178" s="81" t="s">
        <v>322</v>
      </c>
      <c r="AW178" s="81" t="s">
        <v>242</v>
      </c>
      <c r="AX178" s="8" t="s">
        <v>2166</v>
      </c>
      <c r="AY178" s="8"/>
      <c r="AZ178" s="8" t="s">
        <v>8480</v>
      </c>
      <c r="BA178" s="81" t="s">
        <v>399</v>
      </c>
      <c r="BB178" s="8"/>
      <c r="BC178" s="8"/>
      <c r="BD178" s="8"/>
      <c r="BE178" s="81" t="s">
        <v>261</v>
      </c>
      <c r="BF178" s="8" t="s">
        <v>2167</v>
      </c>
      <c r="BG178" s="9">
        <v>46185</v>
      </c>
      <c r="BH178" s="81" t="s">
        <v>81</v>
      </c>
      <c r="BI178" s="81" t="s">
        <v>2168</v>
      </c>
      <c r="BJ178" s="9">
        <v>40422</v>
      </c>
      <c r="BK178" s="9">
        <v>41821</v>
      </c>
      <c r="BL178" s="81" t="s">
        <v>981</v>
      </c>
      <c r="BM178" s="81" t="s">
        <v>82</v>
      </c>
      <c r="BN178" s="8"/>
      <c r="BO178" s="8"/>
      <c r="BP178" s="8"/>
      <c r="BQ178" s="9"/>
      <c r="BR178" s="9"/>
      <c r="BS178" s="8"/>
      <c r="BT178" s="8"/>
      <c r="BU178" s="8"/>
      <c r="BV178" s="8"/>
      <c r="BW178" s="81" t="s">
        <v>242</v>
      </c>
      <c r="BX178" s="81" t="s">
        <v>337</v>
      </c>
      <c r="BY178" s="9">
        <v>45886</v>
      </c>
      <c r="BZ178" s="9">
        <v>47695</v>
      </c>
      <c r="CA178" s="8" t="s">
        <v>257</v>
      </c>
    </row>
    <row r="179" spans="1:79" ht="157.19999999999999" x14ac:dyDescent="0.25">
      <c r="A179" s="81" t="s">
        <v>2170</v>
      </c>
      <c r="B179" s="8"/>
      <c r="C179" s="81" t="s">
        <v>352</v>
      </c>
      <c r="D179" s="8" t="s">
        <v>7951</v>
      </c>
      <c r="E179" s="8" t="s">
        <v>2171</v>
      </c>
      <c r="F179" s="9">
        <v>33426</v>
      </c>
      <c r="G179" s="8" t="s">
        <v>1392</v>
      </c>
      <c r="H179" s="81" t="s">
        <v>250</v>
      </c>
      <c r="I179" s="81" t="s">
        <v>27</v>
      </c>
      <c r="J179" s="81" t="s">
        <v>293</v>
      </c>
      <c r="K179" s="81" t="s">
        <v>294</v>
      </c>
      <c r="L179" s="81" t="s">
        <v>102</v>
      </c>
      <c r="M179" s="81" t="s">
        <v>8481</v>
      </c>
      <c r="N179" s="81" t="s">
        <v>504</v>
      </c>
      <c r="O179" s="81" t="s">
        <v>29</v>
      </c>
      <c r="P179" s="9"/>
      <c r="Q179" s="8"/>
      <c r="R179" s="8"/>
      <c r="S179" s="8"/>
      <c r="T179" s="8"/>
      <c r="U179" s="8"/>
      <c r="V179" s="8"/>
      <c r="W179" s="8"/>
      <c r="X179" s="8" t="s">
        <v>2172</v>
      </c>
      <c r="Y179" s="81" t="s">
        <v>33</v>
      </c>
      <c r="Z179" s="8"/>
      <c r="AA179" s="81" t="s">
        <v>1209</v>
      </c>
      <c r="AB179" s="8"/>
      <c r="AC179" s="8"/>
      <c r="AD179" s="81" t="s">
        <v>533</v>
      </c>
      <c r="AE179" s="81" t="s">
        <v>8157</v>
      </c>
      <c r="AF179" s="81" t="s">
        <v>242</v>
      </c>
      <c r="AG179" s="81" t="s">
        <v>533</v>
      </c>
      <c r="AH179" s="8"/>
      <c r="AI179" s="8"/>
      <c r="AJ179" s="8"/>
      <c r="AK179" s="8"/>
      <c r="AL179" s="8"/>
      <c r="AM179" s="81" t="s">
        <v>243</v>
      </c>
      <c r="AN179" s="8"/>
      <c r="AO179" s="8"/>
      <c r="AP179" s="8"/>
      <c r="AQ179" s="8"/>
      <c r="AR179" s="9">
        <v>42325</v>
      </c>
      <c r="AS179" s="8" t="s">
        <v>8479</v>
      </c>
      <c r="AT179" s="8" t="s">
        <v>348</v>
      </c>
      <c r="AU179" s="9"/>
      <c r="AV179" s="81" t="s">
        <v>322</v>
      </c>
      <c r="AW179" s="81" t="s">
        <v>242</v>
      </c>
      <c r="AX179" s="8" t="s">
        <v>2174</v>
      </c>
      <c r="AY179" s="8"/>
      <c r="AZ179" s="8" t="s">
        <v>8480</v>
      </c>
      <c r="BA179" s="81" t="s">
        <v>399</v>
      </c>
      <c r="BB179" s="8"/>
      <c r="BC179" s="8"/>
      <c r="BD179" s="8"/>
      <c r="BE179" s="81" t="s">
        <v>261</v>
      </c>
      <c r="BF179" s="8" t="s">
        <v>2175</v>
      </c>
      <c r="BG179" s="9">
        <v>51845</v>
      </c>
      <c r="BH179" s="81" t="s">
        <v>81</v>
      </c>
      <c r="BI179" s="81" t="s">
        <v>2177</v>
      </c>
      <c r="BJ179" s="9">
        <v>40787</v>
      </c>
      <c r="BK179" s="9">
        <v>42186</v>
      </c>
      <c r="BL179" s="81" t="s">
        <v>2178</v>
      </c>
      <c r="BM179" s="81" t="s">
        <v>82</v>
      </c>
      <c r="BN179" s="8"/>
      <c r="BO179" s="8"/>
      <c r="BP179" s="8"/>
      <c r="BQ179" s="9"/>
      <c r="BR179" s="9"/>
      <c r="BS179" s="8"/>
      <c r="BT179" s="81" t="s">
        <v>2179</v>
      </c>
      <c r="BU179" s="81" t="s">
        <v>266</v>
      </c>
      <c r="BV179" s="8" t="s">
        <v>2180</v>
      </c>
      <c r="BW179" s="81" t="s">
        <v>242</v>
      </c>
      <c r="BX179" s="81" t="s">
        <v>1556</v>
      </c>
      <c r="BY179" s="9">
        <v>42325</v>
      </c>
      <c r="BZ179" s="9"/>
      <c r="CA179" s="8" t="s">
        <v>63</v>
      </c>
    </row>
    <row r="180" spans="1:79" ht="236.4" x14ac:dyDescent="0.25">
      <c r="A180" s="81" t="s">
        <v>2181</v>
      </c>
      <c r="B180" s="8"/>
      <c r="C180" s="81" t="s">
        <v>26</v>
      </c>
      <c r="D180" s="8" t="s">
        <v>7952</v>
      </c>
      <c r="E180" s="8"/>
      <c r="F180" s="9">
        <v>30244</v>
      </c>
      <c r="G180" s="8" t="s">
        <v>1245</v>
      </c>
      <c r="H180" s="81" t="s">
        <v>250</v>
      </c>
      <c r="I180" s="81" t="s">
        <v>27</v>
      </c>
      <c r="J180" s="81" t="s">
        <v>252</v>
      </c>
      <c r="K180" s="81" t="s">
        <v>415</v>
      </c>
      <c r="L180" s="81" t="s">
        <v>1584</v>
      </c>
      <c r="M180" s="81" t="s">
        <v>8482</v>
      </c>
      <c r="N180" s="81" t="s">
        <v>119</v>
      </c>
      <c r="O180" s="81" t="s">
        <v>29</v>
      </c>
      <c r="P180" s="9"/>
      <c r="Q180" s="8"/>
      <c r="R180" s="8"/>
      <c r="S180" s="8"/>
      <c r="T180" s="8"/>
      <c r="U180" s="8"/>
      <c r="V180" s="8"/>
      <c r="W180" s="8"/>
      <c r="X180" s="8" t="s">
        <v>2182</v>
      </c>
      <c r="Y180" s="81" t="s">
        <v>33</v>
      </c>
      <c r="Z180" s="8"/>
      <c r="AA180" s="81" t="s">
        <v>2183</v>
      </c>
      <c r="AB180" s="8"/>
      <c r="AC180" s="8"/>
      <c r="AD180" s="81" t="s">
        <v>2184</v>
      </c>
      <c r="AE180" s="81" t="s">
        <v>8483</v>
      </c>
      <c r="AF180" s="81" t="s">
        <v>242</v>
      </c>
      <c r="AG180" s="81" t="s">
        <v>345</v>
      </c>
      <c r="AH180" s="81" t="s">
        <v>346</v>
      </c>
      <c r="AI180" s="81" t="s">
        <v>2184</v>
      </c>
      <c r="AJ180" s="8"/>
      <c r="AK180" s="8"/>
      <c r="AL180" s="8"/>
      <c r="AM180" s="81" t="s">
        <v>243</v>
      </c>
      <c r="AN180" s="8"/>
      <c r="AO180" s="8"/>
      <c r="AP180" s="8"/>
      <c r="AQ180" s="8"/>
      <c r="AR180" s="9">
        <v>42285</v>
      </c>
      <c r="AS180" s="8" t="s">
        <v>8484</v>
      </c>
      <c r="AT180" s="8" t="s">
        <v>348</v>
      </c>
      <c r="AU180" s="9"/>
      <c r="AV180" s="81" t="s">
        <v>322</v>
      </c>
      <c r="AW180" s="81" t="s">
        <v>242</v>
      </c>
      <c r="AX180" s="8" t="s">
        <v>2186</v>
      </c>
      <c r="AY180" s="8"/>
      <c r="AZ180" s="8" t="s">
        <v>8310</v>
      </c>
      <c r="BA180" s="81" t="s">
        <v>556</v>
      </c>
      <c r="BB180" s="8"/>
      <c r="BC180" s="8"/>
      <c r="BD180" s="8"/>
      <c r="BE180" s="81" t="s">
        <v>261</v>
      </c>
      <c r="BF180" s="8" t="s">
        <v>2187</v>
      </c>
      <c r="BG180" s="9">
        <v>49945</v>
      </c>
      <c r="BH180" s="81" t="s">
        <v>713</v>
      </c>
      <c r="BI180" s="81" t="s">
        <v>2189</v>
      </c>
      <c r="BJ180" s="9">
        <v>35125</v>
      </c>
      <c r="BK180" s="9">
        <v>36434</v>
      </c>
      <c r="BL180" s="81" t="s">
        <v>2192</v>
      </c>
      <c r="BM180" s="8"/>
      <c r="BN180" s="8"/>
      <c r="BO180" s="8"/>
      <c r="BP180" s="8"/>
      <c r="BQ180" s="9"/>
      <c r="BR180" s="9"/>
      <c r="BS180" s="8"/>
      <c r="BT180" s="8"/>
      <c r="BU180" s="8"/>
      <c r="BV180" s="8"/>
      <c r="BW180" s="81" t="s">
        <v>242</v>
      </c>
      <c r="BX180" s="81" t="s">
        <v>1556</v>
      </c>
      <c r="BY180" s="9">
        <v>45870</v>
      </c>
      <c r="BZ180" s="9"/>
      <c r="CA180" s="8" t="s">
        <v>245</v>
      </c>
    </row>
    <row r="181" spans="1:79" ht="141.6" x14ac:dyDescent="0.25">
      <c r="A181" s="81" t="s">
        <v>2193</v>
      </c>
      <c r="B181" s="8"/>
      <c r="C181" s="81" t="s">
        <v>352</v>
      </c>
      <c r="D181" s="8" t="s">
        <v>7953</v>
      </c>
      <c r="E181" s="8"/>
      <c r="F181" s="9">
        <v>33470</v>
      </c>
      <c r="G181" s="8" t="s">
        <v>1392</v>
      </c>
      <c r="H181" s="81" t="s">
        <v>250</v>
      </c>
      <c r="I181" s="81" t="s">
        <v>251</v>
      </c>
      <c r="J181" s="81" t="s">
        <v>270</v>
      </c>
      <c r="K181" s="81" t="s">
        <v>394</v>
      </c>
      <c r="L181" s="81" t="s">
        <v>102</v>
      </c>
      <c r="M181" s="81" t="s">
        <v>2194</v>
      </c>
      <c r="N181" s="81" t="s">
        <v>504</v>
      </c>
      <c r="O181" s="81" t="s">
        <v>29</v>
      </c>
      <c r="P181" s="9"/>
      <c r="Q181" s="8"/>
      <c r="R181" s="8"/>
      <c r="S181" s="8"/>
      <c r="T181" s="8"/>
      <c r="U181" s="8"/>
      <c r="V181" s="81" t="s">
        <v>8247</v>
      </c>
      <c r="W181" s="81" t="s">
        <v>2195</v>
      </c>
      <c r="X181" s="8" t="s">
        <v>2196</v>
      </c>
      <c r="Y181" s="81" t="s">
        <v>33</v>
      </c>
      <c r="Z181" s="8"/>
      <c r="AA181" s="81" t="s">
        <v>2195</v>
      </c>
      <c r="AB181" s="8"/>
      <c r="AC181" s="8"/>
      <c r="AD181" s="81" t="s">
        <v>459</v>
      </c>
      <c r="AE181" s="81" t="s">
        <v>8147</v>
      </c>
      <c r="AF181" s="81" t="s">
        <v>242</v>
      </c>
      <c r="AG181" s="81" t="s">
        <v>459</v>
      </c>
      <c r="AH181" s="8"/>
      <c r="AI181" s="8"/>
      <c r="AJ181" s="8"/>
      <c r="AK181" s="8"/>
      <c r="AL181" s="8"/>
      <c r="AM181" s="81" t="s">
        <v>243</v>
      </c>
      <c r="AN181" s="8"/>
      <c r="AO181" s="8"/>
      <c r="AP181" s="8"/>
      <c r="AQ181" s="8"/>
      <c r="AR181" s="9">
        <v>42263</v>
      </c>
      <c r="AS181" s="8" t="s">
        <v>8484</v>
      </c>
      <c r="AT181" s="8" t="s">
        <v>348</v>
      </c>
      <c r="AU181" s="9">
        <v>45252</v>
      </c>
      <c r="AV181" s="81" t="s">
        <v>322</v>
      </c>
      <c r="AW181" s="81" t="s">
        <v>242</v>
      </c>
      <c r="AX181" s="8" t="s">
        <v>2198</v>
      </c>
      <c r="AY181" s="8"/>
      <c r="AZ181" s="8" t="s">
        <v>8257</v>
      </c>
      <c r="BA181" s="81" t="s">
        <v>399</v>
      </c>
      <c r="BB181" s="8"/>
      <c r="BC181" s="8"/>
      <c r="BD181" s="8"/>
      <c r="BE181" s="81" t="s">
        <v>261</v>
      </c>
      <c r="BF181" s="8" t="s">
        <v>2199</v>
      </c>
      <c r="BG181" s="9">
        <v>52061</v>
      </c>
      <c r="BH181" s="81" t="s">
        <v>81</v>
      </c>
      <c r="BI181" s="81" t="s">
        <v>2201</v>
      </c>
      <c r="BJ181" s="9">
        <v>40422</v>
      </c>
      <c r="BK181" s="9">
        <v>41821</v>
      </c>
      <c r="BL181" s="81" t="s">
        <v>828</v>
      </c>
      <c r="BM181" s="81" t="s">
        <v>82</v>
      </c>
      <c r="BN181" s="8"/>
      <c r="BO181" s="8"/>
      <c r="BP181" s="8"/>
      <c r="BQ181" s="9"/>
      <c r="BR181" s="9"/>
      <c r="BS181" s="8"/>
      <c r="BT181" s="8"/>
      <c r="BU181" s="8"/>
      <c r="BV181" s="8"/>
      <c r="BW181" s="81" t="s">
        <v>242</v>
      </c>
      <c r="BX181" s="81" t="s">
        <v>1556</v>
      </c>
      <c r="BY181" s="9">
        <v>42263</v>
      </c>
      <c r="BZ181" s="9"/>
      <c r="CA181" s="8" t="s">
        <v>63</v>
      </c>
    </row>
    <row r="182" spans="1:79" ht="141.6" x14ac:dyDescent="0.25">
      <c r="A182" s="81" t="s">
        <v>2202</v>
      </c>
      <c r="B182" s="8"/>
      <c r="C182" s="81" t="s">
        <v>352</v>
      </c>
      <c r="D182" s="8" t="s">
        <v>7954</v>
      </c>
      <c r="E182" s="8"/>
      <c r="F182" s="9">
        <v>32065</v>
      </c>
      <c r="G182" s="8" t="s">
        <v>434</v>
      </c>
      <c r="H182" s="81" t="s">
        <v>250</v>
      </c>
      <c r="I182" s="81" t="s">
        <v>27</v>
      </c>
      <c r="J182" s="81" t="s">
        <v>270</v>
      </c>
      <c r="K182" s="81" t="s">
        <v>2203</v>
      </c>
      <c r="L182" s="81" t="s">
        <v>1572</v>
      </c>
      <c r="M182" s="81" t="s">
        <v>8485</v>
      </c>
      <c r="N182" s="81" t="s">
        <v>119</v>
      </c>
      <c r="O182" s="81" t="s">
        <v>253</v>
      </c>
      <c r="P182" s="9"/>
      <c r="Q182" s="8"/>
      <c r="R182" s="8"/>
      <c r="S182" s="8"/>
      <c r="T182" s="8"/>
      <c r="U182" s="8"/>
      <c r="V182" s="81" t="s">
        <v>8247</v>
      </c>
      <c r="W182" s="81" t="s">
        <v>1350</v>
      </c>
      <c r="X182" s="8" t="s">
        <v>2205</v>
      </c>
      <c r="Y182" s="81" t="s">
        <v>33</v>
      </c>
      <c r="Z182" s="8"/>
      <c r="AA182" s="81" t="s">
        <v>2206</v>
      </c>
      <c r="AB182" s="8"/>
      <c r="AC182" s="8"/>
      <c r="AD182" s="81" t="s">
        <v>1353</v>
      </c>
      <c r="AE182" s="81" t="s">
        <v>8303</v>
      </c>
      <c r="AF182" s="81" t="s">
        <v>242</v>
      </c>
      <c r="AG182" s="81" t="s">
        <v>1353</v>
      </c>
      <c r="AH182" s="8"/>
      <c r="AI182" s="8"/>
      <c r="AJ182" s="8"/>
      <c r="AK182" s="8"/>
      <c r="AL182" s="8"/>
      <c r="AM182" s="81" t="s">
        <v>243</v>
      </c>
      <c r="AN182" s="8"/>
      <c r="AO182" s="8"/>
      <c r="AP182" s="8"/>
      <c r="AQ182" s="8"/>
      <c r="AR182" s="9">
        <v>42233</v>
      </c>
      <c r="AS182" s="8" t="s">
        <v>8486</v>
      </c>
      <c r="AT182" s="8" t="s">
        <v>348</v>
      </c>
      <c r="AU182" s="9"/>
      <c r="AV182" s="81" t="s">
        <v>322</v>
      </c>
      <c r="AW182" s="81" t="s">
        <v>242</v>
      </c>
      <c r="AX182" s="8" t="s">
        <v>2207</v>
      </c>
      <c r="AY182" s="8"/>
      <c r="AZ182" s="8" t="s">
        <v>8230</v>
      </c>
      <c r="BA182" s="81" t="s">
        <v>361</v>
      </c>
      <c r="BB182" s="8"/>
      <c r="BC182" s="8"/>
      <c r="BD182" s="8"/>
      <c r="BE182" s="81" t="s">
        <v>261</v>
      </c>
      <c r="BF182" s="8" t="s">
        <v>2208</v>
      </c>
      <c r="BG182" s="9">
        <v>51358</v>
      </c>
      <c r="BH182" s="81" t="s">
        <v>87</v>
      </c>
      <c r="BI182" s="81" t="s">
        <v>2210</v>
      </c>
      <c r="BJ182" s="9">
        <v>41153</v>
      </c>
      <c r="BK182" s="9">
        <v>42005</v>
      </c>
      <c r="BL182" s="81" t="s">
        <v>2212</v>
      </c>
      <c r="BM182" s="81" t="s">
        <v>87</v>
      </c>
      <c r="BN182" s="8"/>
      <c r="BO182" s="8"/>
      <c r="BP182" s="8"/>
      <c r="BQ182" s="9"/>
      <c r="BR182" s="9"/>
      <c r="BS182" s="8"/>
      <c r="BT182" s="81" t="s">
        <v>2213</v>
      </c>
      <c r="BU182" s="81" t="s">
        <v>335</v>
      </c>
      <c r="BV182" s="8" t="s">
        <v>2214</v>
      </c>
      <c r="BW182" s="81" t="s">
        <v>242</v>
      </c>
      <c r="BX182" s="81" t="s">
        <v>1556</v>
      </c>
      <c r="BY182" s="9">
        <v>42233</v>
      </c>
      <c r="BZ182" s="9"/>
      <c r="CA182" s="8" t="s">
        <v>63</v>
      </c>
    </row>
    <row r="183" spans="1:79" ht="157.19999999999999" x14ac:dyDescent="0.25">
      <c r="A183" s="81" t="s">
        <v>2215</v>
      </c>
      <c r="B183" s="8"/>
      <c r="C183" s="81" t="s">
        <v>26</v>
      </c>
      <c r="D183" s="8" t="s">
        <v>7955</v>
      </c>
      <c r="E183" s="8"/>
      <c r="F183" s="9">
        <v>32665</v>
      </c>
      <c r="G183" s="8" t="s">
        <v>1348</v>
      </c>
      <c r="H183" s="81" t="s">
        <v>250</v>
      </c>
      <c r="I183" s="81" t="s">
        <v>27</v>
      </c>
      <c r="J183" s="81" t="s">
        <v>270</v>
      </c>
      <c r="K183" s="81" t="s">
        <v>1206</v>
      </c>
      <c r="L183" s="81" t="s">
        <v>1207</v>
      </c>
      <c r="M183" s="81" t="s">
        <v>8487</v>
      </c>
      <c r="N183" s="81" t="s">
        <v>119</v>
      </c>
      <c r="O183" s="81" t="s">
        <v>29</v>
      </c>
      <c r="P183" s="9"/>
      <c r="Q183" s="8"/>
      <c r="R183" s="8"/>
      <c r="S183" s="8"/>
      <c r="T183" s="8"/>
      <c r="U183" s="8"/>
      <c r="V183" s="8"/>
      <c r="W183" s="8"/>
      <c r="X183" s="8" t="s">
        <v>2216</v>
      </c>
      <c r="Y183" s="81" t="s">
        <v>33</v>
      </c>
      <c r="Z183" s="8"/>
      <c r="AA183" s="81" t="s">
        <v>506</v>
      </c>
      <c r="AB183" s="8"/>
      <c r="AC183" s="8"/>
      <c r="AD183" s="81" t="s">
        <v>241</v>
      </c>
      <c r="AE183" s="81" t="s">
        <v>8114</v>
      </c>
      <c r="AF183" s="81" t="s">
        <v>242</v>
      </c>
      <c r="AG183" s="81" t="s">
        <v>241</v>
      </c>
      <c r="AH183" s="8"/>
      <c r="AI183" s="8"/>
      <c r="AJ183" s="8"/>
      <c r="AK183" s="8"/>
      <c r="AL183" s="8"/>
      <c r="AM183" s="81" t="s">
        <v>243</v>
      </c>
      <c r="AN183" s="8"/>
      <c r="AO183" s="8"/>
      <c r="AP183" s="8"/>
      <c r="AQ183" s="8"/>
      <c r="AR183" s="9">
        <v>42221</v>
      </c>
      <c r="AS183" s="8" t="s">
        <v>8488</v>
      </c>
      <c r="AT183" s="8" t="s">
        <v>348</v>
      </c>
      <c r="AU183" s="9"/>
      <c r="AV183" s="81" t="s">
        <v>322</v>
      </c>
      <c r="AW183" s="81" t="s">
        <v>242</v>
      </c>
      <c r="AX183" s="8" t="s">
        <v>2218</v>
      </c>
      <c r="AY183" s="8"/>
      <c r="AZ183" s="8" t="s">
        <v>8305</v>
      </c>
      <c r="BA183" s="81" t="s">
        <v>399</v>
      </c>
      <c r="BB183" s="8"/>
      <c r="BC183" s="8"/>
      <c r="BD183" s="8"/>
      <c r="BE183" s="81" t="s">
        <v>261</v>
      </c>
      <c r="BF183" s="8" t="s">
        <v>2219</v>
      </c>
      <c r="BG183" s="9">
        <v>52076</v>
      </c>
      <c r="BH183" s="81" t="s">
        <v>81</v>
      </c>
      <c r="BI183" s="81" t="s">
        <v>2221</v>
      </c>
      <c r="BJ183" s="9">
        <v>40057</v>
      </c>
      <c r="BK183" s="9">
        <v>41426</v>
      </c>
      <c r="BL183" s="81" t="s">
        <v>1062</v>
      </c>
      <c r="BM183" s="81" t="s">
        <v>82</v>
      </c>
      <c r="BN183" s="8"/>
      <c r="BO183" s="8"/>
      <c r="BP183" s="8"/>
      <c r="BQ183" s="9"/>
      <c r="BR183" s="9"/>
      <c r="BS183" s="8"/>
      <c r="BT183" s="8"/>
      <c r="BU183" s="8"/>
      <c r="BV183" s="8"/>
      <c r="BW183" s="81" t="s">
        <v>242</v>
      </c>
      <c r="BX183" s="81" t="s">
        <v>1556</v>
      </c>
      <c r="BY183" s="9">
        <v>42221</v>
      </c>
      <c r="BZ183" s="9"/>
      <c r="CA183" s="8" t="s">
        <v>63</v>
      </c>
    </row>
    <row r="184" spans="1:79" ht="236.4" x14ac:dyDescent="0.25">
      <c r="A184" s="81" t="s">
        <v>2223</v>
      </c>
      <c r="B184" s="8"/>
      <c r="C184" s="81" t="s">
        <v>26</v>
      </c>
      <c r="D184" s="8" t="s">
        <v>7956</v>
      </c>
      <c r="E184" s="8"/>
      <c r="F184" s="9">
        <v>35337</v>
      </c>
      <c r="G184" s="8" t="s">
        <v>529</v>
      </c>
      <c r="H184" s="81" t="s">
        <v>250</v>
      </c>
      <c r="I184" s="81" t="s">
        <v>27</v>
      </c>
      <c r="J184" s="81" t="s">
        <v>252</v>
      </c>
      <c r="K184" s="81" t="s">
        <v>294</v>
      </c>
      <c r="L184" s="81" t="s">
        <v>102</v>
      </c>
      <c r="M184" s="81" t="s">
        <v>8489</v>
      </c>
      <c r="N184" s="81" t="s">
        <v>272</v>
      </c>
      <c r="O184" s="81" t="s">
        <v>29</v>
      </c>
      <c r="P184" s="9"/>
      <c r="Q184" s="8"/>
      <c r="R184" s="8"/>
      <c r="S184" s="8"/>
      <c r="T184" s="8"/>
      <c r="U184" s="8"/>
      <c r="V184" s="8"/>
      <c r="W184" s="8"/>
      <c r="X184" s="8" t="s">
        <v>2224</v>
      </c>
      <c r="Y184" s="81" t="s">
        <v>33</v>
      </c>
      <c r="Z184" s="8"/>
      <c r="AA184" s="81" t="s">
        <v>2225</v>
      </c>
      <c r="AB184" s="8"/>
      <c r="AC184" s="8"/>
      <c r="AD184" s="81" t="s">
        <v>2184</v>
      </c>
      <c r="AE184" s="81" t="s">
        <v>8483</v>
      </c>
      <c r="AF184" s="81" t="s">
        <v>242</v>
      </c>
      <c r="AG184" s="81" t="s">
        <v>345</v>
      </c>
      <c r="AH184" s="81" t="s">
        <v>346</v>
      </c>
      <c r="AI184" s="81" t="s">
        <v>2184</v>
      </c>
      <c r="AJ184" s="8"/>
      <c r="AK184" s="8"/>
      <c r="AL184" s="8"/>
      <c r="AM184" s="81" t="s">
        <v>243</v>
      </c>
      <c r="AN184" s="8"/>
      <c r="AO184" s="8"/>
      <c r="AP184" s="8"/>
      <c r="AQ184" s="8"/>
      <c r="AR184" s="9">
        <v>42219</v>
      </c>
      <c r="AS184" s="8" t="s">
        <v>8488</v>
      </c>
      <c r="AT184" s="8" t="s">
        <v>348</v>
      </c>
      <c r="AU184" s="9"/>
      <c r="AV184" s="81" t="s">
        <v>322</v>
      </c>
      <c r="AW184" s="81" t="s">
        <v>242</v>
      </c>
      <c r="AX184" s="8" t="s">
        <v>2226</v>
      </c>
      <c r="AY184" s="8"/>
      <c r="AZ184" s="8" t="s">
        <v>8305</v>
      </c>
      <c r="BA184" s="81" t="s">
        <v>361</v>
      </c>
      <c r="BB184" s="8"/>
      <c r="BC184" s="8"/>
      <c r="BD184" s="8"/>
      <c r="BE184" s="81" t="s">
        <v>261</v>
      </c>
      <c r="BF184" s="8" t="s">
        <v>2227</v>
      </c>
      <c r="BG184" s="9">
        <v>46462</v>
      </c>
      <c r="BH184" s="81" t="s">
        <v>305</v>
      </c>
      <c r="BI184" s="81" t="s">
        <v>2229</v>
      </c>
      <c r="BJ184" s="9">
        <v>41153</v>
      </c>
      <c r="BK184" s="9">
        <v>42156</v>
      </c>
      <c r="BL184" s="81" t="s">
        <v>1979</v>
      </c>
      <c r="BM184" s="8"/>
      <c r="BN184" s="8"/>
      <c r="BO184" s="8"/>
      <c r="BP184" s="8"/>
      <c r="BQ184" s="9"/>
      <c r="BR184" s="9"/>
      <c r="BS184" s="8"/>
      <c r="BT184" s="8"/>
      <c r="BU184" s="8"/>
      <c r="BV184" s="8"/>
      <c r="BW184" s="81" t="s">
        <v>242</v>
      </c>
      <c r="BX184" s="81" t="s">
        <v>337</v>
      </c>
      <c r="BY184" s="9">
        <v>45870</v>
      </c>
      <c r="BZ184" s="9">
        <v>47603</v>
      </c>
      <c r="CA184" s="8" t="s">
        <v>245</v>
      </c>
    </row>
    <row r="185" spans="1:79" ht="205.2" x14ac:dyDescent="0.25">
      <c r="A185" s="81" t="s">
        <v>2231</v>
      </c>
      <c r="B185" s="8"/>
      <c r="C185" s="81" t="s">
        <v>26</v>
      </c>
      <c r="D185" s="8" t="s">
        <v>7957</v>
      </c>
      <c r="E185" s="8"/>
      <c r="F185" s="9">
        <v>30223</v>
      </c>
      <c r="G185" s="8" t="s">
        <v>1245</v>
      </c>
      <c r="H185" s="81" t="s">
        <v>250</v>
      </c>
      <c r="I185" s="81" t="s">
        <v>27</v>
      </c>
      <c r="J185" s="81" t="s">
        <v>252</v>
      </c>
      <c r="K185" s="81" t="s">
        <v>668</v>
      </c>
      <c r="L185" s="81" t="s">
        <v>102</v>
      </c>
      <c r="M185" s="81" t="s">
        <v>8490</v>
      </c>
      <c r="N185" s="81" t="s">
        <v>28</v>
      </c>
      <c r="O185" s="81" t="s">
        <v>29</v>
      </c>
      <c r="P185" s="9"/>
      <c r="Q185" s="8"/>
      <c r="R185" s="8"/>
      <c r="S185" s="8"/>
      <c r="T185" s="8"/>
      <c r="U185" s="8"/>
      <c r="V185" s="8"/>
      <c r="W185" s="8"/>
      <c r="X185" s="8" t="s">
        <v>2232</v>
      </c>
      <c r="Y185" s="81" t="s">
        <v>33</v>
      </c>
      <c r="Z185" s="8"/>
      <c r="AA185" s="81" t="s">
        <v>2233</v>
      </c>
      <c r="AB185" s="8"/>
      <c r="AC185" s="8"/>
      <c r="AD185" s="81" t="s">
        <v>344</v>
      </c>
      <c r="AE185" s="81" t="s">
        <v>8129</v>
      </c>
      <c r="AF185" s="81" t="s">
        <v>242</v>
      </c>
      <c r="AG185" s="81" t="s">
        <v>345</v>
      </c>
      <c r="AH185" s="81" t="s">
        <v>346</v>
      </c>
      <c r="AI185" s="81" t="s">
        <v>344</v>
      </c>
      <c r="AJ185" s="8"/>
      <c r="AK185" s="8"/>
      <c r="AL185" s="8"/>
      <c r="AM185" s="81" t="s">
        <v>243</v>
      </c>
      <c r="AN185" s="8"/>
      <c r="AO185" s="8"/>
      <c r="AP185" s="8"/>
      <c r="AQ185" s="8"/>
      <c r="AR185" s="9">
        <v>42202</v>
      </c>
      <c r="AS185" s="8" t="s">
        <v>8488</v>
      </c>
      <c r="AT185" s="8" t="s">
        <v>348</v>
      </c>
      <c r="AU185" s="9"/>
      <c r="AV185" s="81" t="s">
        <v>322</v>
      </c>
      <c r="AW185" s="81" t="s">
        <v>242</v>
      </c>
      <c r="AX185" s="8" t="s">
        <v>2234</v>
      </c>
      <c r="AY185" s="8"/>
      <c r="AZ185" s="8" t="s">
        <v>8491</v>
      </c>
      <c r="BA185" s="81" t="s">
        <v>676</v>
      </c>
      <c r="BB185" s="8"/>
      <c r="BC185" s="8"/>
      <c r="BD185" s="8"/>
      <c r="BE185" s="81" t="s">
        <v>261</v>
      </c>
      <c r="BF185" s="8" t="s">
        <v>2235</v>
      </c>
      <c r="BG185" s="9">
        <v>49897</v>
      </c>
      <c r="BH185" s="81" t="s">
        <v>305</v>
      </c>
      <c r="BI185" s="81" t="s">
        <v>559</v>
      </c>
      <c r="BJ185" s="9">
        <v>40603</v>
      </c>
      <c r="BK185" s="9">
        <v>41640</v>
      </c>
      <c r="BL185" s="81" t="s">
        <v>1654</v>
      </c>
      <c r="BM185" s="8"/>
      <c r="BN185" s="8"/>
      <c r="BO185" s="8"/>
      <c r="BP185" s="8"/>
      <c r="BQ185" s="9"/>
      <c r="BR185" s="9"/>
      <c r="BS185" s="8"/>
      <c r="BT185" s="8"/>
      <c r="BU185" s="8"/>
      <c r="BV185" s="8"/>
      <c r="BW185" s="81" t="s">
        <v>242</v>
      </c>
      <c r="BX185" s="81" t="s">
        <v>1556</v>
      </c>
      <c r="BY185" s="9">
        <v>45870</v>
      </c>
      <c r="BZ185" s="9"/>
      <c r="CA185" s="8" t="s">
        <v>245</v>
      </c>
    </row>
    <row r="186" spans="1:79" ht="141.6" x14ac:dyDescent="0.25">
      <c r="A186" s="81" t="s">
        <v>2239</v>
      </c>
      <c r="B186" s="8"/>
      <c r="C186" s="81" t="s">
        <v>26</v>
      </c>
      <c r="D186" s="8" t="s">
        <v>7958</v>
      </c>
      <c r="E186" s="8"/>
      <c r="F186" s="9">
        <v>33944</v>
      </c>
      <c r="G186" s="8" t="s">
        <v>1689</v>
      </c>
      <c r="H186" s="81" t="s">
        <v>250</v>
      </c>
      <c r="I186" s="81" t="s">
        <v>27</v>
      </c>
      <c r="J186" s="81" t="s">
        <v>270</v>
      </c>
      <c r="K186" s="81" t="s">
        <v>2240</v>
      </c>
      <c r="L186" s="81" t="s">
        <v>102</v>
      </c>
      <c r="M186" s="81" t="s">
        <v>8492</v>
      </c>
      <c r="N186" s="81" t="s">
        <v>119</v>
      </c>
      <c r="O186" s="81" t="s">
        <v>253</v>
      </c>
      <c r="P186" s="9"/>
      <c r="Q186" s="8"/>
      <c r="R186" s="8"/>
      <c r="S186" s="8"/>
      <c r="T186" s="81" t="s">
        <v>8247</v>
      </c>
      <c r="U186" s="81" t="s">
        <v>2241</v>
      </c>
      <c r="V186" s="81" t="s">
        <v>8141</v>
      </c>
      <c r="W186" s="81" t="s">
        <v>2242</v>
      </c>
      <c r="X186" s="8" t="s">
        <v>2243</v>
      </c>
      <c r="Y186" s="81" t="s">
        <v>33</v>
      </c>
      <c r="Z186" s="8"/>
      <c r="AA186" s="81" t="s">
        <v>2244</v>
      </c>
      <c r="AB186" s="8"/>
      <c r="AC186" s="8"/>
      <c r="AD186" s="81" t="s">
        <v>553</v>
      </c>
      <c r="AE186" s="81" t="s">
        <v>8194</v>
      </c>
      <c r="AF186" s="81" t="s">
        <v>492</v>
      </c>
      <c r="AG186" s="81" t="s">
        <v>553</v>
      </c>
      <c r="AH186" s="8"/>
      <c r="AI186" s="8"/>
      <c r="AJ186" s="8"/>
      <c r="AK186" s="8"/>
      <c r="AL186" s="8"/>
      <c r="AM186" s="81" t="s">
        <v>243</v>
      </c>
      <c r="AN186" s="8"/>
      <c r="AO186" s="8"/>
      <c r="AP186" s="8"/>
      <c r="AQ186" s="8"/>
      <c r="AR186" s="9">
        <v>42191</v>
      </c>
      <c r="AS186" s="8" t="s">
        <v>8493</v>
      </c>
      <c r="AT186" s="8" t="s">
        <v>348</v>
      </c>
      <c r="AU186" s="9"/>
      <c r="AV186" s="81" t="s">
        <v>322</v>
      </c>
      <c r="AW186" s="81" t="s">
        <v>492</v>
      </c>
      <c r="AX186" s="8" t="s">
        <v>2245</v>
      </c>
      <c r="AY186" s="8"/>
      <c r="AZ186" s="8" t="s">
        <v>8494</v>
      </c>
      <c r="BA186" s="81" t="s">
        <v>676</v>
      </c>
      <c r="BB186" s="8"/>
      <c r="BC186" s="8"/>
      <c r="BD186" s="8"/>
      <c r="BE186" s="81" t="s">
        <v>261</v>
      </c>
      <c r="BF186" s="8" t="s">
        <v>2246</v>
      </c>
      <c r="BG186" s="9">
        <v>53082</v>
      </c>
      <c r="BH186" s="81" t="s">
        <v>81</v>
      </c>
      <c r="BI186" s="81" t="s">
        <v>2248</v>
      </c>
      <c r="BJ186" s="9">
        <v>41284</v>
      </c>
      <c r="BK186" s="9">
        <v>42368</v>
      </c>
      <c r="BL186" s="81" t="s">
        <v>2067</v>
      </c>
      <c r="BM186" s="8"/>
      <c r="BN186" s="8"/>
      <c r="BO186" s="8"/>
      <c r="BP186" s="8"/>
      <c r="BQ186" s="9"/>
      <c r="BR186" s="9"/>
      <c r="BS186" s="8"/>
      <c r="BT186" s="81" t="s">
        <v>2251</v>
      </c>
      <c r="BU186" s="81" t="s">
        <v>266</v>
      </c>
      <c r="BV186" s="8" t="s">
        <v>2252</v>
      </c>
      <c r="BW186" s="81" t="s">
        <v>492</v>
      </c>
      <c r="BX186" s="81" t="s">
        <v>337</v>
      </c>
      <c r="BY186" s="9">
        <v>43836</v>
      </c>
      <c r="BZ186" s="9">
        <v>46873</v>
      </c>
      <c r="CA186" s="8" t="s">
        <v>257</v>
      </c>
    </row>
    <row r="187" spans="1:79" ht="141.6" x14ac:dyDescent="0.25">
      <c r="A187" s="81" t="s">
        <v>2253</v>
      </c>
      <c r="B187" s="8"/>
      <c r="C187" s="81" t="s">
        <v>352</v>
      </c>
      <c r="D187" s="8" t="s">
        <v>7959</v>
      </c>
      <c r="E187" s="8"/>
      <c r="F187" s="9">
        <v>34332</v>
      </c>
      <c r="G187" s="8" t="s">
        <v>667</v>
      </c>
      <c r="H187" s="81" t="s">
        <v>250</v>
      </c>
      <c r="I187" s="81" t="s">
        <v>27</v>
      </c>
      <c r="J187" s="81" t="s">
        <v>270</v>
      </c>
      <c r="K187" s="81" t="s">
        <v>394</v>
      </c>
      <c r="L187" s="81" t="s">
        <v>102</v>
      </c>
      <c r="M187" s="81" t="s">
        <v>8495</v>
      </c>
      <c r="N187" s="81" t="s">
        <v>119</v>
      </c>
      <c r="O187" s="81" t="s">
        <v>253</v>
      </c>
      <c r="P187" s="9"/>
      <c r="Q187" s="8"/>
      <c r="R187" s="8"/>
      <c r="S187" s="8"/>
      <c r="T187" s="8"/>
      <c r="U187" s="8"/>
      <c r="V187" s="8"/>
      <c r="W187" s="8"/>
      <c r="X187" s="8" t="s">
        <v>2255</v>
      </c>
      <c r="Y187" s="81" t="s">
        <v>33</v>
      </c>
      <c r="Z187" s="8"/>
      <c r="AA187" s="81" t="s">
        <v>593</v>
      </c>
      <c r="AB187" s="8"/>
      <c r="AC187" s="8"/>
      <c r="AD187" s="81" t="s">
        <v>553</v>
      </c>
      <c r="AE187" s="81" t="s">
        <v>8194</v>
      </c>
      <c r="AF187" s="81" t="s">
        <v>492</v>
      </c>
      <c r="AG187" s="81" t="s">
        <v>553</v>
      </c>
      <c r="AH187" s="8"/>
      <c r="AI187" s="8"/>
      <c r="AJ187" s="8"/>
      <c r="AK187" s="8"/>
      <c r="AL187" s="8"/>
      <c r="AM187" s="81" t="s">
        <v>243</v>
      </c>
      <c r="AN187" s="8"/>
      <c r="AO187" s="8"/>
      <c r="AP187" s="8"/>
      <c r="AQ187" s="8"/>
      <c r="AR187" s="9">
        <v>42186</v>
      </c>
      <c r="AS187" s="8" t="s">
        <v>8493</v>
      </c>
      <c r="AT187" s="8" t="s">
        <v>348</v>
      </c>
      <c r="AU187" s="9"/>
      <c r="AV187" s="81" t="s">
        <v>322</v>
      </c>
      <c r="AW187" s="81" t="s">
        <v>492</v>
      </c>
      <c r="AX187" s="8" t="s">
        <v>2256</v>
      </c>
      <c r="AY187" s="8"/>
      <c r="AZ187" s="8" t="s">
        <v>8494</v>
      </c>
      <c r="BA187" s="81" t="s">
        <v>556</v>
      </c>
      <c r="BB187" s="8"/>
      <c r="BC187" s="8"/>
      <c r="BD187" s="8"/>
      <c r="BE187" s="81" t="s">
        <v>261</v>
      </c>
      <c r="BF187" s="8" t="s">
        <v>2257</v>
      </c>
      <c r="BG187" s="9">
        <v>51175</v>
      </c>
      <c r="BH187" s="81" t="s">
        <v>305</v>
      </c>
      <c r="BI187" s="81" t="s">
        <v>1410</v>
      </c>
      <c r="BJ187" s="9">
        <v>41153</v>
      </c>
      <c r="BK187" s="9">
        <v>42183</v>
      </c>
      <c r="BL187" s="81" t="s">
        <v>613</v>
      </c>
      <c r="BM187" s="8"/>
      <c r="BN187" s="8"/>
      <c r="BO187" s="8"/>
      <c r="BP187" s="8"/>
      <c r="BQ187" s="9"/>
      <c r="BR187" s="9"/>
      <c r="BS187" s="8"/>
      <c r="BT187" s="8"/>
      <c r="BU187" s="8"/>
      <c r="BV187" s="8"/>
      <c r="BW187" s="81" t="s">
        <v>492</v>
      </c>
      <c r="BX187" s="81" t="s">
        <v>337</v>
      </c>
      <c r="BY187" s="9">
        <v>43836</v>
      </c>
      <c r="BZ187" s="9">
        <v>46873</v>
      </c>
      <c r="CA187" s="8" t="s">
        <v>257</v>
      </c>
    </row>
    <row r="188" spans="1:79" ht="141.6" x14ac:dyDescent="0.25">
      <c r="A188" s="81" t="s">
        <v>2260</v>
      </c>
      <c r="B188" s="8"/>
      <c r="C188" s="81" t="s">
        <v>26</v>
      </c>
      <c r="D188" s="8" t="s">
        <v>7960</v>
      </c>
      <c r="E188" s="8"/>
      <c r="F188" s="9">
        <v>34849</v>
      </c>
      <c r="G188" s="8" t="s">
        <v>741</v>
      </c>
      <c r="H188" s="81" t="s">
        <v>250</v>
      </c>
      <c r="I188" s="81" t="s">
        <v>27</v>
      </c>
      <c r="J188" s="81" t="s">
        <v>270</v>
      </c>
      <c r="K188" s="81" t="s">
        <v>2261</v>
      </c>
      <c r="L188" s="81" t="s">
        <v>102</v>
      </c>
      <c r="M188" s="81" t="s">
        <v>8496</v>
      </c>
      <c r="N188" s="81" t="s">
        <v>119</v>
      </c>
      <c r="O188" s="81" t="s">
        <v>253</v>
      </c>
      <c r="P188" s="9"/>
      <c r="Q188" s="8"/>
      <c r="R188" s="8"/>
      <c r="S188" s="8"/>
      <c r="T188" s="8"/>
      <c r="U188" s="8"/>
      <c r="V188" s="8"/>
      <c r="W188" s="8"/>
      <c r="X188" s="8" t="s">
        <v>2263</v>
      </c>
      <c r="Y188" s="81" t="s">
        <v>33</v>
      </c>
      <c r="Z188" s="8"/>
      <c r="AA188" s="81" t="s">
        <v>593</v>
      </c>
      <c r="AB188" s="8"/>
      <c r="AC188" s="8"/>
      <c r="AD188" s="81" t="s">
        <v>553</v>
      </c>
      <c r="AE188" s="81" t="s">
        <v>8194</v>
      </c>
      <c r="AF188" s="81" t="s">
        <v>492</v>
      </c>
      <c r="AG188" s="81" t="s">
        <v>553</v>
      </c>
      <c r="AH188" s="8"/>
      <c r="AI188" s="8"/>
      <c r="AJ188" s="8"/>
      <c r="AK188" s="8"/>
      <c r="AL188" s="8"/>
      <c r="AM188" s="81" t="s">
        <v>243</v>
      </c>
      <c r="AN188" s="8"/>
      <c r="AO188" s="8"/>
      <c r="AP188" s="8"/>
      <c r="AQ188" s="8"/>
      <c r="AR188" s="9">
        <v>42186</v>
      </c>
      <c r="AS188" s="8" t="s">
        <v>8493</v>
      </c>
      <c r="AT188" s="8" t="s">
        <v>348</v>
      </c>
      <c r="AU188" s="9"/>
      <c r="AV188" s="81" t="s">
        <v>322</v>
      </c>
      <c r="AW188" s="81" t="s">
        <v>492</v>
      </c>
      <c r="AX188" s="8" t="s">
        <v>2264</v>
      </c>
      <c r="AY188" s="8"/>
      <c r="AZ188" s="8" t="s">
        <v>8494</v>
      </c>
      <c r="BA188" s="81" t="s">
        <v>556</v>
      </c>
      <c r="BB188" s="8"/>
      <c r="BC188" s="8"/>
      <c r="BD188" s="8"/>
      <c r="BE188" s="81" t="s">
        <v>261</v>
      </c>
      <c r="BF188" s="8" t="s">
        <v>2265</v>
      </c>
      <c r="BG188" s="9">
        <v>51873</v>
      </c>
      <c r="BH188" s="81" t="s">
        <v>305</v>
      </c>
      <c r="BI188" s="81" t="s">
        <v>1103</v>
      </c>
      <c r="BJ188" s="9">
        <v>40787</v>
      </c>
      <c r="BK188" s="9">
        <v>42186</v>
      </c>
      <c r="BL188" s="81" t="s">
        <v>1906</v>
      </c>
      <c r="BM188" s="8"/>
      <c r="BN188" s="8"/>
      <c r="BO188" s="8"/>
      <c r="BP188" s="8"/>
      <c r="BQ188" s="9"/>
      <c r="BR188" s="9"/>
      <c r="BS188" s="8"/>
      <c r="BT188" s="8"/>
      <c r="BU188" s="8"/>
      <c r="BV188" s="8"/>
      <c r="BW188" s="81" t="s">
        <v>492</v>
      </c>
      <c r="BX188" s="81" t="s">
        <v>337</v>
      </c>
      <c r="BY188" s="9">
        <v>43836</v>
      </c>
      <c r="BZ188" s="9">
        <v>46873</v>
      </c>
      <c r="CA188" s="8" t="s">
        <v>257</v>
      </c>
    </row>
    <row r="189" spans="1:79" ht="141.6" x14ac:dyDescent="0.25">
      <c r="A189" s="81" t="s">
        <v>2267</v>
      </c>
      <c r="B189" s="8"/>
      <c r="C189" s="81" t="s">
        <v>26</v>
      </c>
      <c r="D189" s="8" t="s">
        <v>7961</v>
      </c>
      <c r="E189" s="8"/>
      <c r="F189" s="9">
        <v>24903</v>
      </c>
      <c r="G189" s="8" t="s">
        <v>2268</v>
      </c>
      <c r="H189" s="81" t="s">
        <v>250</v>
      </c>
      <c r="I189" s="81" t="s">
        <v>27</v>
      </c>
      <c r="J189" s="81" t="s">
        <v>252</v>
      </c>
      <c r="K189" s="81" t="s">
        <v>2269</v>
      </c>
      <c r="L189" s="81" t="s">
        <v>102</v>
      </c>
      <c r="M189" s="81" t="s">
        <v>8497</v>
      </c>
      <c r="N189" s="81" t="s">
        <v>119</v>
      </c>
      <c r="O189" s="81" t="s">
        <v>29</v>
      </c>
      <c r="P189" s="9"/>
      <c r="Q189" s="8"/>
      <c r="R189" s="8"/>
      <c r="S189" s="8"/>
      <c r="T189" s="8"/>
      <c r="U189" s="8"/>
      <c r="V189" s="8"/>
      <c r="W189" s="8"/>
      <c r="X189" s="8" t="s">
        <v>2270</v>
      </c>
      <c r="Y189" s="81" t="s">
        <v>33</v>
      </c>
      <c r="Z189" s="8"/>
      <c r="AA189" s="81" t="s">
        <v>2271</v>
      </c>
      <c r="AB189" s="8"/>
      <c r="AC189" s="8"/>
      <c r="AD189" s="81" t="s">
        <v>1967</v>
      </c>
      <c r="AE189" s="81" t="s">
        <v>8436</v>
      </c>
      <c r="AF189" s="81" t="s">
        <v>242</v>
      </c>
      <c r="AG189" s="81" t="s">
        <v>1967</v>
      </c>
      <c r="AH189" s="8"/>
      <c r="AI189" s="8"/>
      <c r="AJ189" s="8"/>
      <c r="AK189" s="8"/>
      <c r="AL189" s="8"/>
      <c r="AM189" s="81" t="s">
        <v>243</v>
      </c>
      <c r="AN189" s="8"/>
      <c r="AO189" s="8"/>
      <c r="AP189" s="8"/>
      <c r="AQ189" s="8"/>
      <c r="AR189" s="9">
        <v>42180</v>
      </c>
      <c r="AS189" s="8" t="s">
        <v>8493</v>
      </c>
      <c r="AT189" s="8" t="s">
        <v>348</v>
      </c>
      <c r="AU189" s="9"/>
      <c r="AV189" s="81" t="s">
        <v>322</v>
      </c>
      <c r="AW189" s="81" t="s">
        <v>242</v>
      </c>
      <c r="AX189" s="8" t="s">
        <v>2272</v>
      </c>
      <c r="AY189" s="8"/>
      <c r="AZ189" s="8" t="s">
        <v>8498</v>
      </c>
      <c r="BA189" s="81" t="s">
        <v>399</v>
      </c>
      <c r="BB189" s="8"/>
      <c r="BC189" s="8"/>
      <c r="BD189" s="8"/>
      <c r="BE189" s="81" t="s">
        <v>261</v>
      </c>
      <c r="BF189" s="8" t="s">
        <v>2273</v>
      </c>
      <c r="BG189" s="9">
        <v>46711</v>
      </c>
      <c r="BH189" s="81" t="s">
        <v>120</v>
      </c>
      <c r="BI189" s="81" t="s">
        <v>2275</v>
      </c>
      <c r="BJ189" s="9">
        <v>30560</v>
      </c>
      <c r="BK189" s="9">
        <v>31594</v>
      </c>
      <c r="BL189" s="8"/>
      <c r="BM189" s="8"/>
      <c r="BN189" s="8"/>
      <c r="BO189" s="8"/>
      <c r="BP189" s="8"/>
      <c r="BQ189" s="9"/>
      <c r="BR189" s="9"/>
      <c r="BS189" s="8"/>
      <c r="BT189" s="8"/>
      <c r="BU189" s="8"/>
      <c r="BV189" s="8"/>
      <c r="BW189" s="81" t="s">
        <v>242</v>
      </c>
      <c r="BX189" s="81" t="s">
        <v>1556</v>
      </c>
      <c r="BY189" s="9">
        <v>42180</v>
      </c>
      <c r="BZ189" s="9"/>
      <c r="CA189" s="8" t="s">
        <v>63</v>
      </c>
    </row>
    <row r="190" spans="1:79" ht="157.19999999999999" x14ac:dyDescent="0.25">
      <c r="A190" s="81" t="s">
        <v>2278</v>
      </c>
      <c r="B190" s="8"/>
      <c r="C190" s="81" t="s">
        <v>26</v>
      </c>
      <c r="D190" s="8" t="s">
        <v>7962</v>
      </c>
      <c r="E190" s="8" t="s">
        <v>2279</v>
      </c>
      <c r="F190" s="9">
        <v>32434</v>
      </c>
      <c r="G190" s="8" t="s">
        <v>1571</v>
      </c>
      <c r="H190" s="81" t="s">
        <v>250</v>
      </c>
      <c r="I190" s="81" t="s">
        <v>27</v>
      </c>
      <c r="J190" s="81" t="s">
        <v>270</v>
      </c>
      <c r="K190" s="81" t="s">
        <v>563</v>
      </c>
      <c r="L190" s="81" t="s">
        <v>102</v>
      </c>
      <c r="M190" s="81" t="s">
        <v>8499</v>
      </c>
      <c r="N190" s="81" t="s">
        <v>119</v>
      </c>
      <c r="O190" s="81" t="s">
        <v>29</v>
      </c>
      <c r="P190" s="9"/>
      <c r="Q190" s="8"/>
      <c r="R190" s="8"/>
      <c r="S190" s="8"/>
      <c r="T190" s="81" t="s">
        <v>8247</v>
      </c>
      <c r="U190" s="81" t="s">
        <v>1654</v>
      </c>
      <c r="V190" s="8"/>
      <c r="W190" s="8"/>
      <c r="X190" s="8" t="s">
        <v>2281</v>
      </c>
      <c r="Y190" s="81" t="s">
        <v>33</v>
      </c>
      <c r="Z190" s="8"/>
      <c r="AA190" s="81" t="s">
        <v>477</v>
      </c>
      <c r="AB190" s="8"/>
      <c r="AC190" s="8"/>
      <c r="AD190" s="81" t="s">
        <v>533</v>
      </c>
      <c r="AE190" s="81" t="s">
        <v>8157</v>
      </c>
      <c r="AF190" s="81" t="s">
        <v>242</v>
      </c>
      <c r="AG190" s="81" t="s">
        <v>533</v>
      </c>
      <c r="AH190" s="8"/>
      <c r="AI190" s="8"/>
      <c r="AJ190" s="8"/>
      <c r="AK190" s="8"/>
      <c r="AL190" s="8"/>
      <c r="AM190" s="81" t="s">
        <v>243</v>
      </c>
      <c r="AN190" s="8"/>
      <c r="AO190" s="8"/>
      <c r="AP190" s="8"/>
      <c r="AQ190" s="8"/>
      <c r="AR190" s="9">
        <v>42178</v>
      </c>
      <c r="AS190" s="8" t="s">
        <v>8493</v>
      </c>
      <c r="AT190" s="8" t="s">
        <v>348</v>
      </c>
      <c r="AU190" s="9"/>
      <c r="AV190" s="81" t="s">
        <v>322</v>
      </c>
      <c r="AW190" s="81" t="s">
        <v>242</v>
      </c>
      <c r="AX190" s="8" t="s">
        <v>2283</v>
      </c>
      <c r="AY190" s="8"/>
      <c r="AZ190" s="8" t="s">
        <v>8500</v>
      </c>
      <c r="BA190" s="81" t="s">
        <v>399</v>
      </c>
      <c r="BB190" s="8"/>
      <c r="BC190" s="8"/>
      <c r="BD190" s="8"/>
      <c r="BE190" s="81" t="s">
        <v>261</v>
      </c>
      <c r="BF190" s="8" t="s">
        <v>2284</v>
      </c>
      <c r="BG190" s="9">
        <v>49574</v>
      </c>
      <c r="BH190" s="81" t="s">
        <v>81</v>
      </c>
      <c r="BI190" s="81" t="s">
        <v>1032</v>
      </c>
      <c r="BJ190" s="9">
        <v>39692</v>
      </c>
      <c r="BK190" s="9">
        <v>41091</v>
      </c>
      <c r="BL190" s="81" t="s">
        <v>1239</v>
      </c>
      <c r="BM190" s="81" t="s">
        <v>82</v>
      </c>
      <c r="BN190" s="8"/>
      <c r="BO190" s="8"/>
      <c r="BP190" s="8"/>
      <c r="BQ190" s="9"/>
      <c r="BR190" s="9"/>
      <c r="BS190" s="8"/>
      <c r="BT190" s="8"/>
      <c r="BU190" s="8"/>
      <c r="BV190" s="8"/>
      <c r="BW190" s="81" t="s">
        <v>242</v>
      </c>
      <c r="BX190" s="81" t="s">
        <v>1556</v>
      </c>
      <c r="BY190" s="9">
        <v>42178</v>
      </c>
      <c r="BZ190" s="9"/>
      <c r="CA190" s="8" t="s">
        <v>63</v>
      </c>
    </row>
    <row r="191" spans="1:79" ht="141.6" x14ac:dyDescent="0.25">
      <c r="A191" s="81" t="s">
        <v>2286</v>
      </c>
      <c r="B191" s="8"/>
      <c r="C191" s="81" t="s">
        <v>26</v>
      </c>
      <c r="D191" s="8" t="s">
        <v>7963</v>
      </c>
      <c r="E191" s="8" t="s">
        <v>2287</v>
      </c>
      <c r="F191" s="9">
        <v>33141</v>
      </c>
      <c r="G191" s="8" t="s">
        <v>292</v>
      </c>
      <c r="H191" s="81" t="s">
        <v>250</v>
      </c>
      <c r="I191" s="81" t="s">
        <v>251</v>
      </c>
      <c r="J191" s="81" t="s">
        <v>293</v>
      </c>
      <c r="K191" s="81" t="s">
        <v>294</v>
      </c>
      <c r="L191" s="81" t="s">
        <v>102</v>
      </c>
      <c r="M191" s="81" t="s">
        <v>8501</v>
      </c>
      <c r="N191" s="81" t="s">
        <v>119</v>
      </c>
      <c r="O191" s="81" t="s">
        <v>29</v>
      </c>
      <c r="P191" s="9"/>
      <c r="Q191" s="8"/>
      <c r="R191" s="8"/>
      <c r="S191" s="8"/>
      <c r="T191" s="8"/>
      <c r="U191" s="8"/>
      <c r="V191" s="8"/>
      <c r="W191" s="8"/>
      <c r="X191" s="8" t="s">
        <v>2288</v>
      </c>
      <c r="Y191" s="81" t="s">
        <v>33</v>
      </c>
      <c r="Z191" s="8"/>
      <c r="AA191" s="81" t="s">
        <v>2289</v>
      </c>
      <c r="AB191" s="8"/>
      <c r="AC191" s="8"/>
      <c r="AD191" s="81" t="s">
        <v>376</v>
      </c>
      <c r="AE191" s="81" t="s">
        <v>8135</v>
      </c>
      <c r="AF191" s="81" t="s">
        <v>242</v>
      </c>
      <c r="AG191" s="81" t="s">
        <v>376</v>
      </c>
      <c r="AH191" s="8"/>
      <c r="AI191" s="8"/>
      <c r="AJ191" s="8"/>
      <c r="AK191" s="8"/>
      <c r="AL191" s="8"/>
      <c r="AM191" s="81" t="s">
        <v>243</v>
      </c>
      <c r="AN191" s="8"/>
      <c r="AO191" s="8"/>
      <c r="AP191" s="8"/>
      <c r="AQ191" s="8"/>
      <c r="AR191" s="9">
        <v>42171</v>
      </c>
      <c r="AS191" s="8" t="s">
        <v>8493</v>
      </c>
      <c r="AT191" s="8" t="s">
        <v>348</v>
      </c>
      <c r="AU191" s="9"/>
      <c r="AV191" s="81" t="s">
        <v>322</v>
      </c>
      <c r="AW191" s="81" t="s">
        <v>242</v>
      </c>
      <c r="AX191" s="8" t="s">
        <v>2291</v>
      </c>
      <c r="AY191" s="8"/>
      <c r="AZ191" s="8" t="s">
        <v>8500</v>
      </c>
      <c r="BA191" s="81" t="s">
        <v>361</v>
      </c>
      <c r="BB191" s="8"/>
      <c r="BC191" s="8"/>
      <c r="BD191" s="8"/>
      <c r="BE191" s="81" t="s">
        <v>261</v>
      </c>
      <c r="BF191" s="8" t="s">
        <v>2292</v>
      </c>
      <c r="BG191" s="9">
        <v>51593</v>
      </c>
      <c r="BH191" s="81" t="s">
        <v>81</v>
      </c>
      <c r="BI191" s="81" t="s">
        <v>1508</v>
      </c>
      <c r="BJ191" s="9">
        <v>39326</v>
      </c>
      <c r="BK191" s="9">
        <v>40360</v>
      </c>
      <c r="BL191" s="81" t="s">
        <v>85</v>
      </c>
      <c r="BM191" s="8"/>
      <c r="BN191" s="8"/>
      <c r="BO191" s="8"/>
      <c r="BP191" s="8"/>
      <c r="BQ191" s="9"/>
      <c r="BR191" s="9"/>
      <c r="BS191" s="8"/>
      <c r="BT191" s="8"/>
      <c r="BU191" s="8"/>
      <c r="BV191" s="8"/>
      <c r="BW191" s="81" t="s">
        <v>242</v>
      </c>
      <c r="BX191" s="81" t="s">
        <v>337</v>
      </c>
      <c r="BY191" s="9">
        <v>45505</v>
      </c>
      <c r="BZ191" s="9">
        <v>47330</v>
      </c>
      <c r="CA191" s="8" t="s">
        <v>61</v>
      </c>
    </row>
    <row r="192" spans="1:79" ht="157.19999999999999" x14ac:dyDescent="0.25">
      <c r="A192" s="81" t="s">
        <v>2294</v>
      </c>
      <c r="B192" s="8"/>
      <c r="C192" s="81" t="s">
        <v>26</v>
      </c>
      <c r="D192" s="8" t="s">
        <v>7964</v>
      </c>
      <c r="E192" s="8" t="s">
        <v>2295</v>
      </c>
      <c r="F192" s="9">
        <v>32642</v>
      </c>
      <c r="G192" s="8" t="s">
        <v>1348</v>
      </c>
      <c r="H192" s="81" t="s">
        <v>250</v>
      </c>
      <c r="I192" s="81" t="s">
        <v>27</v>
      </c>
      <c r="J192" s="81" t="s">
        <v>270</v>
      </c>
      <c r="K192" s="81" t="s">
        <v>353</v>
      </c>
      <c r="L192" s="81" t="s">
        <v>102</v>
      </c>
      <c r="M192" s="81" t="s">
        <v>8502</v>
      </c>
      <c r="N192" s="81" t="s">
        <v>119</v>
      </c>
      <c r="O192" s="81" t="s">
        <v>29</v>
      </c>
      <c r="P192" s="9"/>
      <c r="Q192" s="8"/>
      <c r="R192" s="8"/>
      <c r="S192" s="8"/>
      <c r="T192" s="81" t="s">
        <v>8145</v>
      </c>
      <c r="U192" s="81" t="s">
        <v>8188</v>
      </c>
      <c r="V192" s="8"/>
      <c r="W192" s="8"/>
      <c r="X192" s="8" t="s">
        <v>2296</v>
      </c>
      <c r="Y192" s="81" t="s">
        <v>33</v>
      </c>
      <c r="Z192" s="8"/>
      <c r="AA192" s="81" t="s">
        <v>240</v>
      </c>
      <c r="AB192" s="8"/>
      <c r="AC192" s="8"/>
      <c r="AD192" s="81" t="s">
        <v>241</v>
      </c>
      <c r="AE192" s="81" t="s">
        <v>8114</v>
      </c>
      <c r="AF192" s="81" t="s">
        <v>242</v>
      </c>
      <c r="AG192" s="81" t="s">
        <v>241</v>
      </c>
      <c r="AH192" s="8"/>
      <c r="AI192" s="8"/>
      <c r="AJ192" s="8"/>
      <c r="AK192" s="8"/>
      <c r="AL192" s="8"/>
      <c r="AM192" s="81" t="s">
        <v>243</v>
      </c>
      <c r="AN192" s="8"/>
      <c r="AO192" s="8"/>
      <c r="AP192" s="8"/>
      <c r="AQ192" s="8"/>
      <c r="AR192" s="9">
        <v>42170</v>
      </c>
      <c r="AS192" s="8" t="s">
        <v>8493</v>
      </c>
      <c r="AT192" s="8" t="s">
        <v>348</v>
      </c>
      <c r="AU192" s="9"/>
      <c r="AV192" s="81" t="s">
        <v>322</v>
      </c>
      <c r="AW192" s="81" t="s">
        <v>242</v>
      </c>
      <c r="AX192" s="8" t="s">
        <v>2297</v>
      </c>
      <c r="AY192" s="8"/>
      <c r="AZ192" s="8" t="s">
        <v>8357</v>
      </c>
      <c r="BA192" s="81" t="s">
        <v>399</v>
      </c>
      <c r="BB192" s="8"/>
      <c r="BC192" s="8"/>
      <c r="BD192" s="8"/>
      <c r="BE192" s="81" t="s">
        <v>261</v>
      </c>
      <c r="BF192" s="8" t="s">
        <v>2298</v>
      </c>
      <c r="BG192" s="9">
        <v>49468</v>
      </c>
      <c r="BH192" s="81" t="s">
        <v>81</v>
      </c>
      <c r="BI192" s="81" t="s">
        <v>2300</v>
      </c>
      <c r="BJ192" s="9">
        <v>40057</v>
      </c>
      <c r="BK192" s="9">
        <v>41455</v>
      </c>
      <c r="BL192" s="81" t="s">
        <v>662</v>
      </c>
      <c r="BM192" s="81" t="s">
        <v>82</v>
      </c>
      <c r="BN192" s="8"/>
      <c r="BO192" s="8"/>
      <c r="BP192" s="8"/>
      <c r="BQ192" s="9"/>
      <c r="BR192" s="9"/>
      <c r="BS192" s="8"/>
      <c r="BT192" s="8"/>
      <c r="BU192" s="8"/>
      <c r="BV192" s="8"/>
      <c r="BW192" s="81" t="s">
        <v>242</v>
      </c>
      <c r="BX192" s="81" t="s">
        <v>1556</v>
      </c>
      <c r="BY192" s="9">
        <v>45505</v>
      </c>
      <c r="BZ192" s="9"/>
      <c r="CA192" s="8" t="s">
        <v>61</v>
      </c>
    </row>
    <row r="193" spans="1:79" ht="157.80000000000001" x14ac:dyDescent="0.25">
      <c r="A193" s="81" t="s">
        <v>2302</v>
      </c>
      <c r="B193" s="8"/>
      <c r="C193" s="81" t="s">
        <v>26</v>
      </c>
      <c r="D193" s="8" t="s">
        <v>7965</v>
      </c>
      <c r="E193" s="8"/>
      <c r="F193" s="9">
        <v>30879</v>
      </c>
      <c r="G193" s="8" t="s">
        <v>1746</v>
      </c>
      <c r="H193" s="81" t="s">
        <v>250</v>
      </c>
      <c r="I193" s="81" t="s">
        <v>251</v>
      </c>
      <c r="J193" s="81" t="s">
        <v>252</v>
      </c>
      <c r="K193" s="81" t="s">
        <v>1246</v>
      </c>
      <c r="L193" s="81" t="s">
        <v>102</v>
      </c>
      <c r="M193" s="81" t="s">
        <v>8503</v>
      </c>
      <c r="N193" s="81" t="s">
        <v>119</v>
      </c>
      <c r="O193" s="81" t="s">
        <v>29</v>
      </c>
      <c r="P193" s="9"/>
      <c r="Q193" s="8"/>
      <c r="R193" s="8"/>
      <c r="S193" s="8"/>
      <c r="T193" s="8"/>
      <c r="U193" s="8"/>
      <c r="V193" s="81" t="s">
        <v>8239</v>
      </c>
      <c r="W193" s="81" t="s">
        <v>2303</v>
      </c>
      <c r="X193" s="8" t="s">
        <v>2304</v>
      </c>
      <c r="Y193" s="81" t="s">
        <v>33</v>
      </c>
      <c r="Z193" s="8"/>
      <c r="AA193" s="81" t="s">
        <v>2305</v>
      </c>
      <c r="AB193" s="8"/>
      <c r="AC193" s="8"/>
      <c r="AD193" s="81" t="s">
        <v>709</v>
      </c>
      <c r="AE193" s="81" t="s">
        <v>8192</v>
      </c>
      <c r="AF193" s="81" t="s">
        <v>242</v>
      </c>
      <c r="AG193" s="81" t="s">
        <v>298</v>
      </c>
      <c r="AH193" s="81" t="s">
        <v>709</v>
      </c>
      <c r="AI193" s="8"/>
      <c r="AJ193" s="8"/>
      <c r="AK193" s="8"/>
      <c r="AL193" s="8"/>
      <c r="AM193" s="81" t="s">
        <v>243</v>
      </c>
      <c r="AN193" s="8"/>
      <c r="AO193" s="8"/>
      <c r="AP193" s="8"/>
      <c r="AQ193" s="8"/>
      <c r="AR193" s="9">
        <v>42137</v>
      </c>
      <c r="AS193" s="8" t="s">
        <v>8504</v>
      </c>
      <c r="AT193" s="8" t="s">
        <v>348</v>
      </c>
      <c r="AU193" s="9"/>
      <c r="AV193" s="81" t="s">
        <v>322</v>
      </c>
      <c r="AW193" s="81" t="s">
        <v>242</v>
      </c>
      <c r="AX193" s="8" t="s">
        <v>2307</v>
      </c>
      <c r="AY193" s="8"/>
      <c r="AZ193" s="8" t="s">
        <v>8505</v>
      </c>
      <c r="BA193" s="81" t="s">
        <v>556</v>
      </c>
      <c r="BB193" s="8"/>
      <c r="BC193" s="8"/>
      <c r="BD193" s="8"/>
      <c r="BE193" s="81" t="s">
        <v>261</v>
      </c>
      <c r="BF193" s="8" t="s">
        <v>2308</v>
      </c>
      <c r="BG193" s="9">
        <v>49885</v>
      </c>
      <c r="BH193" s="81" t="s">
        <v>1705</v>
      </c>
      <c r="BI193" s="81" t="s">
        <v>2087</v>
      </c>
      <c r="BJ193" s="9" t="s">
        <v>2088</v>
      </c>
      <c r="BK193" s="9"/>
      <c r="BL193" s="8"/>
      <c r="BM193" s="8"/>
      <c r="BN193" s="8"/>
      <c r="BO193" s="8"/>
      <c r="BP193" s="8"/>
      <c r="BQ193" s="9"/>
      <c r="BR193" s="9"/>
      <c r="BS193" s="8"/>
      <c r="BT193" s="81" t="s">
        <v>2310</v>
      </c>
      <c r="BU193" s="81" t="s">
        <v>118</v>
      </c>
      <c r="BV193" s="8" t="s">
        <v>2311</v>
      </c>
      <c r="BW193" s="81" t="s">
        <v>242</v>
      </c>
      <c r="BX193" s="81" t="s">
        <v>337</v>
      </c>
      <c r="BY193" s="9">
        <v>45505</v>
      </c>
      <c r="BZ193" s="9">
        <v>47330</v>
      </c>
      <c r="CA193" s="8" t="s">
        <v>61</v>
      </c>
    </row>
    <row r="194" spans="1:79" ht="205.2" x14ac:dyDescent="0.25">
      <c r="A194" s="81" t="s">
        <v>2312</v>
      </c>
      <c r="B194" s="8"/>
      <c r="C194" s="81" t="s">
        <v>26</v>
      </c>
      <c r="D194" s="8" t="s">
        <v>7966</v>
      </c>
      <c r="E194" s="8"/>
      <c r="F194" s="9">
        <v>31895</v>
      </c>
      <c r="G194" s="8" t="s">
        <v>434</v>
      </c>
      <c r="H194" s="81" t="s">
        <v>250</v>
      </c>
      <c r="I194" s="81" t="s">
        <v>27</v>
      </c>
      <c r="J194" s="81" t="s">
        <v>270</v>
      </c>
      <c r="K194" s="81" t="s">
        <v>2313</v>
      </c>
      <c r="L194" s="81" t="s">
        <v>743</v>
      </c>
      <c r="M194" s="81" t="s">
        <v>2314</v>
      </c>
      <c r="N194" s="81" t="s">
        <v>28</v>
      </c>
      <c r="O194" s="81" t="s">
        <v>29</v>
      </c>
      <c r="P194" s="9"/>
      <c r="Q194" s="8"/>
      <c r="R194" s="8"/>
      <c r="S194" s="8"/>
      <c r="T194" s="8"/>
      <c r="U194" s="8"/>
      <c r="V194" s="8"/>
      <c r="W194" s="8"/>
      <c r="X194" s="8" t="s">
        <v>2315</v>
      </c>
      <c r="Y194" s="81" t="s">
        <v>33</v>
      </c>
      <c r="Z194" s="8"/>
      <c r="AA194" s="81" t="s">
        <v>2316</v>
      </c>
      <c r="AB194" s="8"/>
      <c r="AC194" s="8"/>
      <c r="AD194" s="81" t="s">
        <v>344</v>
      </c>
      <c r="AE194" s="81" t="s">
        <v>8129</v>
      </c>
      <c r="AF194" s="81" t="s">
        <v>242</v>
      </c>
      <c r="AG194" s="81" t="s">
        <v>345</v>
      </c>
      <c r="AH194" s="81" t="s">
        <v>346</v>
      </c>
      <c r="AI194" s="81" t="s">
        <v>344</v>
      </c>
      <c r="AJ194" s="8"/>
      <c r="AK194" s="8"/>
      <c r="AL194" s="8"/>
      <c r="AM194" s="81" t="s">
        <v>243</v>
      </c>
      <c r="AN194" s="8"/>
      <c r="AO194" s="8"/>
      <c r="AP194" s="8"/>
      <c r="AQ194" s="8"/>
      <c r="AR194" s="9">
        <v>42088</v>
      </c>
      <c r="AS194" s="8" t="s">
        <v>8506</v>
      </c>
      <c r="AT194" s="8" t="s">
        <v>348</v>
      </c>
      <c r="AU194" s="9"/>
      <c r="AV194" s="81" t="s">
        <v>322</v>
      </c>
      <c r="AW194" s="81" t="s">
        <v>242</v>
      </c>
      <c r="AX194" s="8" t="s">
        <v>2317</v>
      </c>
      <c r="AY194" s="8"/>
      <c r="AZ194" s="8" t="s">
        <v>8507</v>
      </c>
      <c r="BA194" s="81" t="s">
        <v>556</v>
      </c>
      <c r="BB194" s="8"/>
      <c r="BC194" s="8"/>
      <c r="BD194" s="8"/>
      <c r="BE194" s="81" t="s">
        <v>261</v>
      </c>
      <c r="BF194" s="8" t="s">
        <v>2318</v>
      </c>
      <c r="BG194" s="9">
        <v>50466</v>
      </c>
      <c r="BH194" s="81" t="s">
        <v>305</v>
      </c>
      <c r="BI194" s="81" t="s">
        <v>2320</v>
      </c>
      <c r="BJ194" s="9">
        <v>39326</v>
      </c>
      <c r="BK194" s="9">
        <v>40344</v>
      </c>
      <c r="BL194" s="81" t="s">
        <v>2067</v>
      </c>
      <c r="BM194" s="8"/>
      <c r="BN194" s="8"/>
      <c r="BO194" s="8"/>
      <c r="BP194" s="8"/>
      <c r="BQ194" s="9"/>
      <c r="BR194" s="9"/>
      <c r="BS194" s="8"/>
      <c r="BT194" s="81" t="s">
        <v>2322</v>
      </c>
      <c r="BU194" s="81" t="s">
        <v>266</v>
      </c>
      <c r="BV194" s="8" t="s">
        <v>2323</v>
      </c>
      <c r="BW194" s="81" t="s">
        <v>242</v>
      </c>
      <c r="BX194" s="81" t="s">
        <v>337</v>
      </c>
      <c r="BY194" s="9">
        <v>45870</v>
      </c>
      <c r="BZ194" s="9">
        <v>47603</v>
      </c>
      <c r="CA194" s="8" t="s">
        <v>245</v>
      </c>
    </row>
    <row r="195" spans="1:79" ht="157.19999999999999" x14ac:dyDescent="0.25">
      <c r="A195" s="81" t="s">
        <v>2324</v>
      </c>
      <c r="B195" s="8"/>
      <c r="C195" s="81" t="s">
        <v>352</v>
      </c>
      <c r="D195" s="8" t="s">
        <v>7967</v>
      </c>
      <c r="E195" s="8" t="s">
        <v>2325</v>
      </c>
      <c r="F195" s="9">
        <v>31877</v>
      </c>
      <c r="G195" s="8" t="s">
        <v>2135</v>
      </c>
      <c r="H195" s="81" t="s">
        <v>250</v>
      </c>
      <c r="I195" s="81" t="s">
        <v>27</v>
      </c>
      <c r="J195" s="81" t="s">
        <v>474</v>
      </c>
      <c r="K195" s="81" t="s">
        <v>2326</v>
      </c>
      <c r="L195" s="81" t="s">
        <v>1653</v>
      </c>
      <c r="M195" s="81" t="s">
        <v>8508</v>
      </c>
      <c r="N195" s="81" t="s">
        <v>28</v>
      </c>
      <c r="O195" s="81" t="s">
        <v>29</v>
      </c>
      <c r="P195" s="9"/>
      <c r="Q195" s="8"/>
      <c r="R195" s="8"/>
      <c r="S195" s="8"/>
      <c r="T195" s="81" t="s">
        <v>8247</v>
      </c>
      <c r="U195" s="81" t="s">
        <v>1654</v>
      </c>
      <c r="V195" s="8"/>
      <c r="W195" s="8"/>
      <c r="X195" s="8" t="s">
        <v>2327</v>
      </c>
      <c r="Y195" s="81" t="s">
        <v>33</v>
      </c>
      <c r="Z195" s="8"/>
      <c r="AA195" s="81" t="s">
        <v>1097</v>
      </c>
      <c r="AB195" s="8"/>
      <c r="AC195" s="8"/>
      <c r="AD195" s="81" t="s">
        <v>861</v>
      </c>
      <c r="AE195" s="81" t="s">
        <v>8220</v>
      </c>
      <c r="AF195" s="81" t="s">
        <v>492</v>
      </c>
      <c r="AG195" s="81" t="s">
        <v>861</v>
      </c>
      <c r="AH195" s="8"/>
      <c r="AI195" s="8"/>
      <c r="AJ195" s="8"/>
      <c r="AK195" s="8"/>
      <c r="AL195" s="8"/>
      <c r="AM195" s="81" t="s">
        <v>243</v>
      </c>
      <c r="AN195" s="8"/>
      <c r="AO195" s="8"/>
      <c r="AP195" s="8"/>
      <c r="AQ195" s="8"/>
      <c r="AR195" s="9">
        <v>41947</v>
      </c>
      <c r="AS195" s="8" t="s">
        <v>8509</v>
      </c>
      <c r="AT195" s="8" t="s">
        <v>348</v>
      </c>
      <c r="AU195" s="9"/>
      <c r="AV195" s="81" t="s">
        <v>322</v>
      </c>
      <c r="AW195" s="81" t="s">
        <v>492</v>
      </c>
      <c r="AX195" s="8" t="s">
        <v>2329</v>
      </c>
      <c r="AY195" s="8"/>
      <c r="AZ195" s="8" t="s">
        <v>8133</v>
      </c>
      <c r="BA195" s="81" t="s">
        <v>399</v>
      </c>
      <c r="BB195" s="8"/>
      <c r="BC195" s="8"/>
      <c r="BD195" s="8"/>
      <c r="BE195" s="81" t="s">
        <v>261</v>
      </c>
      <c r="BF195" s="8" t="s">
        <v>2330</v>
      </c>
      <c r="BG195" s="9">
        <v>49581</v>
      </c>
      <c r="BH195" s="81" t="s">
        <v>81</v>
      </c>
      <c r="BI195" s="81" t="s">
        <v>1916</v>
      </c>
      <c r="BJ195" s="9">
        <v>40057</v>
      </c>
      <c r="BK195" s="9">
        <v>41456</v>
      </c>
      <c r="BL195" s="81" t="s">
        <v>1475</v>
      </c>
      <c r="BM195" s="81" t="s">
        <v>82</v>
      </c>
      <c r="BN195" s="8"/>
      <c r="BO195" s="8"/>
      <c r="BP195" s="8"/>
      <c r="BQ195" s="9"/>
      <c r="BR195" s="9"/>
      <c r="BS195" s="8"/>
      <c r="BT195" s="8"/>
      <c r="BU195" s="8"/>
      <c r="BV195" s="8"/>
      <c r="BW195" s="81" t="s">
        <v>492</v>
      </c>
      <c r="BX195" s="81" t="s">
        <v>337</v>
      </c>
      <c r="BY195" s="9">
        <v>45505</v>
      </c>
      <c r="BZ195" s="9">
        <v>46507</v>
      </c>
      <c r="CA195" s="8" t="s">
        <v>257</v>
      </c>
    </row>
    <row r="196" spans="1:79" ht="173.4" x14ac:dyDescent="0.25">
      <c r="A196" s="81" t="s">
        <v>2332</v>
      </c>
      <c r="B196" s="8"/>
      <c r="C196" s="81" t="s">
        <v>352</v>
      </c>
      <c r="D196" s="8" t="s">
        <v>7968</v>
      </c>
      <c r="E196" s="8"/>
      <c r="F196" s="9">
        <v>28743</v>
      </c>
      <c r="G196" s="8" t="s">
        <v>1313</v>
      </c>
      <c r="H196" s="81" t="s">
        <v>250</v>
      </c>
      <c r="I196" s="81" t="s">
        <v>27</v>
      </c>
      <c r="J196" s="81" t="s">
        <v>252</v>
      </c>
      <c r="K196" s="81" t="s">
        <v>294</v>
      </c>
      <c r="L196" s="81" t="s">
        <v>102</v>
      </c>
      <c r="M196" s="81" t="s">
        <v>8510</v>
      </c>
      <c r="N196" s="81" t="s">
        <v>119</v>
      </c>
      <c r="O196" s="81" t="s">
        <v>29</v>
      </c>
      <c r="P196" s="9"/>
      <c r="Q196" s="8"/>
      <c r="R196" s="8"/>
      <c r="S196" s="8"/>
      <c r="T196" s="8"/>
      <c r="U196" s="8"/>
      <c r="V196" s="81" t="s">
        <v>8239</v>
      </c>
      <c r="W196" s="81" t="s">
        <v>1665</v>
      </c>
      <c r="X196" s="8" t="s">
        <v>2333</v>
      </c>
      <c r="Y196" s="81" t="s">
        <v>33</v>
      </c>
      <c r="Z196" s="8"/>
      <c r="AA196" s="81" t="s">
        <v>1444</v>
      </c>
      <c r="AB196" s="8"/>
      <c r="AC196" s="8"/>
      <c r="AD196" s="81" t="s">
        <v>320</v>
      </c>
      <c r="AE196" s="81" t="s">
        <v>8125</v>
      </c>
      <c r="AF196" s="81" t="s">
        <v>242</v>
      </c>
      <c r="AG196" s="81" t="s">
        <v>298</v>
      </c>
      <c r="AH196" s="81" t="s">
        <v>320</v>
      </c>
      <c r="AI196" s="8"/>
      <c r="AJ196" s="8"/>
      <c r="AK196" s="8"/>
      <c r="AL196" s="8"/>
      <c r="AM196" s="81" t="s">
        <v>243</v>
      </c>
      <c r="AN196" s="8"/>
      <c r="AO196" s="8"/>
      <c r="AP196" s="8"/>
      <c r="AQ196" s="8"/>
      <c r="AR196" s="9">
        <v>41947</v>
      </c>
      <c r="AS196" s="8" t="s">
        <v>8509</v>
      </c>
      <c r="AT196" s="8" t="s">
        <v>348</v>
      </c>
      <c r="AU196" s="9"/>
      <c r="AV196" s="81" t="s">
        <v>322</v>
      </c>
      <c r="AW196" s="81" t="s">
        <v>242</v>
      </c>
      <c r="AX196" s="8" t="s">
        <v>2334</v>
      </c>
      <c r="AY196" s="8"/>
      <c r="AZ196" s="8" t="s">
        <v>8511</v>
      </c>
      <c r="BA196" s="81" t="s">
        <v>361</v>
      </c>
      <c r="BB196" s="8"/>
      <c r="BC196" s="8"/>
      <c r="BD196" s="8"/>
      <c r="BE196" s="81" t="s">
        <v>261</v>
      </c>
      <c r="BF196" s="8" t="s">
        <v>2336</v>
      </c>
      <c r="BG196" s="9">
        <v>46150</v>
      </c>
      <c r="BH196" s="81" t="s">
        <v>713</v>
      </c>
      <c r="BI196" s="81" t="s">
        <v>2337</v>
      </c>
      <c r="BJ196" s="9">
        <v>34946</v>
      </c>
      <c r="BK196" s="9">
        <v>35950</v>
      </c>
      <c r="BL196" s="81" t="s">
        <v>1451</v>
      </c>
      <c r="BM196" s="8"/>
      <c r="BN196" s="8"/>
      <c r="BO196" s="8"/>
      <c r="BP196" s="8"/>
      <c r="BQ196" s="9"/>
      <c r="BR196" s="9"/>
      <c r="BS196" s="8"/>
      <c r="BT196" s="8"/>
      <c r="BU196" s="8"/>
      <c r="BV196" s="8"/>
      <c r="BW196" s="81" t="s">
        <v>242</v>
      </c>
      <c r="BX196" s="81" t="s">
        <v>1556</v>
      </c>
      <c r="BY196" s="9">
        <v>41947</v>
      </c>
      <c r="BZ196" s="9"/>
      <c r="CA196" s="8" t="s">
        <v>63</v>
      </c>
    </row>
    <row r="197" spans="1:79" ht="205.2" x14ac:dyDescent="0.25">
      <c r="A197" s="81" t="s">
        <v>2340</v>
      </c>
      <c r="B197" s="8"/>
      <c r="C197" s="81" t="s">
        <v>26</v>
      </c>
      <c r="D197" s="8" t="s">
        <v>7969</v>
      </c>
      <c r="E197" s="8"/>
      <c r="F197" s="9">
        <v>33575</v>
      </c>
      <c r="G197" s="8" t="s">
        <v>1392</v>
      </c>
      <c r="H197" s="81" t="s">
        <v>250</v>
      </c>
      <c r="I197" s="81" t="s">
        <v>27</v>
      </c>
      <c r="J197" s="81" t="s">
        <v>293</v>
      </c>
      <c r="K197" s="81" t="s">
        <v>294</v>
      </c>
      <c r="L197" s="81" t="s">
        <v>102</v>
      </c>
      <c r="M197" s="81" t="s">
        <v>8512</v>
      </c>
      <c r="N197" s="81" t="s">
        <v>119</v>
      </c>
      <c r="O197" s="81" t="s">
        <v>29</v>
      </c>
      <c r="P197" s="9"/>
      <c r="Q197" s="8"/>
      <c r="R197" s="8"/>
      <c r="S197" s="8"/>
      <c r="T197" s="8"/>
      <c r="U197" s="8"/>
      <c r="V197" s="8"/>
      <c r="W197" s="8"/>
      <c r="X197" s="8" t="s">
        <v>2341</v>
      </c>
      <c r="Y197" s="81" t="s">
        <v>33</v>
      </c>
      <c r="Z197" s="8"/>
      <c r="AA197" s="81" t="s">
        <v>2342</v>
      </c>
      <c r="AB197" s="8"/>
      <c r="AC197" s="8"/>
      <c r="AD197" s="81" t="s">
        <v>344</v>
      </c>
      <c r="AE197" s="81" t="s">
        <v>8129</v>
      </c>
      <c r="AF197" s="81" t="s">
        <v>242</v>
      </c>
      <c r="AG197" s="81" t="s">
        <v>345</v>
      </c>
      <c r="AH197" s="81" t="s">
        <v>346</v>
      </c>
      <c r="AI197" s="81" t="s">
        <v>344</v>
      </c>
      <c r="AJ197" s="8"/>
      <c r="AK197" s="8"/>
      <c r="AL197" s="8"/>
      <c r="AM197" s="81" t="s">
        <v>243</v>
      </c>
      <c r="AN197" s="8"/>
      <c r="AO197" s="8"/>
      <c r="AP197" s="8"/>
      <c r="AQ197" s="8"/>
      <c r="AR197" s="9">
        <v>41869</v>
      </c>
      <c r="AS197" s="8" t="s">
        <v>8513</v>
      </c>
      <c r="AT197" s="8" t="s">
        <v>348</v>
      </c>
      <c r="AU197" s="9"/>
      <c r="AV197" s="81" t="s">
        <v>322</v>
      </c>
      <c r="AW197" s="81" t="s">
        <v>242</v>
      </c>
      <c r="AX197" s="8" t="s">
        <v>2343</v>
      </c>
      <c r="AY197" s="8"/>
      <c r="AZ197" s="8" t="s">
        <v>8514</v>
      </c>
      <c r="BA197" s="81" t="s">
        <v>556</v>
      </c>
      <c r="BB197" s="8"/>
      <c r="BC197" s="8"/>
      <c r="BD197" s="8"/>
      <c r="BE197" s="81" t="s">
        <v>261</v>
      </c>
      <c r="BF197" s="8" t="s">
        <v>2344</v>
      </c>
      <c r="BG197" s="9">
        <v>50458</v>
      </c>
      <c r="BH197" s="81" t="s">
        <v>305</v>
      </c>
      <c r="BI197" s="81" t="s">
        <v>2346</v>
      </c>
      <c r="BJ197" s="9">
        <v>40787</v>
      </c>
      <c r="BK197" s="9">
        <v>41821</v>
      </c>
      <c r="BL197" s="81" t="s">
        <v>945</v>
      </c>
      <c r="BM197" s="8"/>
      <c r="BN197" s="8"/>
      <c r="BO197" s="8"/>
      <c r="BP197" s="8"/>
      <c r="BQ197" s="9"/>
      <c r="BR197" s="9"/>
      <c r="BS197" s="8"/>
      <c r="BT197" s="8"/>
      <c r="BU197" s="8"/>
      <c r="BV197" s="8"/>
      <c r="BW197" s="81" t="s">
        <v>242</v>
      </c>
      <c r="BX197" s="81" t="s">
        <v>337</v>
      </c>
      <c r="BY197" s="9">
        <v>45870</v>
      </c>
      <c r="BZ197" s="9">
        <v>47603</v>
      </c>
      <c r="CA197" s="8" t="s">
        <v>245</v>
      </c>
    </row>
    <row r="198" spans="1:79" ht="141.6" x14ac:dyDescent="0.25">
      <c r="A198" s="81" t="s">
        <v>2347</v>
      </c>
      <c r="B198" s="8"/>
      <c r="C198" s="81" t="s">
        <v>26</v>
      </c>
      <c r="D198" s="8" t="s">
        <v>7970</v>
      </c>
      <c r="E198" s="8" t="s">
        <v>2348</v>
      </c>
      <c r="F198" s="9">
        <v>33151</v>
      </c>
      <c r="G198" s="8" t="s">
        <v>292</v>
      </c>
      <c r="H198" s="81" t="s">
        <v>250</v>
      </c>
      <c r="I198" s="81" t="s">
        <v>27</v>
      </c>
      <c r="J198" s="81" t="s">
        <v>252</v>
      </c>
      <c r="K198" s="81" t="s">
        <v>294</v>
      </c>
      <c r="L198" s="81" t="s">
        <v>102</v>
      </c>
      <c r="M198" s="81" t="s">
        <v>8515</v>
      </c>
      <c r="N198" s="81" t="s">
        <v>119</v>
      </c>
      <c r="O198" s="81" t="s">
        <v>29</v>
      </c>
      <c r="P198" s="9">
        <v>41848</v>
      </c>
      <c r="Q198" s="8" t="s">
        <v>8516</v>
      </c>
      <c r="R198" s="8"/>
      <c r="S198" s="8"/>
      <c r="T198" s="8"/>
      <c r="U198" s="8"/>
      <c r="V198" s="81" t="s">
        <v>8145</v>
      </c>
      <c r="W198" s="81" t="s">
        <v>2349</v>
      </c>
      <c r="X198" s="8" t="s">
        <v>2350</v>
      </c>
      <c r="Y198" s="81" t="s">
        <v>33</v>
      </c>
      <c r="Z198" s="8"/>
      <c r="AA198" s="81" t="s">
        <v>477</v>
      </c>
      <c r="AB198" s="8"/>
      <c r="AC198" s="8"/>
      <c r="AD198" s="81" t="s">
        <v>459</v>
      </c>
      <c r="AE198" s="81" t="s">
        <v>8147</v>
      </c>
      <c r="AF198" s="81" t="s">
        <v>242</v>
      </c>
      <c r="AG198" s="81" t="s">
        <v>459</v>
      </c>
      <c r="AH198" s="8"/>
      <c r="AI198" s="8"/>
      <c r="AJ198" s="8"/>
      <c r="AK198" s="8"/>
      <c r="AL198" s="8"/>
      <c r="AM198" s="81" t="s">
        <v>243</v>
      </c>
      <c r="AN198" s="8"/>
      <c r="AO198" s="8"/>
      <c r="AP198" s="8"/>
      <c r="AQ198" s="8"/>
      <c r="AR198" s="9">
        <v>41848</v>
      </c>
      <c r="AS198" s="8" t="s">
        <v>8516</v>
      </c>
      <c r="AT198" s="8" t="s">
        <v>348</v>
      </c>
      <c r="AU198" s="9"/>
      <c r="AV198" s="81" t="s">
        <v>322</v>
      </c>
      <c r="AW198" s="81" t="s">
        <v>242</v>
      </c>
      <c r="AX198" s="8" t="s">
        <v>2351</v>
      </c>
      <c r="AY198" s="8"/>
      <c r="AZ198" s="8" t="s">
        <v>8517</v>
      </c>
      <c r="BA198" s="81" t="s">
        <v>399</v>
      </c>
      <c r="BB198" s="8"/>
      <c r="BC198" s="8"/>
      <c r="BD198" s="8"/>
      <c r="BE198" s="81" t="s">
        <v>261</v>
      </c>
      <c r="BF198" s="8" t="s">
        <v>2352</v>
      </c>
      <c r="BG198" s="9">
        <v>50700</v>
      </c>
      <c r="BH198" s="81" t="s">
        <v>81</v>
      </c>
      <c r="BI198" s="81" t="s">
        <v>2354</v>
      </c>
      <c r="BJ198" s="9">
        <v>40422</v>
      </c>
      <c r="BK198" s="9">
        <v>41821</v>
      </c>
      <c r="BL198" s="81" t="s">
        <v>2355</v>
      </c>
      <c r="BM198" s="81" t="s">
        <v>82</v>
      </c>
      <c r="BN198" s="8"/>
      <c r="BO198" s="8"/>
      <c r="BP198" s="8"/>
      <c r="BQ198" s="9"/>
      <c r="BR198" s="9"/>
      <c r="BS198" s="8"/>
      <c r="BT198" s="81" t="s">
        <v>2356</v>
      </c>
      <c r="BU198" s="81" t="s">
        <v>266</v>
      </c>
      <c r="BV198" s="8" t="s">
        <v>2357</v>
      </c>
      <c r="BW198" s="81" t="s">
        <v>242</v>
      </c>
      <c r="BX198" s="81" t="s">
        <v>1556</v>
      </c>
      <c r="BY198" s="9">
        <v>41851</v>
      </c>
      <c r="BZ198" s="9"/>
      <c r="CA198" s="8" t="s">
        <v>61</v>
      </c>
    </row>
    <row r="199" spans="1:79" ht="141.6" x14ac:dyDescent="0.25">
      <c r="A199" s="81" t="s">
        <v>2359</v>
      </c>
      <c r="B199" s="8"/>
      <c r="C199" s="81" t="s">
        <v>352</v>
      </c>
      <c r="D199" s="8" t="s">
        <v>7971</v>
      </c>
      <c r="E199" s="8"/>
      <c r="F199" s="9">
        <v>33920</v>
      </c>
      <c r="G199" s="8" t="s">
        <v>1689</v>
      </c>
      <c r="H199" s="81" t="s">
        <v>250</v>
      </c>
      <c r="I199" s="81" t="s">
        <v>27</v>
      </c>
      <c r="J199" s="81" t="s">
        <v>270</v>
      </c>
      <c r="K199" s="81" t="s">
        <v>353</v>
      </c>
      <c r="L199" s="81" t="s">
        <v>102</v>
      </c>
      <c r="M199" s="81" t="s">
        <v>8518</v>
      </c>
      <c r="N199" s="81" t="s">
        <v>119</v>
      </c>
      <c r="O199" s="81" t="s">
        <v>29</v>
      </c>
      <c r="P199" s="9"/>
      <c r="Q199" s="8"/>
      <c r="R199" s="8"/>
      <c r="S199" s="8"/>
      <c r="T199" s="8"/>
      <c r="U199" s="8"/>
      <c r="V199" s="81" t="s">
        <v>8141</v>
      </c>
      <c r="W199" s="81" t="s">
        <v>1350</v>
      </c>
      <c r="X199" s="8" t="s">
        <v>2360</v>
      </c>
      <c r="Y199" s="81" t="s">
        <v>33</v>
      </c>
      <c r="Z199" s="8"/>
      <c r="AA199" s="81" t="s">
        <v>2361</v>
      </c>
      <c r="AB199" s="8"/>
      <c r="AC199" s="8"/>
      <c r="AD199" s="81" t="s">
        <v>553</v>
      </c>
      <c r="AE199" s="81" t="s">
        <v>8194</v>
      </c>
      <c r="AF199" s="81" t="s">
        <v>492</v>
      </c>
      <c r="AG199" s="81" t="s">
        <v>553</v>
      </c>
      <c r="AH199" s="8"/>
      <c r="AI199" s="8"/>
      <c r="AJ199" s="8"/>
      <c r="AK199" s="8"/>
      <c r="AL199" s="8"/>
      <c r="AM199" s="81" t="s">
        <v>243</v>
      </c>
      <c r="AN199" s="8"/>
      <c r="AO199" s="8"/>
      <c r="AP199" s="8"/>
      <c r="AQ199" s="8"/>
      <c r="AR199" s="9">
        <v>41834</v>
      </c>
      <c r="AS199" s="8" t="s">
        <v>8516</v>
      </c>
      <c r="AT199" s="8" t="s">
        <v>348</v>
      </c>
      <c r="AU199" s="9"/>
      <c r="AV199" s="81" t="s">
        <v>322</v>
      </c>
      <c r="AW199" s="81" t="s">
        <v>492</v>
      </c>
      <c r="AX199" s="8" t="s">
        <v>2362</v>
      </c>
      <c r="AY199" s="8"/>
      <c r="AZ199" s="8" t="s">
        <v>8517</v>
      </c>
      <c r="BA199" s="81" t="s">
        <v>361</v>
      </c>
      <c r="BB199" s="8"/>
      <c r="BC199" s="8"/>
      <c r="BD199" s="8"/>
      <c r="BE199" s="81" t="s">
        <v>261</v>
      </c>
      <c r="BF199" s="8" t="s">
        <v>2363</v>
      </c>
      <c r="BG199" s="9">
        <v>52034</v>
      </c>
      <c r="BH199" s="81" t="s">
        <v>305</v>
      </c>
      <c r="BI199" s="81" t="s">
        <v>559</v>
      </c>
      <c r="BJ199" s="9">
        <v>40787</v>
      </c>
      <c r="BK199" s="9">
        <v>41821</v>
      </c>
      <c r="BL199" s="81" t="s">
        <v>1835</v>
      </c>
      <c r="BM199" s="8"/>
      <c r="BN199" s="8"/>
      <c r="BO199" s="8"/>
      <c r="BP199" s="8"/>
      <c r="BQ199" s="9"/>
      <c r="BR199" s="9"/>
      <c r="BS199" s="8"/>
      <c r="BT199" s="81" t="s">
        <v>2365</v>
      </c>
      <c r="BU199" s="81" t="s">
        <v>266</v>
      </c>
      <c r="BV199" s="8" t="s">
        <v>2366</v>
      </c>
      <c r="BW199" s="81" t="s">
        <v>492</v>
      </c>
      <c r="BX199" s="81" t="s">
        <v>337</v>
      </c>
      <c r="BY199" s="9">
        <v>45663</v>
      </c>
      <c r="BZ199" s="9">
        <v>47603</v>
      </c>
      <c r="CA199" s="8" t="s">
        <v>257</v>
      </c>
    </row>
    <row r="200" spans="1:79" ht="141.6" x14ac:dyDescent="0.25">
      <c r="A200" s="81" t="s">
        <v>2367</v>
      </c>
      <c r="B200" s="8"/>
      <c r="C200" s="81" t="s">
        <v>26</v>
      </c>
      <c r="D200" s="8" t="s">
        <v>7972</v>
      </c>
      <c r="E200" s="8"/>
      <c r="F200" s="9">
        <v>33298</v>
      </c>
      <c r="G200" s="8" t="s">
        <v>292</v>
      </c>
      <c r="H200" s="81" t="s">
        <v>250</v>
      </c>
      <c r="I200" s="81" t="s">
        <v>27</v>
      </c>
      <c r="J200" s="81" t="s">
        <v>270</v>
      </c>
      <c r="K200" s="81" t="s">
        <v>488</v>
      </c>
      <c r="L200" s="81" t="s">
        <v>102</v>
      </c>
      <c r="M200" s="81" t="s">
        <v>8519</v>
      </c>
      <c r="N200" s="81" t="s">
        <v>28</v>
      </c>
      <c r="O200" s="81" t="s">
        <v>29</v>
      </c>
      <c r="P200" s="9"/>
      <c r="Q200" s="8"/>
      <c r="R200" s="8"/>
      <c r="S200" s="8"/>
      <c r="T200" s="8"/>
      <c r="U200" s="8"/>
      <c r="V200" s="8"/>
      <c r="W200" s="8"/>
      <c r="X200" s="8" t="s">
        <v>2369</v>
      </c>
      <c r="Y200" s="81" t="s">
        <v>33</v>
      </c>
      <c r="Z200" s="8"/>
      <c r="AA200" s="81" t="s">
        <v>8465</v>
      </c>
      <c r="AB200" s="8"/>
      <c r="AC200" s="8"/>
      <c r="AD200" s="81" t="s">
        <v>420</v>
      </c>
      <c r="AE200" s="81" t="s">
        <v>8142</v>
      </c>
      <c r="AF200" s="81" t="s">
        <v>242</v>
      </c>
      <c r="AG200" s="81" t="s">
        <v>420</v>
      </c>
      <c r="AH200" s="8"/>
      <c r="AI200" s="8"/>
      <c r="AJ200" s="8"/>
      <c r="AK200" s="8"/>
      <c r="AL200" s="8"/>
      <c r="AM200" s="81" t="s">
        <v>243</v>
      </c>
      <c r="AN200" s="8"/>
      <c r="AO200" s="8"/>
      <c r="AP200" s="8"/>
      <c r="AQ200" s="8"/>
      <c r="AR200" s="9">
        <v>41821</v>
      </c>
      <c r="AS200" s="8" t="s">
        <v>8520</v>
      </c>
      <c r="AT200" s="8" t="s">
        <v>348</v>
      </c>
      <c r="AU200" s="9"/>
      <c r="AV200" s="81" t="s">
        <v>322</v>
      </c>
      <c r="AW200" s="81" t="s">
        <v>242</v>
      </c>
      <c r="AX200" s="8" t="s">
        <v>2370</v>
      </c>
      <c r="AY200" s="8"/>
      <c r="AZ200" s="8" t="s">
        <v>8521</v>
      </c>
      <c r="BA200" s="81" t="s">
        <v>361</v>
      </c>
      <c r="BB200" s="8"/>
      <c r="BC200" s="8"/>
      <c r="BD200" s="8"/>
      <c r="BE200" s="81" t="s">
        <v>261</v>
      </c>
      <c r="BF200" s="8" t="s">
        <v>2371</v>
      </c>
      <c r="BG200" s="9">
        <v>51682</v>
      </c>
      <c r="BH200" s="81" t="s">
        <v>305</v>
      </c>
      <c r="BI200" s="81" t="s">
        <v>559</v>
      </c>
      <c r="BJ200" s="9">
        <v>40787</v>
      </c>
      <c r="BK200" s="9">
        <v>41821</v>
      </c>
      <c r="BL200" s="81" t="s">
        <v>1835</v>
      </c>
      <c r="BM200" s="8"/>
      <c r="BN200" s="8"/>
      <c r="BO200" s="8"/>
      <c r="BP200" s="8"/>
      <c r="BQ200" s="9"/>
      <c r="BR200" s="9"/>
      <c r="BS200" s="8"/>
      <c r="BT200" s="81" t="s">
        <v>2373</v>
      </c>
      <c r="BU200" s="81" t="s">
        <v>266</v>
      </c>
      <c r="BV200" s="8" t="s">
        <v>2374</v>
      </c>
      <c r="BW200" s="81" t="s">
        <v>242</v>
      </c>
      <c r="BX200" s="81" t="s">
        <v>337</v>
      </c>
      <c r="BY200" s="9">
        <v>45717</v>
      </c>
      <c r="BZ200" s="9">
        <v>47695</v>
      </c>
      <c r="CA200" s="8" t="s">
        <v>245</v>
      </c>
    </row>
    <row r="201" spans="1:79" ht="141.6" x14ac:dyDescent="0.25">
      <c r="A201" s="81" t="s">
        <v>2375</v>
      </c>
      <c r="B201" s="8"/>
      <c r="C201" s="81" t="s">
        <v>26</v>
      </c>
      <c r="D201" s="8" t="s">
        <v>7973</v>
      </c>
      <c r="E201" s="8"/>
      <c r="F201" s="9">
        <v>33831</v>
      </c>
      <c r="G201" s="8" t="s">
        <v>1689</v>
      </c>
      <c r="H201" s="81" t="s">
        <v>250</v>
      </c>
      <c r="I201" s="81" t="s">
        <v>27</v>
      </c>
      <c r="J201" s="81" t="s">
        <v>270</v>
      </c>
      <c r="K201" s="81" t="s">
        <v>394</v>
      </c>
      <c r="L201" s="81" t="s">
        <v>102</v>
      </c>
      <c r="M201" s="81" t="s">
        <v>8522</v>
      </c>
      <c r="N201" s="81" t="s">
        <v>119</v>
      </c>
      <c r="O201" s="81" t="s">
        <v>253</v>
      </c>
      <c r="P201" s="9"/>
      <c r="Q201" s="8"/>
      <c r="R201" s="8"/>
      <c r="S201" s="8"/>
      <c r="T201" s="8"/>
      <c r="U201" s="8"/>
      <c r="V201" s="8"/>
      <c r="W201" s="8"/>
      <c r="X201" s="8" t="s">
        <v>2377</v>
      </c>
      <c r="Y201" s="81" t="s">
        <v>33</v>
      </c>
      <c r="Z201" s="8"/>
      <c r="AA201" s="81" t="s">
        <v>1514</v>
      </c>
      <c r="AB201" s="8"/>
      <c r="AC201" s="8"/>
      <c r="AD201" s="81" t="s">
        <v>1515</v>
      </c>
      <c r="AE201" s="81" t="s">
        <v>8337</v>
      </c>
      <c r="AF201" s="81" t="s">
        <v>242</v>
      </c>
      <c r="AG201" s="81" t="s">
        <v>1515</v>
      </c>
      <c r="AH201" s="8"/>
      <c r="AI201" s="8"/>
      <c r="AJ201" s="8"/>
      <c r="AK201" s="8"/>
      <c r="AL201" s="8"/>
      <c r="AM201" s="81" t="s">
        <v>243</v>
      </c>
      <c r="AN201" s="8"/>
      <c r="AO201" s="8"/>
      <c r="AP201" s="8"/>
      <c r="AQ201" s="8"/>
      <c r="AR201" s="9">
        <v>41821</v>
      </c>
      <c r="AS201" s="8" t="s">
        <v>8520</v>
      </c>
      <c r="AT201" s="8" t="s">
        <v>348</v>
      </c>
      <c r="AU201" s="9"/>
      <c r="AV201" s="81" t="s">
        <v>322</v>
      </c>
      <c r="AW201" s="81" t="s">
        <v>242</v>
      </c>
      <c r="AX201" s="8" t="s">
        <v>2378</v>
      </c>
      <c r="AY201" s="8"/>
      <c r="AZ201" s="8" t="s">
        <v>8521</v>
      </c>
      <c r="BA201" s="81" t="s">
        <v>556</v>
      </c>
      <c r="BB201" s="8"/>
      <c r="BC201" s="8"/>
      <c r="BD201" s="8"/>
      <c r="BE201" s="81" t="s">
        <v>261</v>
      </c>
      <c r="BF201" s="8" t="s">
        <v>2379</v>
      </c>
      <c r="BG201" s="9">
        <v>50665</v>
      </c>
      <c r="BH201" s="81" t="s">
        <v>305</v>
      </c>
      <c r="BI201" s="81" t="s">
        <v>1410</v>
      </c>
      <c r="BJ201" s="9">
        <v>40787</v>
      </c>
      <c r="BK201" s="9">
        <v>41814</v>
      </c>
      <c r="BL201" s="81" t="s">
        <v>2067</v>
      </c>
      <c r="BM201" s="8"/>
      <c r="BN201" s="8"/>
      <c r="BO201" s="8"/>
      <c r="BP201" s="8"/>
      <c r="BQ201" s="9"/>
      <c r="BR201" s="9"/>
      <c r="BS201" s="8"/>
      <c r="BT201" s="81" t="s">
        <v>2382</v>
      </c>
      <c r="BU201" s="81" t="s">
        <v>266</v>
      </c>
      <c r="BV201" s="8" t="s">
        <v>2383</v>
      </c>
      <c r="BW201" s="81" t="s">
        <v>242</v>
      </c>
      <c r="BX201" s="81" t="s">
        <v>337</v>
      </c>
      <c r="BY201" s="9">
        <v>45717</v>
      </c>
      <c r="BZ201" s="9">
        <v>46965</v>
      </c>
      <c r="CA201" s="8" t="s">
        <v>245</v>
      </c>
    </row>
    <row r="202" spans="1:79" ht="141.6" x14ac:dyDescent="0.25">
      <c r="A202" s="81" t="s">
        <v>2384</v>
      </c>
      <c r="B202" s="8"/>
      <c r="C202" s="81" t="s">
        <v>26</v>
      </c>
      <c r="D202" s="8" t="s">
        <v>7974</v>
      </c>
      <c r="E202" s="8"/>
      <c r="F202" s="9">
        <v>33282</v>
      </c>
      <c r="G202" s="8" t="s">
        <v>292</v>
      </c>
      <c r="H202" s="81" t="s">
        <v>250</v>
      </c>
      <c r="I202" s="81" t="s">
        <v>27</v>
      </c>
      <c r="J202" s="81" t="s">
        <v>270</v>
      </c>
      <c r="K202" s="81" t="s">
        <v>353</v>
      </c>
      <c r="L202" s="81" t="s">
        <v>102</v>
      </c>
      <c r="M202" s="81" t="s">
        <v>8523</v>
      </c>
      <c r="N202" s="81" t="s">
        <v>119</v>
      </c>
      <c r="O202" s="81" t="s">
        <v>253</v>
      </c>
      <c r="P202" s="9"/>
      <c r="Q202" s="8"/>
      <c r="R202" s="8"/>
      <c r="S202" s="8"/>
      <c r="T202" s="8"/>
      <c r="U202" s="8"/>
      <c r="V202" s="81" t="s">
        <v>8141</v>
      </c>
      <c r="W202" s="81" t="s">
        <v>1326</v>
      </c>
      <c r="X202" s="8" t="s">
        <v>2386</v>
      </c>
      <c r="Y202" s="81" t="s">
        <v>33</v>
      </c>
      <c r="Z202" s="8"/>
      <c r="AA202" s="81" t="s">
        <v>1514</v>
      </c>
      <c r="AB202" s="8"/>
      <c r="AC202" s="8"/>
      <c r="AD202" s="81" t="s">
        <v>1515</v>
      </c>
      <c r="AE202" s="81" t="s">
        <v>8337</v>
      </c>
      <c r="AF202" s="81" t="s">
        <v>242</v>
      </c>
      <c r="AG202" s="81" t="s">
        <v>1515</v>
      </c>
      <c r="AH202" s="8"/>
      <c r="AI202" s="8"/>
      <c r="AJ202" s="8"/>
      <c r="AK202" s="8"/>
      <c r="AL202" s="8"/>
      <c r="AM202" s="81" t="s">
        <v>243</v>
      </c>
      <c r="AN202" s="8"/>
      <c r="AO202" s="8"/>
      <c r="AP202" s="8"/>
      <c r="AQ202" s="8"/>
      <c r="AR202" s="9">
        <v>41821</v>
      </c>
      <c r="AS202" s="8" t="s">
        <v>8520</v>
      </c>
      <c r="AT202" s="8" t="s">
        <v>348</v>
      </c>
      <c r="AU202" s="9"/>
      <c r="AV202" s="81" t="s">
        <v>322</v>
      </c>
      <c r="AW202" s="81" t="s">
        <v>242</v>
      </c>
      <c r="AX202" s="8" t="s">
        <v>2387</v>
      </c>
      <c r="AY202" s="8"/>
      <c r="AZ202" s="8" t="s">
        <v>8521</v>
      </c>
      <c r="BA202" s="81" t="s">
        <v>556</v>
      </c>
      <c r="BB202" s="8"/>
      <c r="BC202" s="8"/>
      <c r="BD202" s="8"/>
      <c r="BE202" s="81" t="s">
        <v>261</v>
      </c>
      <c r="BF202" s="8" t="s">
        <v>2388</v>
      </c>
      <c r="BG202" s="9">
        <v>46051</v>
      </c>
      <c r="BH202" s="81" t="s">
        <v>305</v>
      </c>
      <c r="BI202" s="81" t="s">
        <v>1410</v>
      </c>
      <c r="BJ202" s="9">
        <v>40787</v>
      </c>
      <c r="BK202" s="9">
        <v>41820</v>
      </c>
      <c r="BL202" s="81" t="s">
        <v>1400</v>
      </c>
      <c r="BM202" s="8"/>
      <c r="BN202" s="8"/>
      <c r="BO202" s="8"/>
      <c r="BP202" s="8"/>
      <c r="BQ202" s="9"/>
      <c r="BR202" s="9"/>
      <c r="BS202" s="8"/>
      <c r="BT202" s="81" t="s">
        <v>2389</v>
      </c>
      <c r="BU202" s="81" t="s">
        <v>266</v>
      </c>
      <c r="BV202" s="8" t="s">
        <v>2390</v>
      </c>
      <c r="BW202" s="81" t="s">
        <v>242</v>
      </c>
      <c r="BX202" s="81" t="s">
        <v>337</v>
      </c>
      <c r="BY202" s="9">
        <v>45717</v>
      </c>
      <c r="BZ202" s="9">
        <v>46965</v>
      </c>
      <c r="CA202" s="8" t="s">
        <v>245</v>
      </c>
    </row>
    <row r="203" spans="1:79" ht="205.2" x14ac:dyDescent="0.25">
      <c r="A203" s="81" t="s">
        <v>2391</v>
      </c>
      <c r="B203" s="8"/>
      <c r="C203" s="81" t="s">
        <v>26</v>
      </c>
      <c r="D203" s="8" t="s">
        <v>7975</v>
      </c>
      <c r="E203" s="8"/>
      <c r="F203" s="9">
        <v>33652</v>
      </c>
      <c r="G203" s="8" t="s">
        <v>1392</v>
      </c>
      <c r="H203" s="81" t="s">
        <v>250</v>
      </c>
      <c r="I203" s="81" t="s">
        <v>27</v>
      </c>
      <c r="J203" s="81" t="s">
        <v>270</v>
      </c>
      <c r="K203" s="81" t="s">
        <v>488</v>
      </c>
      <c r="L203" s="81" t="s">
        <v>102</v>
      </c>
      <c r="M203" s="81" t="s">
        <v>8524</v>
      </c>
      <c r="N203" s="81" t="s">
        <v>119</v>
      </c>
      <c r="O203" s="81" t="s">
        <v>29</v>
      </c>
      <c r="P203" s="9"/>
      <c r="Q203" s="8"/>
      <c r="R203" s="8"/>
      <c r="S203" s="8"/>
      <c r="T203" s="8"/>
      <c r="U203" s="8"/>
      <c r="V203" s="8"/>
      <c r="W203" s="8"/>
      <c r="X203" s="8" t="s">
        <v>2392</v>
      </c>
      <c r="Y203" s="81" t="s">
        <v>33</v>
      </c>
      <c r="Z203" s="8"/>
      <c r="AA203" s="81" t="s">
        <v>2393</v>
      </c>
      <c r="AB203" s="8"/>
      <c r="AC203" s="8"/>
      <c r="AD203" s="81" t="s">
        <v>344</v>
      </c>
      <c r="AE203" s="81" t="s">
        <v>8129</v>
      </c>
      <c r="AF203" s="81" t="s">
        <v>242</v>
      </c>
      <c r="AG203" s="81" t="s">
        <v>345</v>
      </c>
      <c r="AH203" s="81" t="s">
        <v>346</v>
      </c>
      <c r="AI203" s="81" t="s">
        <v>344</v>
      </c>
      <c r="AJ203" s="8"/>
      <c r="AK203" s="8"/>
      <c r="AL203" s="8"/>
      <c r="AM203" s="81" t="s">
        <v>243</v>
      </c>
      <c r="AN203" s="8"/>
      <c r="AO203" s="8"/>
      <c r="AP203" s="8"/>
      <c r="AQ203" s="8"/>
      <c r="AR203" s="9">
        <v>41821</v>
      </c>
      <c r="AS203" s="8" t="s">
        <v>8520</v>
      </c>
      <c r="AT203" s="8" t="s">
        <v>348</v>
      </c>
      <c r="AU203" s="9"/>
      <c r="AV203" s="81" t="s">
        <v>322</v>
      </c>
      <c r="AW203" s="81" t="s">
        <v>242</v>
      </c>
      <c r="AX203" s="8" t="s">
        <v>2394</v>
      </c>
      <c r="AY203" s="8"/>
      <c r="AZ203" s="8" t="s">
        <v>8521</v>
      </c>
      <c r="BA203" s="81" t="s">
        <v>556</v>
      </c>
      <c r="BB203" s="8"/>
      <c r="BC203" s="8"/>
      <c r="BD203" s="8"/>
      <c r="BE203" s="81" t="s">
        <v>261</v>
      </c>
      <c r="BF203" s="8" t="s">
        <v>2395</v>
      </c>
      <c r="BG203" s="9">
        <v>51051</v>
      </c>
      <c r="BH203" s="81" t="s">
        <v>305</v>
      </c>
      <c r="BI203" s="81" t="s">
        <v>559</v>
      </c>
      <c r="BJ203" s="9">
        <v>40787</v>
      </c>
      <c r="BK203" s="9">
        <v>41821</v>
      </c>
      <c r="BL203" s="81" t="s">
        <v>1835</v>
      </c>
      <c r="BM203" s="8"/>
      <c r="BN203" s="8"/>
      <c r="BO203" s="8"/>
      <c r="BP203" s="8"/>
      <c r="BQ203" s="9"/>
      <c r="BR203" s="9"/>
      <c r="BS203" s="8"/>
      <c r="BT203" s="81" t="s">
        <v>2397</v>
      </c>
      <c r="BU203" s="81" t="s">
        <v>266</v>
      </c>
      <c r="BV203" s="8" t="s">
        <v>2398</v>
      </c>
      <c r="BW203" s="81" t="s">
        <v>242</v>
      </c>
      <c r="BX203" s="81" t="s">
        <v>337</v>
      </c>
      <c r="BY203" s="9">
        <v>45870</v>
      </c>
      <c r="BZ203" s="9">
        <v>46142</v>
      </c>
      <c r="CA203" s="8" t="s">
        <v>245</v>
      </c>
    </row>
    <row r="204" spans="1:79" ht="157.19999999999999" x14ac:dyDescent="0.25">
      <c r="A204" s="81" t="s">
        <v>2399</v>
      </c>
      <c r="B204" s="8"/>
      <c r="C204" s="81" t="s">
        <v>26</v>
      </c>
      <c r="D204" s="8" t="s">
        <v>7976</v>
      </c>
      <c r="E204" s="8" t="s">
        <v>2400</v>
      </c>
      <c r="F204" s="9">
        <v>33543</v>
      </c>
      <c r="G204" s="8" t="s">
        <v>1392</v>
      </c>
      <c r="H204" s="81" t="s">
        <v>250</v>
      </c>
      <c r="I204" s="81" t="s">
        <v>27</v>
      </c>
      <c r="J204" s="81" t="s">
        <v>270</v>
      </c>
      <c r="K204" s="81" t="s">
        <v>353</v>
      </c>
      <c r="L204" s="81" t="s">
        <v>102</v>
      </c>
      <c r="M204" s="81" t="s">
        <v>8525</v>
      </c>
      <c r="N204" s="81" t="s">
        <v>119</v>
      </c>
      <c r="O204" s="81" t="s">
        <v>29</v>
      </c>
      <c r="P204" s="9"/>
      <c r="Q204" s="8"/>
      <c r="R204" s="8"/>
      <c r="S204" s="8"/>
      <c r="T204" s="81" t="s">
        <v>8247</v>
      </c>
      <c r="U204" s="81" t="s">
        <v>1654</v>
      </c>
      <c r="V204" s="8"/>
      <c r="W204" s="8"/>
      <c r="X204" s="8" t="s">
        <v>2402</v>
      </c>
      <c r="Y204" s="81" t="s">
        <v>33</v>
      </c>
      <c r="Z204" s="8"/>
      <c r="AA204" s="81" t="s">
        <v>1526</v>
      </c>
      <c r="AB204" s="8"/>
      <c r="AC204" s="8"/>
      <c r="AD204" s="81" t="s">
        <v>491</v>
      </c>
      <c r="AE204" s="81" t="s">
        <v>8152</v>
      </c>
      <c r="AF204" s="81" t="s">
        <v>492</v>
      </c>
      <c r="AG204" s="81" t="s">
        <v>491</v>
      </c>
      <c r="AH204" s="8"/>
      <c r="AI204" s="8"/>
      <c r="AJ204" s="8"/>
      <c r="AK204" s="8"/>
      <c r="AL204" s="8"/>
      <c r="AM204" s="81" t="s">
        <v>243</v>
      </c>
      <c r="AN204" s="8"/>
      <c r="AO204" s="8"/>
      <c r="AP204" s="8"/>
      <c r="AQ204" s="8"/>
      <c r="AR204" s="9">
        <v>41821</v>
      </c>
      <c r="AS204" s="8" t="s">
        <v>8520</v>
      </c>
      <c r="AT204" s="8" t="s">
        <v>348</v>
      </c>
      <c r="AU204" s="9"/>
      <c r="AV204" s="81" t="s">
        <v>322</v>
      </c>
      <c r="AW204" s="81" t="s">
        <v>492</v>
      </c>
      <c r="AX204" s="8" t="s">
        <v>2403</v>
      </c>
      <c r="AY204" s="8"/>
      <c r="AZ204" s="8" t="s">
        <v>8521</v>
      </c>
      <c r="BA204" s="81" t="s">
        <v>399</v>
      </c>
      <c r="BB204" s="8"/>
      <c r="BC204" s="8"/>
      <c r="BD204" s="8"/>
      <c r="BE204" s="81" t="s">
        <v>261</v>
      </c>
      <c r="BF204" s="8" t="s">
        <v>2404</v>
      </c>
      <c r="BG204" s="9">
        <v>50708</v>
      </c>
      <c r="BH204" s="81" t="s">
        <v>81</v>
      </c>
      <c r="BI204" s="81" t="s">
        <v>1032</v>
      </c>
      <c r="BJ204" s="9">
        <v>40422</v>
      </c>
      <c r="BK204" s="9">
        <v>41821</v>
      </c>
      <c r="BL204" s="81" t="s">
        <v>662</v>
      </c>
      <c r="BM204" s="81" t="s">
        <v>82</v>
      </c>
      <c r="BN204" s="8"/>
      <c r="BO204" s="8"/>
      <c r="BP204" s="8"/>
      <c r="BQ204" s="9"/>
      <c r="BR204" s="9"/>
      <c r="BS204" s="8"/>
      <c r="BT204" s="81" t="s">
        <v>2406</v>
      </c>
      <c r="BU204" s="81" t="s">
        <v>266</v>
      </c>
      <c r="BV204" s="8" t="s">
        <v>2407</v>
      </c>
      <c r="BW204" s="81" t="s">
        <v>492</v>
      </c>
      <c r="BX204" s="81" t="s">
        <v>1556</v>
      </c>
      <c r="BY204" s="9">
        <v>43836</v>
      </c>
      <c r="BZ204" s="9"/>
      <c r="CA204" s="8" t="s">
        <v>257</v>
      </c>
    </row>
    <row r="205" spans="1:79" ht="141.6" x14ac:dyDescent="0.25">
      <c r="A205" s="81" t="s">
        <v>2408</v>
      </c>
      <c r="B205" s="8"/>
      <c r="C205" s="81" t="s">
        <v>26</v>
      </c>
      <c r="D205" s="8" t="s">
        <v>7977</v>
      </c>
      <c r="E205" s="8"/>
      <c r="F205" s="9">
        <v>34667</v>
      </c>
      <c r="G205" s="8" t="s">
        <v>837</v>
      </c>
      <c r="H205" s="81" t="s">
        <v>250</v>
      </c>
      <c r="I205" s="81" t="s">
        <v>27</v>
      </c>
      <c r="J205" s="81" t="s">
        <v>270</v>
      </c>
      <c r="K205" s="81" t="s">
        <v>488</v>
      </c>
      <c r="L205" s="81" t="s">
        <v>102</v>
      </c>
      <c r="M205" s="81" t="s">
        <v>8526</v>
      </c>
      <c r="N205" s="81" t="s">
        <v>119</v>
      </c>
      <c r="O205" s="81" t="s">
        <v>253</v>
      </c>
      <c r="P205" s="9"/>
      <c r="Q205" s="8"/>
      <c r="R205" s="8"/>
      <c r="S205" s="8"/>
      <c r="T205" s="8"/>
      <c r="U205" s="8"/>
      <c r="V205" s="8"/>
      <c r="W205" s="8"/>
      <c r="X205" s="8" t="s">
        <v>2410</v>
      </c>
      <c r="Y205" s="81" t="s">
        <v>33</v>
      </c>
      <c r="Z205" s="8"/>
      <c r="AA205" s="81" t="s">
        <v>593</v>
      </c>
      <c r="AB205" s="8"/>
      <c r="AC205" s="8"/>
      <c r="AD205" s="81" t="s">
        <v>553</v>
      </c>
      <c r="AE205" s="81" t="s">
        <v>8194</v>
      </c>
      <c r="AF205" s="81" t="s">
        <v>492</v>
      </c>
      <c r="AG205" s="81" t="s">
        <v>553</v>
      </c>
      <c r="AH205" s="8"/>
      <c r="AI205" s="8"/>
      <c r="AJ205" s="8"/>
      <c r="AK205" s="8"/>
      <c r="AL205" s="8"/>
      <c r="AM205" s="81" t="s">
        <v>243</v>
      </c>
      <c r="AN205" s="8"/>
      <c r="AO205" s="8"/>
      <c r="AP205" s="8"/>
      <c r="AQ205" s="8"/>
      <c r="AR205" s="9">
        <v>41821</v>
      </c>
      <c r="AS205" s="8" t="s">
        <v>8520</v>
      </c>
      <c r="AT205" s="8" t="s">
        <v>348</v>
      </c>
      <c r="AU205" s="9"/>
      <c r="AV205" s="81" t="s">
        <v>322</v>
      </c>
      <c r="AW205" s="81" t="s">
        <v>492</v>
      </c>
      <c r="AX205" s="8" t="s">
        <v>2411</v>
      </c>
      <c r="AY205" s="8"/>
      <c r="AZ205" s="8" t="s">
        <v>8521</v>
      </c>
      <c r="BA205" s="81" t="s">
        <v>556</v>
      </c>
      <c r="BB205" s="8"/>
      <c r="BC205" s="8"/>
      <c r="BD205" s="8"/>
      <c r="BE205" s="81" t="s">
        <v>261</v>
      </c>
      <c r="BF205" s="8" t="s">
        <v>2412</v>
      </c>
      <c r="BG205" s="9">
        <v>46158</v>
      </c>
      <c r="BH205" s="81" t="s">
        <v>305</v>
      </c>
      <c r="BI205" s="81" t="s">
        <v>1103</v>
      </c>
      <c r="BJ205" s="9">
        <v>42064</v>
      </c>
      <c r="BK205" s="9">
        <v>43131</v>
      </c>
      <c r="BL205" s="81" t="s">
        <v>1906</v>
      </c>
      <c r="BM205" s="8"/>
      <c r="BN205" s="8"/>
      <c r="BO205" s="8"/>
      <c r="BP205" s="8"/>
      <c r="BQ205" s="9"/>
      <c r="BR205" s="9"/>
      <c r="BS205" s="8"/>
      <c r="BT205" s="81" t="s">
        <v>2414</v>
      </c>
      <c r="BU205" s="81" t="s">
        <v>266</v>
      </c>
      <c r="BV205" s="8" t="s">
        <v>2415</v>
      </c>
      <c r="BW205" s="81" t="s">
        <v>492</v>
      </c>
      <c r="BX205" s="81" t="s">
        <v>337</v>
      </c>
      <c r="BY205" s="9">
        <v>43836</v>
      </c>
      <c r="BZ205" s="9">
        <v>46873</v>
      </c>
      <c r="CA205" s="8" t="s">
        <v>257</v>
      </c>
    </row>
    <row r="206" spans="1:79" ht="141.6" x14ac:dyDescent="0.25">
      <c r="A206" s="81" t="s">
        <v>2416</v>
      </c>
      <c r="B206" s="8"/>
      <c r="C206" s="81" t="s">
        <v>26</v>
      </c>
      <c r="D206" s="8" t="s">
        <v>7978</v>
      </c>
      <c r="E206" s="8"/>
      <c r="F206" s="9">
        <v>34552</v>
      </c>
      <c r="G206" s="8" t="s">
        <v>837</v>
      </c>
      <c r="H206" s="81" t="s">
        <v>250</v>
      </c>
      <c r="I206" s="81" t="s">
        <v>27</v>
      </c>
      <c r="J206" s="81" t="s">
        <v>270</v>
      </c>
      <c r="K206" s="81" t="s">
        <v>488</v>
      </c>
      <c r="L206" s="81" t="s">
        <v>102</v>
      </c>
      <c r="M206" s="81" t="s">
        <v>8527</v>
      </c>
      <c r="N206" s="81" t="s">
        <v>272</v>
      </c>
      <c r="O206" s="81" t="s">
        <v>29</v>
      </c>
      <c r="P206" s="9"/>
      <c r="Q206" s="8"/>
      <c r="R206" s="8"/>
      <c r="S206" s="8"/>
      <c r="T206" s="8"/>
      <c r="U206" s="8"/>
      <c r="V206" s="8"/>
      <c r="W206" s="8"/>
      <c r="X206" s="8" t="s">
        <v>2418</v>
      </c>
      <c r="Y206" s="81" t="s">
        <v>33</v>
      </c>
      <c r="Z206" s="8"/>
      <c r="AA206" s="81" t="s">
        <v>551</v>
      </c>
      <c r="AB206" s="8"/>
      <c r="AC206" s="8"/>
      <c r="AD206" s="81" t="s">
        <v>553</v>
      </c>
      <c r="AE206" s="81" t="s">
        <v>8194</v>
      </c>
      <c r="AF206" s="81" t="s">
        <v>492</v>
      </c>
      <c r="AG206" s="81" t="s">
        <v>553</v>
      </c>
      <c r="AH206" s="8"/>
      <c r="AI206" s="8"/>
      <c r="AJ206" s="8"/>
      <c r="AK206" s="8"/>
      <c r="AL206" s="8"/>
      <c r="AM206" s="81" t="s">
        <v>243</v>
      </c>
      <c r="AN206" s="8"/>
      <c r="AO206" s="8"/>
      <c r="AP206" s="8"/>
      <c r="AQ206" s="8"/>
      <c r="AR206" s="9">
        <v>41821</v>
      </c>
      <c r="AS206" s="8" t="s">
        <v>8520</v>
      </c>
      <c r="AT206" s="8" t="s">
        <v>348</v>
      </c>
      <c r="AU206" s="9"/>
      <c r="AV206" s="81" t="s">
        <v>322</v>
      </c>
      <c r="AW206" s="81" t="s">
        <v>492</v>
      </c>
      <c r="AX206" s="8" t="s">
        <v>2419</v>
      </c>
      <c r="AY206" s="8"/>
      <c r="AZ206" s="8" t="s">
        <v>8521</v>
      </c>
      <c r="BA206" s="81" t="s">
        <v>556</v>
      </c>
      <c r="BB206" s="8"/>
      <c r="BC206" s="8"/>
      <c r="BD206" s="8"/>
      <c r="BE206" s="81" t="s">
        <v>261</v>
      </c>
      <c r="BF206" s="8" t="s">
        <v>2420</v>
      </c>
      <c r="BG206" s="9">
        <v>52371</v>
      </c>
      <c r="BH206" s="81" t="s">
        <v>305</v>
      </c>
      <c r="BI206" s="81" t="s">
        <v>559</v>
      </c>
      <c r="BJ206" s="9">
        <v>40787</v>
      </c>
      <c r="BK206" s="9">
        <v>41821</v>
      </c>
      <c r="BL206" s="81" t="s">
        <v>2067</v>
      </c>
      <c r="BM206" s="8"/>
      <c r="BN206" s="8"/>
      <c r="BO206" s="8"/>
      <c r="BP206" s="8"/>
      <c r="BQ206" s="9"/>
      <c r="BR206" s="9"/>
      <c r="BS206" s="8"/>
      <c r="BT206" s="81" t="s">
        <v>2422</v>
      </c>
      <c r="BU206" s="81" t="s">
        <v>266</v>
      </c>
      <c r="BV206" s="8" t="s">
        <v>2423</v>
      </c>
      <c r="BW206" s="81" t="s">
        <v>492</v>
      </c>
      <c r="BX206" s="81" t="s">
        <v>1556</v>
      </c>
      <c r="BY206" s="9">
        <v>43836</v>
      </c>
      <c r="BZ206" s="9"/>
      <c r="CA206" s="8" t="s">
        <v>257</v>
      </c>
    </row>
    <row r="207" spans="1:79" ht="141.6" x14ac:dyDescent="0.25">
      <c r="A207" s="81" t="s">
        <v>2424</v>
      </c>
      <c r="B207" s="8"/>
      <c r="C207" s="81" t="s">
        <v>26</v>
      </c>
      <c r="D207" s="8" t="s">
        <v>7979</v>
      </c>
      <c r="E207" s="8"/>
      <c r="F207" s="9">
        <v>34405</v>
      </c>
      <c r="G207" s="8" t="s">
        <v>667</v>
      </c>
      <c r="H207" s="81" t="s">
        <v>250</v>
      </c>
      <c r="I207" s="81" t="s">
        <v>27</v>
      </c>
      <c r="J207" s="81" t="s">
        <v>270</v>
      </c>
      <c r="K207" s="81" t="s">
        <v>488</v>
      </c>
      <c r="L207" s="81" t="s">
        <v>102</v>
      </c>
      <c r="M207" s="81" t="s">
        <v>8528</v>
      </c>
      <c r="N207" s="81" t="s">
        <v>272</v>
      </c>
      <c r="O207" s="81" t="s">
        <v>29</v>
      </c>
      <c r="P207" s="9"/>
      <c r="Q207" s="8"/>
      <c r="R207" s="8"/>
      <c r="S207" s="8"/>
      <c r="T207" s="8"/>
      <c r="U207" s="8"/>
      <c r="V207" s="8"/>
      <c r="W207" s="8"/>
      <c r="X207" s="8" t="s">
        <v>2426</v>
      </c>
      <c r="Y207" s="81" t="s">
        <v>33</v>
      </c>
      <c r="Z207" s="8"/>
      <c r="AA207" s="81" t="s">
        <v>551</v>
      </c>
      <c r="AB207" s="8"/>
      <c r="AC207" s="8"/>
      <c r="AD207" s="81" t="s">
        <v>553</v>
      </c>
      <c r="AE207" s="81" t="s">
        <v>8194</v>
      </c>
      <c r="AF207" s="81" t="s">
        <v>492</v>
      </c>
      <c r="AG207" s="81" t="s">
        <v>553</v>
      </c>
      <c r="AH207" s="8"/>
      <c r="AI207" s="8"/>
      <c r="AJ207" s="8"/>
      <c r="AK207" s="8"/>
      <c r="AL207" s="8"/>
      <c r="AM207" s="81" t="s">
        <v>243</v>
      </c>
      <c r="AN207" s="8"/>
      <c r="AO207" s="8"/>
      <c r="AP207" s="8"/>
      <c r="AQ207" s="8"/>
      <c r="AR207" s="9">
        <v>41821</v>
      </c>
      <c r="AS207" s="8" t="s">
        <v>8520</v>
      </c>
      <c r="AT207" s="8" t="s">
        <v>348</v>
      </c>
      <c r="AU207" s="9"/>
      <c r="AV207" s="81" t="s">
        <v>322</v>
      </c>
      <c r="AW207" s="81" t="s">
        <v>492</v>
      </c>
      <c r="AX207" s="8" t="s">
        <v>2427</v>
      </c>
      <c r="AY207" s="8"/>
      <c r="AZ207" s="8" t="s">
        <v>8521</v>
      </c>
      <c r="BA207" s="81" t="s">
        <v>556</v>
      </c>
      <c r="BB207" s="8"/>
      <c r="BC207" s="8"/>
      <c r="BD207" s="8"/>
      <c r="BE207" s="81" t="s">
        <v>261</v>
      </c>
      <c r="BF207" s="8" t="s">
        <v>2428</v>
      </c>
      <c r="BG207" s="9">
        <v>51886</v>
      </c>
      <c r="BH207" s="81" t="s">
        <v>305</v>
      </c>
      <c r="BI207" s="81" t="s">
        <v>559</v>
      </c>
      <c r="BJ207" s="9">
        <v>40725</v>
      </c>
      <c r="BK207" s="9">
        <v>41821</v>
      </c>
      <c r="BL207" s="81" t="s">
        <v>2067</v>
      </c>
      <c r="BM207" s="8"/>
      <c r="BN207" s="8"/>
      <c r="BO207" s="8"/>
      <c r="BP207" s="8"/>
      <c r="BQ207" s="9"/>
      <c r="BR207" s="9"/>
      <c r="BS207" s="8"/>
      <c r="BT207" s="8"/>
      <c r="BU207" s="8"/>
      <c r="BV207" s="8"/>
      <c r="BW207" s="81" t="s">
        <v>492</v>
      </c>
      <c r="BX207" s="81" t="s">
        <v>1556</v>
      </c>
      <c r="BY207" s="9">
        <v>43836</v>
      </c>
      <c r="BZ207" s="9"/>
      <c r="CA207" s="8" t="s">
        <v>245</v>
      </c>
    </row>
    <row r="208" spans="1:79" ht="157.19999999999999" x14ac:dyDescent="0.25">
      <c r="A208" s="81" t="s">
        <v>2431</v>
      </c>
      <c r="B208" s="8"/>
      <c r="C208" s="81" t="s">
        <v>26</v>
      </c>
      <c r="D208" s="8" t="s">
        <v>7980</v>
      </c>
      <c r="E208" s="8"/>
      <c r="F208" s="9">
        <v>33409</v>
      </c>
      <c r="G208" s="8" t="s">
        <v>1392</v>
      </c>
      <c r="H208" s="81" t="s">
        <v>250</v>
      </c>
      <c r="I208" s="81" t="s">
        <v>435</v>
      </c>
      <c r="J208" s="81" t="s">
        <v>270</v>
      </c>
      <c r="K208" s="81" t="s">
        <v>608</v>
      </c>
      <c r="L208" s="81" t="s">
        <v>102</v>
      </c>
      <c r="M208" s="81" t="s">
        <v>8529</v>
      </c>
      <c r="N208" s="81" t="s">
        <v>119</v>
      </c>
      <c r="O208" s="81" t="s">
        <v>29</v>
      </c>
      <c r="P208" s="9"/>
      <c r="Q208" s="8"/>
      <c r="R208" s="8"/>
      <c r="S208" s="8"/>
      <c r="T208" s="81" t="s">
        <v>8247</v>
      </c>
      <c r="U208" s="81" t="s">
        <v>1654</v>
      </c>
      <c r="V208" s="8"/>
      <c r="W208" s="8"/>
      <c r="X208" s="8" t="s">
        <v>2433</v>
      </c>
      <c r="Y208" s="81" t="s">
        <v>33</v>
      </c>
      <c r="Z208" s="8"/>
      <c r="AA208" s="81" t="s">
        <v>2434</v>
      </c>
      <c r="AB208" s="8"/>
      <c r="AC208" s="8"/>
      <c r="AD208" s="81" t="s">
        <v>491</v>
      </c>
      <c r="AE208" s="81" t="s">
        <v>8152</v>
      </c>
      <c r="AF208" s="81" t="s">
        <v>492</v>
      </c>
      <c r="AG208" s="81" t="s">
        <v>491</v>
      </c>
      <c r="AH208" s="8"/>
      <c r="AI208" s="8"/>
      <c r="AJ208" s="8"/>
      <c r="AK208" s="8"/>
      <c r="AL208" s="8"/>
      <c r="AM208" s="81" t="s">
        <v>243</v>
      </c>
      <c r="AN208" s="8"/>
      <c r="AO208" s="8"/>
      <c r="AP208" s="8"/>
      <c r="AQ208" s="8"/>
      <c r="AR208" s="9">
        <v>41821</v>
      </c>
      <c r="AS208" s="8" t="s">
        <v>8520</v>
      </c>
      <c r="AT208" s="8" t="s">
        <v>348</v>
      </c>
      <c r="AU208" s="9"/>
      <c r="AV208" s="81" t="s">
        <v>322</v>
      </c>
      <c r="AW208" s="81" t="s">
        <v>492</v>
      </c>
      <c r="AX208" s="8" t="s">
        <v>2435</v>
      </c>
      <c r="AY208" s="8"/>
      <c r="AZ208" s="8" t="s">
        <v>8521</v>
      </c>
      <c r="BA208" s="81" t="s">
        <v>676</v>
      </c>
      <c r="BB208" s="8"/>
      <c r="BC208" s="8"/>
      <c r="BD208" s="8"/>
      <c r="BE208" s="81" t="s">
        <v>261</v>
      </c>
      <c r="BF208" s="8" t="s">
        <v>2436</v>
      </c>
      <c r="BG208" s="9">
        <v>51855</v>
      </c>
      <c r="BH208" s="81" t="s">
        <v>81</v>
      </c>
      <c r="BI208" s="81" t="s">
        <v>1032</v>
      </c>
      <c r="BJ208" s="9">
        <v>40422</v>
      </c>
      <c r="BK208" s="9">
        <v>41821</v>
      </c>
      <c r="BL208" s="81" t="s">
        <v>662</v>
      </c>
      <c r="BM208" s="81" t="s">
        <v>82</v>
      </c>
      <c r="BN208" s="8"/>
      <c r="BO208" s="8"/>
      <c r="BP208" s="8"/>
      <c r="BQ208" s="9"/>
      <c r="BR208" s="9"/>
      <c r="BS208" s="8"/>
      <c r="BT208" s="81" t="s">
        <v>2438</v>
      </c>
      <c r="BU208" s="81" t="s">
        <v>266</v>
      </c>
      <c r="BV208" s="8" t="s">
        <v>2439</v>
      </c>
      <c r="BW208" s="81" t="s">
        <v>492</v>
      </c>
      <c r="BX208" s="81" t="s">
        <v>337</v>
      </c>
      <c r="BY208" s="9">
        <v>43836</v>
      </c>
      <c r="BZ208" s="9">
        <v>46873</v>
      </c>
      <c r="CA208" s="8" t="s">
        <v>257</v>
      </c>
    </row>
    <row r="209" spans="1:79" ht="157.19999999999999" x14ac:dyDescent="0.25">
      <c r="A209" s="81" t="s">
        <v>2440</v>
      </c>
      <c r="B209" s="8"/>
      <c r="C209" s="81" t="s">
        <v>26</v>
      </c>
      <c r="D209" s="8" t="s">
        <v>7981</v>
      </c>
      <c r="E209" s="8"/>
      <c r="F209" s="9">
        <v>33920</v>
      </c>
      <c r="G209" s="8" t="s">
        <v>1689</v>
      </c>
      <c r="H209" s="81" t="s">
        <v>250</v>
      </c>
      <c r="I209" s="81" t="s">
        <v>27</v>
      </c>
      <c r="J209" s="81" t="s">
        <v>474</v>
      </c>
      <c r="K209" s="81" t="s">
        <v>808</v>
      </c>
      <c r="L209" s="81" t="s">
        <v>102</v>
      </c>
      <c r="M209" s="81" t="s">
        <v>8530</v>
      </c>
      <c r="N209" s="81" t="s">
        <v>119</v>
      </c>
      <c r="O209" s="81" t="s">
        <v>29</v>
      </c>
      <c r="P209" s="9"/>
      <c r="Q209" s="8"/>
      <c r="R209" s="8"/>
      <c r="S209" s="8"/>
      <c r="T209" s="8"/>
      <c r="U209" s="8"/>
      <c r="V209" s="8"/>
      <c r="W209" s="8"/>
      <c r="X209" s="8" t="s">
        <v>2441</v>
      </c>
      <c r="Y209" s="81" t="s">
        <v>33</v>
      </c>
      <c r="Z209" s="8"/>
      <c r="AA209" s="81" t="s">
        <v>565</v>
      </c>
      <c r="AB209" s="8"/>
      <c r="AC209" s="8"/>
      <c r="AD209" s="81" t="s">
        <v>566</v>
      </c>
      <c r="AE209" s="81" t="s">
        <v>8162</v>
      </c>
      <c r="AF209" s="81" t="s">
        <v>256</v>
      </c>
      <c r="AG209" s="81" t="s">
        <v>566</v>
      </c>
      <c r="AH209" s="8"/>
      <c r="AI209" s="8"/>
      <c r="AJ209" s="8"/>
      <c r="AK209" s="8"/>
      <c r="AL209" s="8"/>
      <c r="AM209" s="81" t="s">
        <v>243</v>
      </c>
      <c r="AN209" s="8"/>
      <c r="AO209" s="8"/>
      <c r="AP209" s="8"/>
      <c r="AQ209" s="8"/>
      <c r="AR209" s="9">
        <v>41821</v>
      </c>
      <c r="AS209" s="8" t="s">
        <v>8520</v>
      </c>
      <c r="AT209" s="8" t="s">
        <v>348</v>
      </c>
      <c r="AU209" s="9"/>
      <c r="AV209" s="81" t="s">
        <v>322</v>
      </c>
      <c r="AW209" s="81" t="s">
        <v>256</v>
      </c>
      <c r="AX209" s="8" t="s">
        <v>2442</v>
      </c>
      <c r="AY209" s="8"/>
      <c r="AZ209" s="8" t="s">
        <v>8521</v>
      </c>
      <c r="BA209" s="81" t="s">
        <v>556</v>
      </c>
      <c r="BB209" s="8"/>
      <c r="BC209" s="8"/>
      <c r="BD209" s="8"/>
      <c r="BE209" s="81" t="s">
        <v>261</v>
      </c>
      <c r="BF209" s="8" t="s">
        <v>2443</v>
      </c>
      <c r="BG209" s="9">
        <v>51006</v>
      </c>
      <c r="BH209" s="81" t="s">
        <v>305</v>
      </c>
      <c r="BI209" s="81" t="s">
        <v>559</v>
      </c>
      <c r="BJ209" s="9">
        <v>40787</v>
      </c>
      <c r="BK209" s="9">
        <v>41821</v>
      </c>
      <c r="BL209" s="81" t="s">
        <v>945</v>
      </c>
      <c r="BM209" s="8"/>
      <c r="BN209" s="8"/>
      <c r="BO209" s="8"/>
      <c r="BP209" s="8"/>
      <c r="BQ209" s="9"/>
      <c r="BR209" s="9"/>
      <c r="BS209" s="8"/>
      <c r="BT209" s="81" t="s">
        <v>2445</v>
      </c>
      <c r="BU209" s="81" t="s">
        <v>266</v>
      </c>
      <c r="BV209" s="8" t="s">
        <v>2446</v>
      </c>
      <c r="BW209" s="81" t="s">
        <v>256</v>
      </c>
      <c r="BX209" s="81" t="s">
        <v>1556</v>
      </c>
      <c r="BY209" s="9">
        <v>43836</v>
      </c>
      <c r="BZ209" s="9"/>
      <c r="CA209" s="8" t="s">
        <v>245</v>
      </c>
    </row>
    <row r="210" spans="1:79" ht="189" x14ac:dyDescent="0.25">
      <c r="A210" s="81" t="s">
        <v>2447</v>
      </c>
      <c r="B210" s="8"/>
      <c r="C210" s="81" t="s">
        <v>352</v>
      </c>
      <c r="D210" s="8" t="s">
        <v>7982</v>
      </c>
      <c r="E210" s="8"/>
      <c r="F210" s="9">
        <v>33356</v>
      </c>
      <c r="G210" s="8" t="s">
        <v>1392</v>
      </c>
      <c r="H210" s="81" t="s">
        <v>250</v>
      </c>
      <c r="I210" s="81" t="s">
        <v>435</v>
      </c>
      <c r="J210" s="81" t="s">
        <v>270</v>
      </c>
      <c r="K210" s="81" t="s">
        <v>608</v>
      </c>
      <c r="L210" s="81" t="s">
        <v>102</v>
      </c>
      <c r="M210" s="81" t="s">
        <v>2448</v>
      </c>
      <c r="N210" s="81" t="s">
        <v>272</v>
      </c>
      <c r="O210" s="81" t="s">
        <v>1349</v>
      </c>
      <c r="P210" s="9"/>
      <c r="Q210" s="8"/>
      <c r="R210" s="8"/>
      <c r="S210" s="8"/>
      <c r="T210" s="8"/>
      <c r="U210" s="8"/>
      <c r="V210" s="8"/>
      <c r="W210" s="8"/>
      <c r="X210" s="8" t="s">
        <v>2449</v>
      </c>
      <c r="Y210" s="81" t="s">
        <v>33</v>
      </c>
      <c r="Z210" s="8"/>
      <c r="AA210" s="81" t="s">
        <v>2450</v>
      </c>
      <c r="AB210" s="8"/>
      <c r="AC210" s="8"/>
      <c r="AD210" s="81" t="s">
        <v>878</v>
      </c>
      <c r="AE210" s="81" t="s">
        <v>8228</v>
      </c>
      <c r="AF210" s="81" t="s">
        <v>242</v>
      </c>
      <c r="AG210" s="81" t="s">
        <v>459</v>
      </c>
      <c r="AH210" s="81" t="s">
        <v>878</v>
      </c>
      <c r="AI210" s="8"/>
      <c r="AJ210" s="8"/>
      <c r="AK210" s="8"/>
      <c r="AL210" s="8"/>
      <c r="AM210" s="81" t="s">
        <v>243</v>
      </c>
      <c r="AN210" s="8"/>
      <c r="AO210" s="8"/>
      <c r="AP210" s="8"/>
      <c r="AQ210" s="8"/>
      <c r="AR210" s="9">
        <v>41821</v>
      </c>
      <c r="AS210" s="8" t="s">
        <v>8520</v>
      </c>
      <c r="AT210" s="8" t="s">
        <v>348</v>
      </c>
      <c r="AU210" s="9"/>
      <c r="AV210" s="81" t="s">
        <v>322</v>
      </c>
      <c r="AW210" s="81" t="s">
        <v>242</v>
      </c>
      <c r="AX210" s="8" t="s">
        <v>2451</v>
      </c>
      <c r="AY210" s="8"/>
      <c r="AZ210" s="8" t="s">
        <v>8521</v>
      </c>
      <c r="BA210" s="81" t="s">
        <v>676</v>
      </c>
      <c r="BB210" s="8"/>
      <c r="BC210" s="8"/>
      <c r="BD210" s="8"/>
      <c r="BE210" s="81" t="s">
        <v>261</v>
      </c>
      <c r="BF210" s="8" t="s">
        <v>2452</v>
      </c>
      <c r="BG210" s="9">
        <v>50514</v>
      </c>
      <c r="BH210" s="81" t="s">
        <v>81</v>
      </c>
      <c r="BI210" s="81" t="s">
        <v>2454</v>
      </c>
      <c r="BJ210" s="9">
        <v>43344</v>
      </c>
      <c r="BK210" s="9">
        <v>44195</v>
      </c>
      <c r="BL210" s="81" t="s">
        <v>1595</v>
      </c>
      <c r="BM210" s="8"/>
      <c r="BN210" s="8"/>
      <c r="BO210" s="8"/>
      <c r="BP210" s="8"/>
      <c r="BQ210" s="9"/>
      <c r="BR210" s="9"/>
      <c r="BS210" s="8"/>
      <c r="BT210" s="81" t="s">
        <v>2456</v>
      </c>
      <c r="BU210" s="81" t="s">
        <v>266</v>
      </c>
      <c r="BV210" s="8" t="s">
        <v>2457</v>
      </c>
      <c r="BW210" s="81" t="s">
        <v>242</v>
      </c>
      <c r="BX210" s="81" t="s">
        <v>1556</v>
      </c>
      <c r="BY210" s="9">
        <v>41821</v>
      </c>
      <c r="BZ210" s="9"/>
      <c r="CA210" s="8" t="s">
        <v>63</v>
      </c>
    </row>
    <row r="211" spans="1:79" ht="205.2" x14ac:dyDescent="0.25">
      <c r="A211" s="81" t="s">
        <v>2458</v>
      </c>
      <c r="B211" s="8"/>
      <c r="C211" s="81" t="s">
        <v>26</v>
      </c>
      <c r="D211" s="8" t="s">
        <v>7983</v>
      </c>
      <c r="E211" s="8"/>
      <c r="F211" s="9">
        <v>33575</v>
      </c>
      <c r="G211" s="8" t="s">
        <v>1392</v>
      </c>
      <c r="H211" s="81" t="s">
        <v>250</v>
      </c>
      <c r="I211" s="81" t="s">
        <v>27</v>
      </c>
      <c r="J211" s="81" t="s">
        <v>270</v>
      </c>
      <c r="K211" s="81" t="s">
        <v>488</v>
      </c>
      <c r="L211" s="81" t="s">
        <v>102</v>
      </c>
      <c r="M211" s="81" t="s">
        <v>8531</v>
      </c>
      <c r="N211" s="81" t="s">
        <v>119</v>
      </c>
      <c r="O211" s="81" t="s">
        <v>253</v>
      </c>
      <c r="P211" s="9"/>
      <c r="Q211" s="8"/>
      <c r="R211" s="8"/>
      <c r="S211" s="8"/>
      <c r="T211" s="8"/>
      <c r="U211" s="8"/>
      <c r="V211" s="8"/>
      <c r="W211" s="8"/>
      <c r="X211" s="8" t="s">
        <v>2460</v>
      </c>
      <c r="Y211" s="81" t="s">
        <v>33</v>
      </c>
      <c r="Z211" s="8"/>
      <c r="AA211" s="81" t="s">
        <v>574</v>
      </c>
      <c r="AB211" s="8"/>
      <c r="AC211" s="8"/>
      <c r="AD211" s="81" t="s">
        <v>344</v>
      </c>
      <c r="AE211" s="81" t="s">
        <v>8129</v>
      </c>
      <c r="AF211" s="81" t="s">
        <v>242</v>
      </c>
      <c r="AG211" s="81" t="s">
        <v>345</v>
      </c>
      <c r="AH211" s="81" t="s">
        <v>346</v>
      </c>
      <c r="AI211" s="81" t="s">
        <v>344</v>
      </c>
      <c r="AJ211" s="8"/>
      <c r="AK211" s="8"/>
      <c r="AL211" s="8"/>
      <c r="AM211" s="81" t="s">
        <v>243</v>
      </c>
      <c r="AN211" s="8"/>
      <c r="AO211" s="8"/>
      <c r="AP211" s="8"/>
      <c r="AQ211" s="8"/>
      <c r="AR211" s="9">
        <v>41814</v>
      </c>
      <c r="AS211" s="8" t="s">
        <v>8520</v>
      </c>
      <c r="AT211" s="8" t="s">
        <v>348</v>
      </c>
      <c r="AU211" s="9"/>
      <c r="AV211" s="81" t="s">
        <v>322</v>
      </c>
      <c r="AW211" s="81" t="s">
        <v>242</v>
      </c>
      <c r="AX211" s="8" t="s">
        <v>2461</v>
      </c>
      <c r="AY211" s="8"/>
      <c r="AZ211" s="8" t="s">
        <v>8521</v>
      </c>
      <c r="BA211" s="81" t="s">
        <v>556</v>
      </c>
      <c r="BB211" s="8"/>
      <c r="BC211" s="8"/>
      <c r="BD211" s="8"/>
      <c r="BE211" s="81" t="s">
        <v>261</v>
      </c>
      <c r="BF211" s="8" t="s">
        <v>2462</v>
      </c>
      <c r="BG211" s="9">
        <v>51156</v>
      </c>
      <c r="BH211" s="81" t="s">
        <v>305</v>
      </c>
      <c r="BI211" s="81" t="s">
        <v>1410</v>
      </c>
      <c r="BJ211" s="9">
        <v>40787</v>
      </c>
      <c r="BK211" s="9">
        <v>41814</v>
      </c>
      <c r="BL211" s="81" t="s">
        <v>1835</v>
      </c>
      <c r="BM211" s="8"/>
      <c r="BN211" s="8"/>
      <c r="BO211" s="8"/>
      <c r="BP211" s="8"/>
      <c r="BQ211" s="9"/>
      <c r="BR211" s="9"/>
      <c r="BS211" s="8"/>
      <c r="BT211" s="81" t="s">
        <v>2464</v>
      </c>
      <c r="BU211" s="81" t="s">
        <v>266</v>
      </c>
      <c r="BV211" s="8" t="s">
        <v>2465</v>
      </c>
      <c r="BW211" s="81" t="s">
        <v>242</v>
      </c>
      <c r="BX211" s="81" t="s">
        <v>337</v>
      </c>
      <c r="BY211" s="9">
        <v>45870</v>
      </c>
      <c r="BZ211" s="9">
        <v>46873</v>
      </c>
      <c r="CA211" s="8" t="s">
        <v>245</v>
      </c>
    </row>
    <row r="212" spans="1:79" ht="189" x14ac:dyDescent="0.25">
      <c r="A212" s="81" t="s">
        <v>2466</v>
      </c>
      <c r="B212" s="8"/>
      <c r="C212" s="81" t="s">
        <v>352</v>
      </c>
      <c r="D212" s="8" t="s">
        <v>7984</v>
      </c>
      <c r="E212" s="8" t="s">
        <v>2467</v>
      </c>
      <c r="F212" s="9">
        <v>32846</v>
      </c>
      <c r="G212" s="8" t="s">
        <v>1348</v>
      </c>
      <c r="H212" s="81" t="s">
        <v>250</v>
      </c>
      <c r="I212" s="81" t="s">
        <v>27</v>
      </c>
      <c r="J212" s="81" t="s">
        <v>293</v>
      </c>
      <c r="K212" s="81" t="s">
        <v>294</v>
      </c>
      <c r="L212" s="81" t="s">
        <v>102</v>
      </c>
      <c r="M212" s="81" t="s">
        <v>8532</v>
      </c>
      <c r="N212" s="81" t="s">
        <v>28</v>
      </c>
      <c r="O212" s="81" t="s">
        <v>29</v>
      </c>
      <c r="P212" s="9"/>
      <c r="Q212" s="8"/>
      <c r="R212" s="8"/>
      <c r="S212" s="8"/>
      <c r="T212" s="8"/>
      <c r="U212" s="8"/>
      <c r="V212" s="81" t="s">
        <v>8141</v>
      </c>
      <c r="W212" s="81" t="s">
        <v>1665</v>
      </c>
      <c r="X212" s="8" t="s">
        <v>2468</v>
      </c>
      <c r="Y212" s="81" t="s">
        <v>33</v>
      </c>
      <c r="Z212" s="8"/>
      <c r="AA212" s="81" t="s">
        <v>904</v>
      </c>
      <c r="AB212" s="8"/>
      <c r="AC212" s="8"/>
      <c r="AD212" s="81" t="s">
        <v>878</v>
      </c>
      <c r="AE212" s="81" t="s">
        <v>8228</v>
      </c>
      <c r="AF212" s="81" t="s">
        <v>242</v>
      </c>
      <c r="AG212" s="81" t="s">
        <v>459</v>
      </c>
      <c r="AH212" s="81" t="s">
        <v>878</v>
      </c>
      <c r="AI212" s="8"/>
      <c r="AJ212" s="8"/>
      <c r="AK212" s="8"/>
      <c r="AL212" s="8"/>
      <c r="AM212" s="81" t="s">
        <v>243</v>
      </c>
      <c r="AN212" s="8"/>
      <c r="AO212" s="8"/>
      <c r="AP212" s="8"/>
      <c r="AQ212" s="8"/>
      <c r="AR212" s="9">
        <v>41806</v>
      </c>
      <c r="AS212" s="8" t="s">
        <v>8520</v>
      </c>
      <c r="AT212" s="8" t="s">
        <v>348</v>
      </c>
      <c r="AU212" s="9"/>
      <c r="AV212" s="81" t="s">
        <v>322</v>
      </c>
      <c r="AW212" s="81" t="s">
        <v>242</v>
      </c>
      <c r="AX212" s="8" t="s">
        <v>2470</v>
      </c>
      <c r="AY212" s="8"/>
      <c r="AZ212" s="8" t="s">
        <v>8230</v>
      </c>
      <c r="BA212" s="81" t="s">
        <v>361</v>
      </c>
      <c r="BB212" s="8"/>
      <c r="BC212" s="8"/>
      <c r="BD212" s="8"/>
      <c r="BE212" s="81" t="s">
        <v>261</v>
      </c>
      <c r="BF212" s="8" t="s">
        <v>2471</v>
      </c>
      <c r="BG212" s="9">
        <v>49787</v>
      </c>
      <c r="BH212" s="81" t="s">
        <v>81</v>
      </c>
      <c r="BI212" s="81" t="s">
        <v>1916</v>
      </c>
      <c r="BJ212" s="9">
        <v>40544</v>
      </c>
      <c r="BK212" s="9">
        <v>41974</v>
      </c>
      <c r="BL212" s="81" t="s">
        <v>1350</v>
      </c>
      <c r="BM212" s="8"/>
      <c r="BN212" s="8"/>
      <c r="BO212" s="8"/>
      <c r="BP212" s="8"/>
      <c r="BQ212" s="9"/>
      <c r="BR212" s="9"/>
      <c r="BS212" s="8"/>
      <c r="BT212" s="81" t="s">
        <v>2475</v>
      </c>
      <c r="BU212" s="81" t="s">
        <v>266</v>
      </c>
      <c r="BV212" s="8" t="s">
        <v>2476</v>
      </c>
      <c r="BW212" s="81" t="s">
        <v>242</v>
      </c>
      <c r="BX212" s="81" t="s">
        <v>1556</v>
      </c>
      <c r="BY212" s="9">
        <v>41806</v>
      </c>
      <c r="BZ212" s="9"/>
      <c r="CA212" s="8" t="s">
        <v>63</v>
      </c>
    </row>
    <row r="213" spans="1:79" ht="141.6" x14ac:dyDescent="0.25">
      <c r="A213" s="81" t="s">
        <v>2477</v>
      </c>
      <c r="B213" s="8"/>
      <c r="C213" s="81" t="s">
        <v>352</v>
      </c>
      <c r="D213" s="8" t="s">
        <v>7985</v>
      </c>
      <c r="E213" s="8" t="s">
        <v>2478</v>
      </c>
      <c r="F213" s="9">
        <v>33167</v>
      </c>
      <c r="G213" s="8" t="s">
        <v>292</v>
      </c>
      <c r="H213" s="81" t="s">
        <v>250</v>
      </c>
      <c r="I213" s="81" t="s">
        <v>27</v>
      </c>
      <c r="J213" s="81" t="s">
        <v>474</v>
      </c>
      <c r="K213" s="81" t="s">
        <v>1458</v>
      </c>
      <c r="L213" s="81" t="s">
        <v>102</v>
      </c>
      <c r="M213" s="81" t="s">
        <v>2479</v>
      </c>
      <c r="N213" s="81" t="s">
        <v>119</v>
      </c>
      <c r="O213" s="81" t="s">
        <v>29</v>
      </c>
      <c r="P213" s="9"/>
      <c r="Q213" s="8"/>
      <c r="R213" s="8"/>
      <c r="S213" s="8"/>
      <c r="T213" s="81" t="s">
        <v>8145</v>
      </c>
      <c r="U213" s="81" t="s">
        <v>8347</v>
      </c>
      <c r="V213" s="8"/>
      <c r="W213" s="8"/>
      <c r="X213" s="8" t="s">
        <v>2480</v>
      </c>
      <c r="Y213" s="81" t="s">
        <v>33</v>
      </c>
      <c r="Z213" s="8"/>
      <c r="AA213" s="81" t="s">
        <v>506</v>
      </c>
      <c r="AB213" s="8"/>
      <c r="AC213" s="8"/>
      <c r="AD213" s="81" t="s">
        <v>255</v>
      </c>
      <c r="AE213" s="81" t="s">
        <v>8117</v>
      </c>
      <c r="AF213" s="81" t="s">
        <v>256</v>
      </c>
      <c r="AG213" s="81" t="s">
        <v>255</v>
      </c>
      <c r="AH213" s="8"/>
      <c r="AI213" s="8"/>
      <c r="AJ213" s="8"/>
      <c r="AK213" s="8"/>
      <c r="AL213" s="8"/>
      <c r="AM213" s="81" t="s">
        <v>243</v>
      </c>
      <c r="AN213" s="8"/>
      <c r="AO213" s="8"/>
      <c r="AP213" s="8"/>
      <c r="AQ213" s="8"/>
      <c r="AR213" s="9">
        <v>41806</v>
      </c>
      <c r="AS213" s="8" t="s">
        <v>8520</v>
      </c>
      <c r="AT213" s="8" t="s">
        <v>348</v>
      </c>
      <c r="AU213" s="9"/>
      <c r="AV213" s="81" t="s">
        <v>322</v>
      </c>
      <c r="AW213" s="81" t="s">
        <v>256</v>
      </c>
      <c r="AX213" s="8" t="s">
        <v>2481</v>
      </c>
      <c r="AY213" s="8"/>
      <c r="AZ213" s="8" t="s">
        <v>8250</v>
      </c>
      <c r="BA213" s="81" t="s">
        <v>399</v>
      </c>
      <c r="BB213" s="8"/>
      <c r="BC213" s="8"/>
      <c r="BD213" s="8"/>
      <c r="BE213" s="81" t="s">
        <v>261</v>
      </c>
      <c r="BF213" s="8" t="s">
        <v>2482</v>
      </c>
      <c r="BG213" s="9">
        <v>52335</v>
      </c>
      <c r="BH213" s="81" t="s">
        <v>81</v>
      </c>
      <c r="BI213" s="81" t="s">
        <v>1032</v>
      </c>
      <c r="BJ213" s="9">
        <v>40057</v>
      </c>
      <c r="BK213" s="9">
        <v>41456</v>
      </c>
      <c r="BL213" s="81" t="s">
        <v>786</v>
      </c>
      <c r="BM213" s="81" t="s">
        <v>82</v>
      </c>
      <c r="BN213" s="8"/>
      <c r="BO213" s="8"/>
      <c r="BP213" s="8"/>
      <c r="BQ213" s="9"/>
      <c r="BR213" s="9"/>
      <c r="BS213" s="8"/>
      <c r="BT213" s="81" t="s">
        <v>2484</v>
      </c>
      <c r="BU213" s="81" t="s">
        <v>266</v>
      </c>
      <c r="BV213" s="8" t="s">
        <v>2485</v>
      </c>
      <c r="BW213" s="81" t="s">
        <v>256</v>
      </c>
      <c r="BX213" s="81" t="s">
        <v>1556</v>
      </c>
      <c r="BY213" s="9">
        <v>45663</v>
      </c>
      <c r="BZ213" s="9"/>
      <c r="CA213" s="8" t="s">
        <v>257</v>
      </c>
    </row>
    <row r="214" spans="1:79" ht="157.19999999999999" x14ac:dyDescent="0.25">
      <c r="A214" s="81" t="s">
        <v>2486</v>
      </c>
      <c r="B214" s="8"/>
      <c r="C214" s="81" t="s">
        <v>26</v>
      </c>
      <c r="D214" s="8" t="s">
        <v>7986</v>
      </c>
      <c r="E214" s="8"/>
      <c r="F214" s="9">
        <v>31522</v>
      </c>
      <c r="G214" s="8" t="s">
        <v>2135</v>
      </c>
      <c r="H214" s="81" t="s">
        <v>250</v>
      </c>
      <c r="I214" s="81" t="s">
        <v>27</v>
      </c>
      <c r="J214" s="81" t="s">
        <v>252</v>
      </c>
      <c r="K214" s="81" t="s">
        <v>455</v>
      </c>
      <c r="L214" s="81" t="s">
        <v>102</v>
      </c>
      <c r="M214" s="81" t="s">
        <v>8533</v>
      </c>
      <c r="N214" s="81" t="s">
        <v>119</v>
      </c>
      <c r="O214" s="81" t="s">
        <v>29</v>
      </c>
      <c r="P214" s="9"/>
      <c r="Q214" s="8"/>
      <c r="R214" s="8"/>
      <c r="S214" s="8"/>
      <c r="T214" s="81" t="s">
        <v>8247</v>
      </c>
      <c r="U214" s="81" t="s">
        <v>1654</v>
      </c>
      <c r="V214" s="8"/>
      <c r="W214" s="8"/>
      <c r="X214" s="8" t="s">
        <v>2488</v>
      </c>
      <c r="Y214" s="81" t="s">
        <v>33</v>
      </c>
      <c r="Z214" s="8"/>
      <c r="AA214" s="81" t="s">
        <v>2489</v>
      </c>
      <c r="AB214" s="8"/>
      <c r="AC214" s="8"/>
      <c r="AD214" s="81" t="s">
        <v>635</v>
      </c>
      <c r="AE214" s="81" t="s">
        <v>8174</v>
      </c>
      <c r="AF214" s="81" t="s">
        <v>256</v>
      </c>
      <c r="AG214" s="81" t="s">
        <v>635</v>
      </c>
      <c r="AH214" s="8"/>
      <c r="AI214" s="8"/>
      <c r="AJ214" s="8"/>
      <c r="AK214" s="8"/>
      <c r="AL214" s="8"/>
      <c r="AM214" s="81" t="s">
        <v>243</v>
      </c>
      <c r="AN214" s="8"/>
      <c r="AO214" s="8"/>
      <c r="AP214" s="8"/>
      <c r="AQ214" s="8"/>
      <c r="AR214" s="9">
        <v>41772</v>
      </c>
      <c r="AS214" s="8" t="s">
        <v>8534</v>
      </c>
      <c r="AT214" s="8" t="s">
        <v>348</v>
      </c>
      <c r="AU214" s="9"/>
      <c r="AV214" s="81" t="s">
        <v>322</v>
      </c>
      <c r="AW214" s="81" t="s">
        <v>256</v>
      </c>
      <c r="AX214" s="8" t="s">
        <v>2490</v>
      </c>
      <c r="AY214" s="8"/>
      <c r="AZ214" s="8" t="s">
        <v>8441</v>
      </c>
      <c r="BA214" s="81" t="s">
        <v>676</v>
      </c>
      <c r="BB214" s="8"/>
      <c r="BC214" s="8"/>
      <c r="BD214" s="8"/>
      <c r="BE214" s="81" t="s">
        <v>261</v>
      </c>
      <c r="BF214" s="8" t="s">
        <v>2491</v>
      </c>
      <c r="BG214" s="9">
        <v>51904</v>
      </c>
      <c r="BH214" s="81" t="s">
        <v>81</v>
      </c>
      <c r="BI214" s="81" t="s">
        <v>2493</v>
      </c>
      <c r="BJ214" s="9">
        <v>38596</v>
      </c>
      <c r="BK214" s="9">
        <v>39995</v>
      </c>
      <c r="BL214" s="81" t="s">
        <v>405</v>
      </c>
      <c r="BM214" s="81" t="s">
        <v>82</v>
      </c>
      <c r="BN214" s="8"/>
      <c r="BO214" s="8"/>
      <c r="BP214" s="8"/>
      <c r="BQ214" s="9"/>
      <c r="BR214" s="9"/>
      <c r="BS214" s="8"/>
      <c r="BT214" s="81" t="s">
        <v>2494</v>
      </c>
      <c r="BU214" s="81" t="s">
        <v>118</v>
      </c>
      <c r="BV214" s="8" t="s">
        <v>2495</v>
      </c>
      <c r="BW214" s="81" t="s">
        <v>256</v>
      </c>
      <c r="BX214" s="81" t="s">
        <v>1556</v>
      </c>
      <c r="BY214" s="9">
        <v>43836</v>
      </c>
      <c r="BZ214" s="9"/>
      <c r="CA214" s="8" t="s">
        <v>245</v>
      </c>
    </row>
    <row r="215" spans="1:79" ht="141.6" x14ac:dyDescent="0.25">
      <c r="A215" s="81" t="s">
        <v>2496</v>
      </c>
      <c r="B215" s="8"/>
      <c r="C215" s="81" t="s">
        <v>26</v>
      </c>
      <c r="D215" s="8" t="s">
        <v>7987</v>
      </c>
      <c r="E215" s="8" t="s">
        <v>2497</v>
      </c>
      <c r="F215" s="9">
        <v>32051</v>
      </c>
      <c r="G215" s="8" t="s">
        <v>434</v>
      </c>
      <c r="H215" s="81" t="s">
        <v>250</v>
      </c>
      <c r="I215" s="81" t="s">
        <v>27</v>
      </c>
      <c r="J215" s="81" t="s">
        <v>474</v>
      </c>
      <c r="K215" s="81" t="s">
        <v>353</v>
      </c>
      <c r="L215" s="81" t="s">
        <v>102</v>
      </c>
      <c r="M215" s="81" t="s">
        <v>8535</v>
      </c>
      <c r="N215" s="81" t="s">
        <v>119</v>
      </c>
      <c r="O215" s="81" t="s">
        <v>29</v>
      </c>
      <c r="P215" s="9"/>
      <c r="Q215" s="8"/>
      <c r="R215" s="8"/>
      <c r="S215" s="8"/>
      <c r="T215" s="81" t="s">
        <v>8145</v>
      </c>
      <c r="U215" s="81" t="s">
        <v>8188</v>
      </c>
      <c r="V215" s="8"/>
      <c r="W215" s="8"/>
      <c r="X215" s="8" t="s">
        <v>2498</v>
      </c>
      <c r="Y215" s="81" t="s">
        <v>33</v>
      </c>
      <c r="Z215" s="8"/>
      <c r="AA215" s="81" t="s">
        <v>240</v>
      </c>
      <c r="AB215" s="8"/>
      <c r="AC215" s="8"/>
      <c r="AD215" s="81" t="s">
        <v>459</v>
      </c>
      <c r="AE215" s="81" t="s">
        <v>8147</v>
      </c>
      <c r="AF215" s="81" t="s">
        <v>242</v>
      </c>
      <c r="AG215" s="81" t="s">
        <v>459</v>
      </c>
      <c r="AH215" s="8"/>
      <c r="AI215" s="8"/>
      <c r="AJ215" s="8"/>
      <c r="AK215" s="8"/>
      <c r="AL215" s="8"/>
      <c r="AM215" s="81" t="s">
        <v>243</v>
      </c>
      <c r="AN215" s="8"/>
      <c r="AO215" s="8"/>
      <c r="AP215" s="8"/>
      <c r="AQ215" s="8"/>
      <c r="AR215" s="9">
        <v>41763</v>
      </c>
      <c r="AS215" s="8" t="s">
        <v>8536</v>
      </c>
      <c r="AT215" s="8" t="s">
        <v>348</v>
      </c>
      <c r="AU215" s="9"/>
      <c r="AV215" s="81" t="s">
        <v>322</v>
      </c>
      <c r="AW215" s="81" t="s">
        <v>242</v>
      </c>
      <c r="AX215" s="8" t="s">
        <v>2499</v>
      </c>
      <c r="AY215" s="8"/>
      <c r="AZ215" s="8" t="s">
        <v>8537</v>
      </c>
      <c r="BA215" s="81" t="s">
        <v>399</v>
      </c>
      <c r="BB215" s="8"/>
      <c r="BC215" s="8"/>
      <c r="BD215" s="8"/>
      <c r="BE215" s="81" t="s">
        <v>261</v>
      </c>
      <c r="BF215" s="8" t="s">
        <v>2500</v>
      </c>
      <c r="BG215" s="9">
        <v>50896</v>
      </c>
      <c r="BH215" s="81" t="s">
        <v>81</v>
      </c>
      <c r="BI215" s="81" t="s">
        <v>2006</v>
      </c>
      <c r="BJ215" s="9">
        <v>38961</v>
      </c>
      <c r="BK215" s="9">
        <v>40330</v>
      </c>
      <c r="BL215" s="81" t="s">
        <v>662</v>
      </c>
      <c r="BM215" s="81" t="s">
        <v>82</v>
      </c>
      <c r="BN215" s="8"/>
      <c r="BO215" s="8"/>
      <c r="BP215" s="8"/>
      <c r="BQ215" s="9"/>
      <c r="BR215" s="9"/>
      <c r="BS215" s="8"/>
      <c r="BT215" s="81" t="s">
        <v>2502</v>
      </c>
      <c r="BU215" s="81" t="s">
        <v>266</v>
      </c>
      <c r="BV215" s="8" t="s">
        <v>2503</v>
      </c>
      <c r="BW215" s="81" t="s">
        <v>242</v>
      </c>
      <c r="BX215" s="81" t="s">
        <v>1556</v>
      </c>
      <c r="BY215" s="9">
        <v>45870</v>
      </c>
      <c r="BZ215" s="9"/>
      <c r="CA215" s="8" t="s">
        <v>58</v>
      </c>
    </row>
    <row r="216" spans="1:79" ht="141.6" x14ac:dyDescent="0.25">
      <c r="A216" s="81" t="s">
        <v>2504</v>
      </c>
      <c r="B216" s="8"/>
      <c r="C216" s="81" t="s">
        <v>26</v>
      </c>
      <c r="D216" s="8" t="s">
        <v>7988</v>
      </c>
      <c r="E216" s="8"/>
      <c r="F216" s="9">
        <v>34213</v>
      </c>
      <c r="G216" s="8" t="s">
        <v>667</v>
      </c>
      <c r="H216" s="81" t="s">
        <v>250</v>
      </c>
      <c r="I216" s="81" t="s">
        <v>27</v>
      </c>
      <c r="J216" s="81" t="s">
        <v>252</v>
      </c>
      <c r="K216" s="81" t="s">
        <v>294</v>
      </c>
      <c r="L216" s="81" t="s">
        <v>102</v>
      </c>
      <c r="M216" s="81" t="s">
        <v>8538</v>
      </c>
      <c r="N216" s="81" t="s">
        <v>119</v>
      </c>
      <c r="O216" s="81" t="s">
        <v>29</v>
      </c>
      <c r="P216" s="9"/>
      <c r="Q216" s="8"/>
      <c r="R216" s="8"/>
      <c r="S216" s="8"/>
      <c r="T216" s="81" t="s">
        <v>8141</v>
      </c>
      <c r="U216" s="81" t="s">
        <v>2506</v>
      </c>
      <c r="V216" s="8"/>
      <c r="W216" s="8"/>
      <c r="X216" s="8" t="s">
        <v>2507</v>
      </c>
      <c r="Y216" s="81" t="s">
        <v>33</v>
      </c>
      <c r="Z216" s="8"/>
      <c r="AA216" s="81" t="s">
        <v>2508</v>
      </c>
      <c r="AB216" s="8"/>
      <c r="AC216" s="8"/>
      <c r="AD216" s="81" t="s">
        <v>1515</v>
      </c>
      <c r="AE216" s="81" t="s">
        <v>8337</v>
      </c>
      <c r="AF216" s="81" t="s">
        <v>242</v>
      </c>
      <c r="AG216" s="81" t="s">
        <v>1515</v>
      </c>
      <c r="AH216" s="8"/>
      <c r="AI216" s="8"/>
      <c r="AJ216" s="8"/>
      <c r="AK216" s="8"/>
      <c r="AL216" s="8"/>
      <c r="AM216" s="81" t="s">
        <v>243</v>
      </c>
      <c r="AN216" s="8"/>
      <c r="AO216" s="8"/>
      <c r="AP216" s="8"/>
      <c r="AQ216" s="8"/>
      <c r="AR216" s="9">
        <v>41752</v>
      </c>
      <c r="AS216" s="8" t="s">
        <v>8536</v>
      </c>
      <c r="AT216" s="8" t="s">
        <v>348</v>
      </c>
      <c r="AU216" s="9"/>
      <c r="AV216" s="81" t="s">
        <v>322</v>
      </c>
      <c r="AW216" s="81" t="s">
        <v>242</v>
      </c>
      <c r="AX216" s="8" t="s">
        <v>2510</v>
      </c>
      <c r="AY216" s="8"/>
      <c r="AZ216" s="8" t="s">
        <v>8539</v>
      </c>
      <c r="BA216" s="81" t="s">
        <v>556</v>
      </c>
      <c r="BB216" s="8"/>
      <c r="BC216" s="8"/>
      <c r="BD216" s="8"/>
      <c r="BE216" s="81" t="s">
        <v>261</v>
      </c>
      <c r="BF216" s="8" t="s">
        <v>2511</v>
      </c>
      <c r="BG216" s="9">
        <v>52733</v>
      </c>
      <c r="BH216" s="81" t="s">
        <v>305</v>
      </c>
      <c r="BI216" s="81" t="s">
        <v>2513</v>
      </c>
      <c r="BJ216" s="9">
        <v>43517</v>
      </c>
      <c r="BK216" s="9">
        <v>44367</v>
      </c>
      <c r="BL216" s="81" t="s">
        <v>1906</v>
      </c>
      <c r="BM216" s="8"/>
      <c r="BN216" s="8"/>
      <c r="BO216" s="8"/>
      <c r="BP216" s="8"/>
      <c r="BQ216" s="9"/>
      <c r="BR216" s="9"/>
      <c r="BS216" s="8"/>
      <c r="BT216" s="81" t="s">
        <v>2515</v>
      </c>
      <c r="BU216" s="81" t="s">
        <v>266</v>
      </c>
      <c r="BV216" s="8" t="s">
        <v>2516</v>
      </c>
      <c r="BW216" s="81" t="s">
        <v>242</v>
      </c>
      <c r="BX216" s="81" t="s">
        <v>337</v>
      </c>
      <c r="BY216" s="9">
        <v>41752</v>
      </c>
      <c r="BZ216" s="9">
        <v>46234</v>
      </c>
      <c r="CA216" s="8" t="s">
        <v>61</v>
      </c>
    </row>
    <row r="217" spans="1:79" ht="141.6" x14ac:dyDescent="0.25">
      <c r="A217" s="81" t="s">
        <v>2517</v>
      </c>
      <c r="B217" s="8"/>
      <c r="C217" s="81" t="s">
        <v>26</v>
      </c>
      <c r="D217" s="8" t="s">
        <v>7989</v>
      </c>
      <c r="E217" s="8"/>
      <c r="F217" s="9">
        <v>26362</v>
      </c>
      <c r="G217" s="8" t="s">
        <v>2518</v>
      </c>
      <c r="H217" s="81" t="s">
        <v>250</v>
      </c>
      <c r="I217" s="81" t="s">
        <v>983</v>
      </c>
      <c r="J217" s="81" t="s">
        <v>252</v>
      </c>
      <c r="K217" s="81" t="s">
        <v>668</v>
      </c>
      <c r="L217" s="81" t="s">
        <v>102</v>
      </c>
      <c r="M217" s="81" t="s">
        <v>8540</v>
      </c>
      <c r="N217" s="81" t="s">
        <v>28</v>
      </c>
      <c r="O217" s="81" t="s">
        <v>29</v>
      </c>
      <c r="P217" s="9"/>
      <c r="Q217" s="8"/>
      <c r="R217" s="8"/>
      <c r="S217" s="8"/>
      <c r="T217" s="81" t="s">
        <v>8247</v>
      </c>
      <c r="U217" s="81" t="s">
        <v>2519</v>
      </c>
      <c r="V217" s="8"/>
      <c r="W217" s="8"/>
      <c r="X217" s="8" t="s">
        <v>2520</v>
      </c>
      <c r="Y217" s="81" t="s">
        <v>33</v>
      </c>
      <c r="Z217" s="8"/>
      <c r="AA217" s="81" t="s">
        <v>2521</v>
      </c>
      <c r="AB217" s="8"/>
      <c r="AC217" s="8"/>
      <c r="AD217" s="81" t="s">
        <v>1588</v>
      </c>
      <c r="AE217" s="81" t="s">
        <v>8351</v>
      </c>
      <c r="AF217" s="81" t="s">
        <v>242</v>
      </c>
      <c r="AG217" s="81" t="s">
        <v>1588</v>
      </c>
      <c r="AH217" s="8"/>
      <c r="AI217" s="8"/>
      <c r="AJ217" s="8"/>
      <c r="AK217" s="8"/>
      <c r="AL217" s="8"/>
      <c r="AM217" s="81" t="s">
        <v>243</v>
      </c>
      <c r="AN217" s="8"/>
      <c r="AO217" s="8"/>
      <c r="AP217" s="8"/>
      <c r="AQ217" s="8"/>
      <c r="AR217" s="9">
        <v>41715</v>
      </c>
      <c r="AS217" s="8" t="s">
        <v>8541</v>
      </c>
      <c r="AT217" s="8" t="s">
        <v>348</v>
      </c>
      <c r="AU217" s="9"/>
      <c r="AV217" s="81" t="s">
        <v>322</v>
      </c>
      <c r="AW217" s="81" t="s">
        <v>242</v>
      </c>
      <c r="AX217" s="8" t="s">
        <v>2523</v>
      </c>
      <c r="AY217" s="8"/>
      <c r="AZ217" s="8" t="s">
        <v>8542</v>
      </c>
      <c r="BA217" s="81" t="s">
        <v>676</v>
      </c>
      <c r="BB217" s="8"/>
      <c r="BC217" s="8"/>
      <c r="BD217" s="8"/>
      <c r="BE217" s="81" t="s">
        <v>261</v>
      </c>
      <c r="BF217" s="8" t="s">
        <v>2524</v>
      </c>
      <c r="BG217" s="9">
        <v>46346</v>
      </c>
      <c r="BH217" s="81" t="s">
        <v>81</v>
      </c>
      <c r="BI217" s="81" t="s">
        <v>752</v>
      </c>
      <c r="BJ217" s="9">
        <v>33482</v>
      </c>
      <c r="BK217" s="9">
        <v>34912</v>
      </c>
      <c r="BL217" s="81" t="s">
        <v>8543</v>
      </c>
      <c r="BM217" s="81" t="s">
        <v>82</v>
      </c>
      <c r="BN217" s="8"/>
      <c r="BO217" s="8"/>
      <c r="BP217" s="8"/>
      <c r="BQ217" s="9"/>
      <c r="BR217" s="9"/>
      <c r="BS217" s="8"/>
      <c r="BT217" s="8"/>
      <c r="BU217" s="8"/>
      <c r="BV217" s="8"/>
      <c r="BW217" s="81" t="s">
        <v>242</v>
      </c>
      <c r="BX217" s="81" t="s">
        <v>1556</v>
      </c>
      <c r="BY217" s="9">
        <v>41715</v>
      </c>
      <c r="BZ217" s="9"/>
      <c r="CA217" s="8" t="s">
        <v>63</v>
      </c>
    </row>
    <row r="218" spans="1:79" ht="157.19999999999999" x14ac:dyDescent="0.25">
      <c r="A218" s="81" t="s">
        <v>2528</v>
      </c>
      <c r="B218" s="8"/>
      <c r="C218" s="81" t="s">
        <v>26</v>
      </c>
      <c r="D218" s="8" t="s">
        <v>7990</v>
      </c>
      <c r="E218" s="8" t="s">
        <v>2529</v>
      </c>
      <c r="F218" s="9">
        <v>31747</v>
      </c>
      <c r="G218" s="8" t="s">
        <v>2135</v>
      </c>
      <c r="H218" s="81" t="s">
        <v>250</v>
      </c>
      <c r="I218" s="81" t="s">
        <v>27</v>
      </c>
      <c r="J218" s="81" t="s">
        <v>252</v>
      </c>
      <c r="K218" s="81" t="s">
        <v>294</v>
      </c>
      <c r="L218" s="81" t="s">
        <v>102</v>
      </c>
      <c r="M218" s="81" t="s">
        <v>8544</v>
      </c>
      <c r="N218" s="81" t="s">
        <v>119</v>
      </c>
      <c r="O218" s="81" t="s">
        <v>29</v>
      </c>
      <c r="P218" s="9"/>
      <c r="Q218" s="8"/>
      <c r="R218" s="8"/>
      <c r="S218" s="8"/>
      <c r="T218" s="81" t="s">
        <v>8145</v>
      </c>
      <c r="U218" s="81" t="s">
        <v>1837</v>
      </c>
      <c r="V218" s="81" t="s">
        <v>8239</v>
      </c>
      <c r="W218" s="81" t="s">
        <v>2242</v>
      </c>
      <c r="X218" s="8" t="s">
        <v>2530</v>
      </c>
      <c r="Y218" s="81" t="s">
        <v>33</v>
      </c>
      <c r="Z218" s="8"/>
      <c r="AA218" s="81" t="s">
        <v>2531</v>
      </c>
      <c r="AB218" s="8"/>
      <c r="AC218" s="8"/>
      <c r="AD218" s="81" t="s">
        <v>491</v>
      </c>
      <c r="AE218" s="81" t="s">
        <v>8152</v>
      </c>
      <c r="AF218" s="81" t="s">
        <v>492</v>
      </c>
      <c r="AG218" s="81" t="s">
        <v>491</v>
      </c>
      <c r="AH218" s="8"/>
      <c r="AI218" s="8"/>
      <c r="AJ218" s="8"/>
      <c r="AK218" s="8"/>
      <c r="AL218" s="8"/>
      <c r="AM218" s="81" t="s">
        <v>243</v>
      </c>
      <c r="AN218" s="8"/>
      <c r="AO218" s="8"/>
      <c r="AP218" s="8"/>
      <c r="AQ218" s="8"/>
      <c r="AR218" s="9">
        <v>41702</v>
      </c>
      <c r="AS218" s="8" t="s">
        <v>8545</v>
      </c>
      <c r="AT218" s="8" t="s">
        <v>348</v>
      </c>
      <c r="AU218" s="9"/>
      <c r="AV218" s="81" t="s">
        <v>322</v>
      </c>
      <c r="AW218" s="81" t="s">
        <v>492</v>
      </c>
      <c r="AX218" s="8" t="s">
        <v>2532</v>
      </c>
      <c r="AY218" s="8"/>
      <c r="AZ218" s="8" t="s">
        <v>8272</v>
      </c>
      <c r="BA218" s="81" t="s">
        <v>676</v>
      </c>
      <c r="BB218" s="8"/>
      <c r="BC218" s="8"/>
      <c r="BD218" s="8"/>
      <c r="BE218" s="81" t="s">
        <v>261</v>
      </c>
      <c r="BF218" s="8" t="s">
        <v>2533</v>
      </c>
      <c r="BG218" s="9">
        <v>51081</v>
      </c>
      <c r="BH218" s="81" t="s">
        <v>81</v>
      </c>
      <c r="BI218" s="81" t="s">
        <v>1487</v>
      </c>
      <c r="BJ218" s="9">
        <v>38596</v>
      </c>
      <c r="BK218" s="9">
        <v>39965</v>
      </c>
      <c r="BL218" s="81" t="s">
        <v>1200</v>
      </c>
      <c r="BM218" s="81" t="s">
        <v>82</v>
      </c>
      <c r="BN218" s="8"/>
      <c r="BO218" s="8"/>
      <c r="BP218" s="8"/>
      <c r="BQ218" s="9"/>
      <c r="BR218" s="9"/>
      <c r="BS218" s="8"/>
      <c r="BT218" s="8"/>
      <c r="BU218" s="8"/>
      <c r="BV218" s="8"/>
      <c r="BW218" s="81" t="s">
        <v>492</v>
      </c>
      <c r="BX218" s="81" t="s">
        <v>337</v>
      </c>
      <c r="BY218" s="9">
        <v>43836</v>
      </c>
      <c r="BZ218" s="9">
        <v>46142</v>
      </c>
      <c r="CA218" s="8" t="s">
        <v>257</v>
      </c>
    </row>
    <row r="219" spans="1:79" ht="157.19999999999999" x14ac:dyDescent="0.25">
      <c r="A219" s="81" t="s">
        <v>2536</v>
      </c>
      <c r="B219" s="8"/>
      <c r="C219" s="81" t="s">
        <v>26</v>
      </c>
      <c r="D219" s="8" t="s">
        <v>7991</v>
      </c>
      <c r="E219" s="8" t="s">
        <v>2537</v>
      </c>
      <c r="F219" s="9">
        <v>33225</v>
      </c>
      <c r="G219" s="8" t="s">
        <v>292</v>
      </c>
      <c r="H219" s="81" t="s">
        <v>250</v>
      </c>
      <c r="I219" s="81" t="s">
        <v>435</v>
      </c>
      <c r="J219" s="81" t="s">
        <v>474</v>
      </c>
      <c r="K219" s="81" t="s">
        <v>608</v>
      </c>
      <c r="L219" s="81" t="s">
        <v>102</v>
      </c>
      <c r="M219" s="81" t="s">
        <v>8546</v>
      </c>
      <c r="N219" s="81" t="s">
        <v>119</v>
      </c>
      <c r="O219" s="81" t="s">
        <v>29</v>
      </c>
      <c r="P219" s="9"/>
      <c r="Q219" s="8"/>
      <c r="R219" s="8"/>
      <c r="S219" s="8"/>
      <c r="T219" s="81" t="s">
        <v>8247</v>
      </c>
      <c r="U219" s="81" t="s">
        <v>1654</v>
      </c>
      <c r="V219" s="8"/>
      <c r="W219" s="8"/>
      <c r="X219" s="8" t="s">
        <v>2538</v>
      </c>
      <c r="Y219" s="81" t="s">
        <v>33</v>
      </c>
      <c r="Z219" s="8"/>
      <c r="AA219" s="81" t="s">
        <v>1526</v>
      </c>
      <c r="AB219" s="8"/>
      <c r="AC219" s="8"/>
      <c r="AD219" s="81" t="s">
        <v>491</v>
      </c>
      <c r="AE219" s="81" t="s">
        <v>8152</v>
      </c>
      <c r="AF219" s="81" t="s">
        <v>492</v>
      </c>
      <c r="AG219" s="81" t="s">
        <v>491</v>
      </c>
      <c r="AH219" s="8"/>
      <c r="AI219" s="8"/>
      <c r="AJ219" s="8"/>
      <c r="AK219" s="8"/>
      <c r="AL219" s="8"/>
      <c r="AM219" s="81" t="s">
        <v>243</v>
      </c>
      <c r="AN219" s="8"/>
      <c r="AO219" s="8"/>
      <c r="AP219" s="8"/>
      <c r="AQ219" s="8"/>
      <c r="AR219" s="9">
        <v>41701</v>
      </c>
      <c r="AS219" s="8" t="s">
        <v>8545</v>
      </c>
      <c r="AT219" s="8" t="s">
        <v>348</v>
      </c>
      <c r="AU219" s="9"/>
      <c r="AV219" s="81" t="s">
        <v>322</v>
      </c>
      <c r="AW219" s="81" t="s">
        <v>492</v>
      </c>
      <c r="AX219" s="8" t="s">
        <v>2540</v>
      </c>
      <c r="AY219" s="8"/>
      <c r="AZ219" s="8" t="s">
        <v>8547</v>
      </c>
      <c r="BA219" s="81" t="s">
        <v>399</v>
      </c>
      <c r="BB219" s="8"/>
      <c r="BC219" s="8"/>
      <c r="BD219" s="8"/>
      <c r="BE219" s="81" t="s">
        <v>261</v>
      </c>
      <c r="BF219" s="8" t="s">
        <v>2541</v>
      </c>
      <c r="BG219" s="9">
        <v>50751</v>
      </c>
      <c r="BH219" s="81" t="s">
        <v>81</v>
      </c>
      <c r="BI219" s="81" t="s">
        <v>1464</v>
      </c>
      <c r="BJ219" s="9">
        <v>40057</v>
      </c>
      <c r="BK219" s="9">
        <v>41456</v>
      </c>
      <c r="BL219" s="81" t="s">
        <v>405</v>
      </c>
      <c r="BM219" s="81" t="s">
        <v>82</v>
      </c>
      <c r="BN219" s="8"/>
      <c r="BO219" s="8"/>
      <c r="BP219" s="8"/>
      <c r="BQ219" s="9"/>
      <c r="BR219" s="9"/>
      <c r="BS219" s="8"/>
      <c r="BT219" s="81" t="s">
        <v>2543</v>
      </c>
      <c r="BU219" s="81" t="s">
        <v>266</v>
      </c>
      <c r="BV219" s="8" t="s">
        <v>2544</v>
      </c>
      <c r="BW219" s="81" t="s">
        <v>492</v>
      </c>
      <c r="BX219" s="81" t="s">
        <v>1556</v>
      </c>
      <c r="BY219" s="9">
        <v>43836</v>
      </c>
      <c r="BZ219" s="9"/>
      <c r="CA219" s="8" t="s">
        <v>245</v>
      </c>
    </row>
    <row r="220" spans="1:79" ht="141.6" x14ac:dyDescent="0.25">
      <c r="A220" s="81" t="s">
        <v>2545</v>
      </c>
      <c r="B220" s="8"/>
      <c r="C220" s="81" t="s">
        <v>352</v>
      </c>
      <c r="D220" s="8" t="s">
        <v>7992</v>
      </c>
      <c r="E220" s="8" t="s">
        <v>2546</v>
      </c>
      <c r="F220" s="9">
        <v>31846</v>
      </c>
      <c r="G220" s="8" t="s">
        <v>2135</v>
      </c>
      <c r="H220" s="81" t="s">
        <v>250</v>
      </c>
      <c r="I220" s="81" t="s">
        <v>27</v>
      </c>
      <c r="J220" s="81" t="s">
        <v>474</v>
      </c>
      <c r="K220" s="81" t="s">
        <v>353</v>
      </c>
      <c r="L220" s="81" t="s">
        <v>102</v>
      </c>
      <c r="M220" s="81" t="s">
        <v>2547</v>
      </c>
      <c r="N220" s="81" t="s">
        <v>119</v>
      </c>
      <c r="O220" s="81" t="s">
        <v>29</v>
      </c>
      <c r="P220" s="9"/>
      <c r="Q220" s="8"/>
      <c r="R220" s="8"/>
      <c r="S220" s="8"/>
      <c r="T220" s="8"/>
      <c r="U220" s="8"/>
      <c r="V220" s="8"/>
      <c r="W220" s="8"/>
      <c r="X220" s="8" t="s">
        <v>2548</v>
      </c>
      <c r="Y220" s="81" t="s">
        <v>33</v>
      </c>
      <c r="Z220" s="8"/>
      <c r="AA220" s="81" t="s">
        <v>2271</v>
      </c>
      <c r="AB220" s="8"/>
      <c r="AC220" s="8"/>
      <c r="AD220" s="81" t="s">
        <v>1967</v>
      </c>
      <c r="AE220" s="81" t="s">
        <v>8436</v>
      </c>
      <c r="AF220" s="81" t="s">
        <v>242</v>
      </c>
      <c r="AG220" s="81" t="s">
        <v>1967</v>
      </c>
      <c r="AH220" s="8"/>
      <c r="AI220" s="8"/>
      <c r="AJ220" s="8"/>
      <c r="AK220" s="8"/>
      <c r="AL220" s="8"/>
      <c r="AM220" s="81" t="s">
        <v>243</v>
      </c>
      <c r="AN220" s="8"/>
      <c r="AO220" s="8"/>
      <c r="AP220" s="8"/>
      <c r="AQ220" s="8"/>
      <c r="AR220" s="9">
        <v>41701</v>
      </c>
      <c r="AS220" s="8" t="s">
        <v>8545</v>
      </c>
      <c r="AT220" s="8" t="s">
        <v>348</v>
      </c>
      <c r="AU220" s="9"/>
      <c r="AV220" s="81" t="s">
        <v>322</v>
      </c>
      <c r="AW220" s="81" t="s">
        <v>242</v>
      </c>
      <c r="AX220" s="8" t="s">
        <v>2549</v>
      </c>
      <c r="AY220" s="8"/>
      <c r="AZ220" s="8" t="s">
        <v>8148</v>
      </c>
      <c r="BA220" s="81" t="s">
        <v>399</v>
      </c>
      <c r="BB220" s="8"/>
      <c r="BC220" s="8"/>
      <c r="BD220" s="8"/>
      <c r="BE220" s="81" t="s">
        <v>261</v>
      </c>
      <c r="BF220" s="8" t="s">
        <v>2550</v>
      </c>
      <c r="BG220" s="9">
        <v>51268</v>
      </c>
      <c r="BH220" s="81" t="s">
        <v>81</v>
      </c>
      <c r="BI220" s="81" t="s">
        <v>1946</v>
      </c>
      <c r="BJ220" s="9">
        <v>40422</v>
      </c>
      <c r="BK220" s="9">
        <v>41456</v>
      </c>
      <c r="BL220" s="81" t="s">
        <v>330</v>
      </c>
      <c r="BM220" s="8"/>
      <c r="BN220" s="8"/>
      <c r="BO220" s="8"/>
      <c r="BP220" s="8"/>
      <c r="BQ220" s="9"/>
      <c r="BR220" s="9"/>
      <c r="BS220" s="8"/>
      <c r="BT220" s="81" t="s">
        <v>2552</v>
      </c>
      <c r="BU220" s="81" t="s">
        <v>118</v>
      </c>
      <c r="BV220" s="8" t="s">
        <v>2553</v>
      </c>
      <c r="BW220" s="81" t="s">
        <v>242</v>
      </c>
      <c r="BX220" s="81" t="s">
        <v>1556</v>
      </c>
      <c r="BY220" s="9">
        <v>41701</v>
      </c>
      <c r="BZ220" s="9"/>
      <c r="CA220" s="8" t="s">
        <v>63</v>
      </c>
    </row>
    <row r="221" spans="1:79" ht="157.80000000000001" x14ac:dyDescent="0.25">
      <c r="A221" s="81" t="s">
        <v>2554</v>
      </c>
      <c r="B221" s="8"/>
      <c r="C221" s="81" t="s">
        <v>352</v>
      </c>
      <c r="D221" s="8" t="s">
        <v>7993</v>
      </c>
      <c r="E221" s="8"/>
      <c r="F221" s="9">
        <v>28646</v>
      </c>
      <c r="G221" s="8" t="s">
        <v>1313</v>
      </c>
      <c r="H221" s="81" t="s">
        <v>250</v>
      </c>
      <c r="I221" s="81" t="s">
        <v>27</v>
      </c>
      <c r="J221" s="81" t="s">
        <v>293</v>
      </c>
      <c r="K221" s="81" t="s">
        <v>1246</v>
      </c>
      <c r="L221" s="81" t="s">
        <v>102</v>
      </c>
      <c r="M221" s="81" t="s">
        <v>8548</v>
      </c>
      <c r="N221" s="81" t="s">
        <v>119</v>
      </c>
      <c r="O221" s="81" t="s">
        <v>29</v>
      </c>
      <c r="P221" s="9"/>
      <c r="Q221" s="8"/>
      <c r="R221" s="8"/>
      <c r="S221" s="8"/>
      <c r="T221" s="8"/>
      <c r="U221" s="8"/>
      <c r="V221" s="8"/>
      <c r="W221" s="8"/>
      <c r="X221" s="8" t="s">
        <v>2555</v>
      </c>
      <c r="Y221" s="81" t="s">
        <v>33</v>
      </c>
      <c r="Z221" s="8"/>
      <c r="AA221" s="81" t="s">
        <v>2556</v>
      </c>
      <c r="AB221" s="8"/>
      <c r="AC221" s="8"/>
      <c r="AD221" s="81" t="s">
        <v>2557</v>
      </c>
      <c r="AE221" s="81" t="s">
        <v>8549</v>
      </c>
      <c r="AF221" s="81" t="s">
        <v>242</v>
      </c>
      <c r="AG221" s="81" t="s">
        <v>298</v>
      </c>
      <c r="AH221" s="81" t="s">
        <v>2557</v>
      </c>
      <c r="AI221" s="8"/>
      <c r="AJ221" s="8"/>
      <c r="AK221" s="8"/>
      <c r="AL221" s="8"/>
      <c r="AM221" s="81" t="s">
        <v>243</v>
      </c>
      <c r="AN221" s="8"/>
      <c r="AO221" s="8"/>
      <c r="AP221" s="8"/>
      <c r="AQ221" s="8"/>
      <c r="AR221" s="9">
        <v>41694</v>
      </c>
      <c r="AS221" s="8" t="s">
        <v>8545</v>
      </c>
      <c r="AT221" s="8" t="s">
        <v>348</v>
      </c>
      <c r="AU221" s="9"/>
      <c r="AV221" s="81" t="s">
        <v>322</v>
      </c>
      <c r="AW221" s="81" t="s">
        <v>242</v>
      </c>
      <c r="AX221" s="8" t="s">
        <v>2559</v>
      </c>
      <c r="AY221" s="8"/>
      <c r="AZ221" s="8" t="s">
        <v>8550</v>
      </c>
      <c r="BA221" s="81" t="s">
        <v>361</v>
      </c>
      <c r="BB221" s="8"/>
      <c r="BC221" s="8"/>
      <c r="BD221" s="8"/>
      <c r="BE221" s="81" t="s">
        <v>261</v>
      </c>
      <c r="BF221" s="8" t="s">
        <v>2560</v>
      </c>
      <c r="BG221" s="9">
        <v>46217</v>
      </c>
      <c r="BH221" s="81" t="s">
        <v>1705</v>
      </c>
      <c r="BI221" s="81" t="s">
        <v>2087</v>
      </c>
      <c r="BJ221" s="9" t="s">
        <v>2088</v>
      </c>
      <c r="BK221" s="9"/>
      <c r="BL221" s="8"/>
      <c r="BM221" s="8"/>
      <c r="BN221" s="8"/>
      <c r="BO221" s="8"/>
      <c r="BP221" s="8"/>
      <c r="BQ221" s="9"/>
      <c r="BR221" s="9"/>
      <c r="BS221" s="8"/>
      <c r="BT221" s="81" t="s">
        <v>2562</v>
      </c>
      <c r="BU221" s="81" t="s">
        <v>118</v>
      </c>
      <c r="BV221" s="8" t="s">
        <v>2563</v>
      </c>
      <c r="BW221" s="81" t="s">
        <v>242</v>
      </c>
      <c r="BX221" s="81" t="s">
        <v>337</v>
      </c>
      <c r="BY221" s="9">
        <v>45505</v>
      </c>
      <c r="BZ221" s="9">
        <v>47330</v>
      </c>
      <c r="CA221" s="8" t="s">
        <v>58</v>
      </c>
    </row>
    <row r="222" spans="1:79" ht="157.80000000000001" x14ac:dyDescent="0.25">
      <c r="A222" s="81" t="s">
        <v>2564</v>
      </c>
      <c r="B222" s="8"/>
      <c r="C222" s="81" t="s">
        <v>352</v>
      </c>
      <c r="D222" s="8" t="s">
        <v>7994</v>
      </c>
      <c r="E222" s="8"/>
      <c r="F222" s="9">
        <v>30365</v>
      </c>
      <c r="G222" s="8" t="s">
        <v>1245</v>
      </c>
      <c r="H222" s="81" t="s">
        <v>250</v>
      </c>
      <c r="I222" s="81" t="s">
        <v>27</v>
      </c>
      <c r="J222" s="81" t="s">
        <v>293</v>
      </c>
      <c r="K222" s="81" t="s">
        <v>1246</v>
      </c>
      <c r="L222" s="81" t="s">
        <v>102</v>
      </c>
      <c r="M222" s="81" t="s">
        <v>8551</v>
      </c>
      <c r="N222" s="81" t="s">
        <v>119</v>
      </c>
      <c r="O222" s="81" t="s">
        <v>29</v>
      </c>
      <c r="P222" s="9"/>
      <c r="Q222" s="8"/>
      <c r="R222" s="8"/>
      <c r="S222" s="8"/>
      <c r="T222" s="8"/>
      <c r="U222" s="8"/>
      <c r="V222" s="8"/>
      <c r="W222" s="8"/>
      <c r="X222" s="8" t="s">
        <v>2565</v>
      </c>
      <c r="Y222" s="81" t="s">
        <v>33</v>
      </c>
      <c r="Z222" s="8"/>
      <c r="AA222" s="81" t="s">
        <v>2155</v>
      </c>
      <c r="AB222" s="8"/>
      <c r="AC222" s="8"/>
      <c r="AD222" s="81" t="s">
        <v>709</v>
      </c>
      <c r="AE222" s="81" t="s">
        <v>8192</v>
      </c>
      <c r="AF222" s="81" t="s">
        <v>242</v>
      </c>
      <c r="AG222" s="81" t="s">
        <v>298</v>
      </c>
      <c r="AH222" s="81" t="s">
        <v>709</v>
      </c>
      <c r="AI222" s="8"/>
      <c r="AJ222" s="8"/>
      <c r="AK222" s="8"/>
      <c r="AL222" s="8"/>
      <c r="AM222" s="81" t="s">
        <v>243</v>
      </c>
      <c r="AN222" s="8"/>
      <c r="AO222" s="8"/>
      <c r="AP222" s="8"/>
      <c r="AQ222" s="8"/>
      <c r="AR222" s="9">
        <v>41694</v>
      </c>
      <c r="AS222" s="8" t="s">
        <v>8545</v>
      </c>
      <c r="AT222" s="8" t="s">
        <v>348</v>
      </c>
      <c r="AU222" s="9"/>
      <c r="AV222" s="81" t="s">
        <v>322</v>
      </c>
      <c r="AW222" s="81" t="s">
        <v>242</v>
      </c>
      <c r="AX222" s="8" t="s">
        <v>2566</v>
      </c>
      <c r="AY222" s="8"/>
      <c r="AZ222" s="8" t="s">
        <v>8550</v>
      </c>
      <c r="BA222" s="81" t="s">
        <v>361</v>
      </c>
      <c r="BB222" s="8"/>
      <c r="BC222" s="8"/>
      <c r="BD222" s="8"/>
      <c r="BE222" s="81" t="s">
        <v>261</v>
      </c>
      <c r="BF222" s="8" t="s">
        <v>2567</v>
      </c>
      <c r="BG222" s="9">
        <v>49883</v>
      </c>
      <c r="BH222" s="81" t="s">
        <v>1705</v>
      </c>
      <c r="BI222" s="81" t="s">
        <v>2087</v>
      </c>
      <c r="BJ222" s="9" t="s">
        <v>2088</v>
      </c>
      <c r="BK222" s="9"/>
      <c r="BL222" s="8"/>
      <c r="BM222" s="8"/>
      <c r="BN222" s="8"/>
      <c r="BO222" s="8"/>
      <c r="BP222" s="8"/>
      <c r="BQ222" s="9"/>
      <c r="BR222" s="9"/>
      <c r="BS222" s="8"/>
      <c r="BT222" s="81" t="s">
        <v>2569</v>
      </c>
      <c r="BU222" s="81" t="s">
        <v>118</v>
      </c>
      <c r="BV222" s="8" t="s">
        <v>2570</v>
      </c>
      <c r="BW222" s="81" t="s">
        <v>242</v>
      </c>
      <c r="BX222" s="81" t="s">
        <v>337</v>
      </c>
      <c r="BY222" s="9">
        <v>41694</v>
      </c>
      <c r="BZ222" s="9">
        <v>46599</v>
      </c>
      <c r="CA222" s="8" t="s">
        <v>61</v>
      </c>
    </row>
    <row r="223" spans="1:79" ht="205.2" x14ac:dyDescent="0.25">
      <c r="A223" s="81" t="s">
        <v>2571</v>
      </c>
      <c r="B223" s="8"/>
      <c r="C223" s="81" t="s">
        <v>26</v>
      </c>
      <c r="D223" s="8" t="s">
        <v>7995</v>
      </c>
      <c r="E223" s="8"/>
      <c r="F223" s="9">
        <v>31674</v>
      </c>
      <c r="G223" s="8" t="s">
        <v>2135</v>
      </c>
      <c r="H223" s="81" t="s">
        <v>250</v>
      </c>
      <c r="I223" s="81" t="s">
        <v>27</v>
      </c>
      <c r="J223" s="81" t="s">
        <v>293</v>
      </c>
      <c r="K223" s="81" t="s">
        <v>1246</v>
      </c>
      <c r="L223" s="81" t="s">
        <v>102</v>
      </c>
      <c r="M223" s="81" t="s">
        <v>8552</v>
      </c>
      <c r="N223" s="81" t="s">
        <v>119</v>
      </c>
      <c r="O223" s="81" t="s">
        <v>29</v>
      </c>
      <c r="P223" s="9"/>
      <c r="Q223" s="8"/>
      <c r="R223" s="8"/>
      <c r="S223" s="8"/>
      <c r="T223" s="8"/>
      <c r="U223" s="8"/>
      <c r="V223" s="8"/>
      <c r="W223" s="8"/>
      <c r="X223" s="8" t="s">
        <v>2572</v>
      </c>
      <c r="Y223" s="81" t="s">
        <v>33</v>
      </c>
      <c r="Z223" s="8"/>
      <c r="AA223" s="81" t="s">
        <v>2573</v>
      </c>
      <c r="AB223" s="8"/>
      <c r="AC223" s="8"/>
      <c r="AD223" s="81" t="s">
        <v>344</v>
      </c>
      <c r="AE223" s="81" t="s">
        <v>8129</v>
      </c>
      <c r="AF223" s="81" t="s">
        <v>242</v>
      </c>
      <c r="AG223" s="81" t="s">
        <v>345</v>
      </c>
      <c r="AH223" s="81" t="s">
        <v>346</v>
      </c>
      <c r="AI223" s="81" t="s">
        <v>344</v>
      </c>
      <c r="AJ223" s="8"/>
      <c r="AK223" s="8"/>
      <c r="AL223" s="8"/>
      <c r="AM223" s="81" t="s">
        <v>243</v>
      </c>
      <c r="AN223" s="8"/>
      <c r="AO223" s="8"/>
      <c r="AP223" s="8"/>
      <c r="AQ223" s="8"/>
      <c r="AR223" s="9">
        <v>41684</v>
      </c>
      <c r="AS223" s="8" t="s">
        <v>8545</v>
      </c>
      <c r="AT223" s="8" t="s">
        <v>348</v>
      </c>
      <c r="AU223" s="9"/>
      <c r="AV223" s="81" t="s">
        <v>322</v>
      </c>
      <c r="AW223" s="81" t="s">
        <v>242</v>
      </c>
      <c r="AX223" s="8" t="s">
        <v>2574</v>
      </c>
      <c r="AY223" s="8"/>
      <c r="AZ223" s="8" t="s">
        <v>8175</v>
      </c>
      <c r="BA223" s="81" t="s">
        <v>556</v>
      </c>
      <c r="BB223" s="8"/>
      <c r="BC223" s="8"/>
      <c r="BD223" s="8"/>
      <c r="BE223" s="81" t="s">
        <v>261</v>
      </c>
      <c r="BF223" s="8" t="s">
        <v>2575</v>
      </c>
      <c r="BG223" s="9">
        <v>48758</v>
      </c>
      <c r="BH223" s="81" t="s">
        <v>713</v>
      </c>
      <c r="BI223" s="81" t="s">
        <v>2577</v>
      </c>
      <c r="BJ223" s="9">
        <v>37500</v>
      </c>
      <c r="BK223" s="9">
        <v>38534</v>
      </c>
      <c r="BL223" s="81" t="s">
        <v>1156</v>
      </c>
      <c r="BM223" s="8"/>
      <c r="BN223" s="8"/>
      <c r="BO223" s="8"/>
      <c r="BP223" s="8"/>
      <c r="BQ223" s="9"/>
      <c r="BR223" s="9"/>
      <c r="BS223" s="8"/>
      <c r="BT223" s="81" t="s">
        <v>2580</v>
      </c>
      <c r="BU223" s="81" t="s">
        <v>118</v>
      </c>
      <c r="BV223" s="8" t="s">
        <v>2581</v>
      </c>
      <c r="BW223" s="81" t="s">
        <v>242</v>
      </c>
      <c r="BX223" s="81" t="s">
        <v>1556</v>
      </c>
      <c r="BY223" s="9">
        <v>45870</v>
      </c>
      <c r="BZ223" s="9"/>
      <c r="CA223" s="8" t="s">
        <v>245</v>
      </c>
    </row>
    <row r="224" spans="1:79" ht="205.2" x14ac:dyDescent="0.25">
      <c r="A224" s="81" t="s">
        <v>2582</v>
      </c>
      <c r="B224" s="8"/>
      <c r="C224" s="81" t="s">
        <v>26</v>
      </c>
      <c r="D224" s="8" t="s">
        <v>7996</v>
      </c>
      <c r="E224" s="8"/>
      <c r="F224" s="9">
        <v>26054</v>
      </c>
      <c r="G224" s="8" t="s">
        <v>2518</v>
      </c>
      <c r="H224" s="81" t="s">
        <v>250</v>
      </c>
      <c r="I224" s="81" t="s">
        <v>27</v>
      </c>
      <c r="J224" s="81" t="s">
        <v>293</v>
      </c>
      <c r="K224" s="81" t="s">
        <v>1246</v>
      </c>
      <c r="L224" s="81" t="s">
        <v>102</v>
      </c>
      <c r="M224" s="81" t="s">
        <v>8553</v>
      </c>
      <c r="N224" s="81" t="s">
        <v>119</v>
      </c>
      <c r="O224" s="81" t="s">
        <v>29</v>
      </c>
      <c r="P224" s="9"/>
      <c r="Q224" s="8"/>
      <c r="R224" s="8"/>
      <c r="S224" s="8"/>
      <c r="T224" s="8"/>
      <c r="U224" s="8"/>
      <c r="V224" s="8"/>
      <c r="W224" s="8"/>
      <c r="X224" s="8" t="s">
        <v>2583</v>
      </c>
      <c r="Y224" s="81" t="s">
        <v>33</v>
      </c>
      <c r="Z224" s="8"/>
      <c r="AA224" s="81" t="s">
        <v>2584</v>
      </c>
      <c r="AB224" s="8"/>
      <c r="AC224" s="8"/>
      <c r="AD224" s="81" t="s">
        <v>344</v>
      </c>
      <c r="AE224" s="81" t="s">
        <v>8129</v>
      </c>
      <c r="AF224" s="81" t="s">
        <v>242</v>
      </c>
      <c r="AG224" s="81" t="s">
        <v>345</v>
      </c>
      <c r="AH224" s="81" t="s">
        <v>346</v>
      </c>
      <c r="AI224" s="81" t="s">
        <v>344</v>
      </c>
      <c r="AJ224" s="8"/>
      <c r="AK224" s="8"/>
      <c r="AL224" s="8"/>
      <c r="AM224" s="81" t="s">
        <v>243</v>
      </c>
      <c r="AN224" s="8"/>
      <c r="AO224" s="8"/>
      <c r="AP224" s="8"/>
      <c r="AQ224" s="8"/>
      <c r="AR224" s="9">
        <v>41599</v>
      </c>
      <c r="AS224" s="8" t="s">
        <v>8554</v>
      </c>
      <c r="AT224" s="8" t="s">
        <v>348</v>
      </c>
      <c r="AU224" s="9"/>
      <c r="AV224" s="81" t="s">
        <v>322</v>
      </c>
      <c r="AW224" s="81" t="s">
        <v>242</v>
      </c>
      <c r="AX224" s="8" t="s">
        <v>2585</v>
      </c>
      <c r="AY224" s="8"/>
      <c r="AZ224" s="8" t="s">
        <v>8511</v>
      </c>
      <c r="BA224" s="81" t="s">
        <v>556</v>
      </c>
      <c r="BB224" s="8"/>
      <c r="BC224" s="8"/>
      <c r="BD224" s="8"/>
      <c r="BE224" s="81" t="s">
        <v>261</v>
      </c>
      <c r="BF224" s="8" t="s">
        <v>2586</v>
      </c>
      <c r="BG224" s="9">
        <v>46825</v>
      </c>
      <c r="BH224" s="81" t="s">
        <v>1705</v>
      </c>
      <c r="BI224" s="81" t="s">
        <v>2087</v>
      </c>
      <c r="BJ224" s="9" t="s">
        <v>2088</v>
      </c>
      <c r="BK224" s="9"/>
      <c r="BL224" s="8"/>
      <c r="BM224" s="8"/>
      <c r="BN224" s="8"/>
      <c r="BO224" s="8"/>
      <c r="BP224" s="8"/>
      <c r="BQ224" s="9"/>
      <c r="BR224" s="9"/>
      <c r="BS224" s="8"/>
      <c r="BT224" s="81" t="s">
        <v>2587</v>
      </c>
      <c r="BU224" s="81" t="s">
        <v>118</v>
      </c>
      <c r="BV224" s="8" t="s">
        <v>2588</v>
      </c>
      <c r="BW224" s="81" t="s">
        <v>242</v>
      </c>
      <c r="BX224" s="81" t="s">
        <v>1556</v>
      </c>
      <c r="BY224" s="9">
        <v>45870</v>
      </c>
      <c r="BZ224" s="9"/>
      <c r="CA224" s="8" t="s">
        <v>245</v>
      </c>
    </row>
    <row r="225" spans="1:79" ht="141.6" x14ac:dyDescent="0.25">
      <c r="A225" s="81" t="s">
        <v>2589</v>
      </c>
      <c r="B225" s="8"/>
      <c r="C225" s="81" t="s">
        <v>352</v>
      </c>
      <c r="D225" s="8" t="s">
        <v>7997</v>
      </c>
      <c r="E225" s="8" t="s">
        <v>2590</v>
      </c>
      <c r="F225" s="9">
        <v>33545</v>
      </c>
      <c r="G225" s="8" t="s">
        <v>1392</v>
      </c>
      <c r="H225" s="81" t="s">
        <v>250</v>
      </c>
      <c r="I225" s="81" t="s">
        <v>27</v>
      </c>
      <c r="J225" s="81" t="s">
        <v>293</v>
      </c>
      <c r="K225" s="81" t="s">
        <v>294</v>
      </c>
      <c r="L225" s="81" t="s">
        <v>102</v>
      </c>
      <c r="M225" s="81" t="s">
        <v>2591</v>
      </c>
      <c r="N225" s="81" t="s">
        <v>119</v>
      </c>
      <c r="O225" s="81" t="s">
        <v>29</v>
      </c>
      <c r="P225" s="9"/>
      <c r="Q225" s="8"/>
      <c r="R225" s="8"/>
      <c r="S225" s="8"/>
      <c r="T225" s="8"/>
      <c r="U225" s="8"/>
      <c r="V225" s="81" t="s">
        <v>8247</v>
      </c>
      <c r="W225" s="81" t="s">
        <v>1585</v>
      </c>
      <c r="X225" s="8" t="s">
        <v>2592</v>
      </c>
      <c r="Y225" s="81" t="s">
        <v>33</v>
      </c>
      <c r="Z225" s="8"/>
      <c r="AA225" s="81" t="s">
        <v>2593</v>
      </c>
      <c r="AB225" s="8"/>
      <c r="AC225" s="8"/>
      <c r="AD225" s="81" t="s">
        <v>1588</v>
      </c>
      <c r="AE225" s="81" t="s">
        <v>8351</v>
      </c>
      <c r="AF225" s="81" t="s">
        <v>242</v>
      </c>
      <c r="AG225" s="81" t="s">
        <v>1588</v>
      </c>
      <c r="AH225" s="8"/>
      <c r="AI225" s="8"/>
      <c r="AJ225" s="8"/>
      <c r="AK225" s="8"/>
      <c r="AL225" s="8"/>
      <c r="AM225" s="81" t="s">
        <v>243</v>
      </c>
      <c r="AN225" s="8"/>
      <c r="AO225" s="8"/>
      <c r="AP225" s="8"/>
      <c r="AQ225" s="8"/>
      <c r="AR225" s="9">
        <v>41589</v>
      </c>
      <c r="AS225" s="8" t="s">
        <v>8555</v>
      </c>
      <c r="AT225" s="8" t="s">
        <v>348</v>
      </c>
      <c r="AU225" s="9"/>
      <c r="AV225" s="81" t="s">
        <v>322</v>
      </c>
      <c r="AW225" s="81" t="s">
        <v>242</v>
      </c>
      <c r="AX225" s="8" t="s">
        <v>2595</v>
      </c>
      <c r="AY225" s="8"/>
      <c r="AZ225" s="8" t="s">
        <v>8511</v>
      </c>
      <c r="BA225" s="81" t="s">
        <v>361</v>
      </c>
      <c r="BB225" s="8"/>
      <c r="BC225" s="8"/>
      <c r="BD225" s="8"/>
      <c r="BE225" s="81" t="s">
        <v>261</v>
      </c>
      <c r="BF225" s="8" t="s">
        <v>2596</v>
      </c>
      <c r="BG225" s="9">
        <v>52034</v>
      </c>
      <c r="BH225" s="81" t="s">
        <v>81</v>
      </c>
      <c r="BI225" s="81" t="s">
        <v>2597</v>
      </c>
      <c r="BJ225" s="9">
        <v>42401</v>
      </c>
      <c r="BK225" s="9">
        <v>43466</v>
      </c>
      <c r="BL225" s="81" t="s">
        <v>1595</v>
      </c>
      <c r="BM225" s="8"/>
      <c r="BN225" s="8"/>
      <c r="BO225" s="8"/>
      <c r="BP225" s="8"/>
      <c r="BQ225" s="9"/>
      <c r="BR225" s="9"/>
      <c r="BS225" s="8"/>
      <c r="BT225" s="8"/>
      <c r="BU225" s="8"/>
      <c r="BV225" s="8"/>
      <c r="BW225" s="81" t="s">
        <v>242</v>
      </c>
      <c r="BX225" s="81" t="s">
        <v>1556</v>
      </c>
      <c r="BY225" s="9">
        <v>46082</v>
      </c>
      <c r="BZ225" s="9"/>
      <c r="CA225" s="8" t="s">
        <v>905</v>
      </c>
    </row>
    <row r="226" spans="1:79" ht="141.6" x14ac:dyDescent="0.25">
      <c r="A226" s="81" t="s">
        <v>2601</v>
      </c>
      <c r="B226" s="8"/>
      <c r="C226" s="81" t="s">
        <v>352</v>
      </c>
      <c r="D226" s="8" t="s">
        <v>7998</v>
      </c>
      <c r="E226" s="8"/>
      <c r="F226" s="9">
        <v>31453</v>
      </c>
      <c r="G226" s="8" t="s">
        <v>1698</v>
      </c>
      <c r="H226" s="81" t="s">
        <v>250</v>
      </c>
      <c r="I226" s="81" t="s">
        <v>27</v>
      </c>
      <c r="J226" s="81" t="s">
        <v>252</v>
      </c>
      <c r="K226" s="81" t="s">
        <v>294</v>
      </c>
      <c r="L226" s="81" t="s">
        <v>102</v>
      </c>
      <c r="M226" s="81" t="s">
        <v>8556</v>
      </c>
      <c r="N226" s="81" t="s">
        <v>119</v>
      </c>
      <c r="O226" s="81" t="s">
        <v>29</v>
      </c>
      <c r="P226" s="9"/>
      <c r="Q226" s="8"/>
      <c r="R226" s="8"/>
      <c r="S226" s="8"/>
      <c r="T226" s="8"/>
      <c r="U226" s="8"/>
      <c r="V226" s="81" t="s">
        <v>8141</v>
      </c>
      <c r="W226" s="81" t="s">
        <v>1350</v>
      </c>
      <c r="X226" s="8" t="s">
        <v>2602</v>
      </c>
      <c r="Y226" s="81" t="s">
        <v>33</v>
      </c>
      <c r="Z226" s="8"/>
      <c r="AA226" s="81" t="s">
        <v>2603</v>
      </c>
      <c r="AB226" s="8"/>
      <c r="AC226" s="8"/>
      <c r="AD226" s="81" t="s">
        <v>420</v>
      </c>
      <c r="AE226" s="81" t="s">
        <v>8142</v>
      </c>
      <c r="AF226" s="81" t="s">
        <v>242</v>
      </c>
      <c r="AG226" s="81" t="s">
        <v>420</v>
      </c>
      <c r="AH226" s="8"/>
      <c r="AI226" s="8"/>
      <c r="AJ226" s="8"/>
      <c r="AK226" s="8"/>
      <c r="AL226" s="8"/>
      <c r="AM226" s="81" t="s">
        <v>243</v>
      </c>
      <c r="AN226" s="8"/>
      <c r="AO226" s="8"/>
      <c r="AP226" s="8"/>
      <c r="AQ226" s="8"/>
      <c r="AR226" s="9">
        <v>41555</v>
      </c>
      <c r="AS226" s="8" t="s">
        <v>8557</v>
      </c>
      <c r="AT226" s="8" t="s">
        <v>348</v>
      </c>
      <c r="AU226" s="9"/>
      <c r="AV226" s="81" t="s">
        <v>322</v>
      </c>
      <c r="AW226" s="81" t="s">
        <v>242</v>
      </c>
      <c r="AX226" s="8" t="s">
        <v>2604</v>
      </c>
      <c r="AY226" s="8"/>
      <c r="AZ226" s="8" t="s">
        <v>8253</v>
      </c>
      <c r="BA226" s="81" t="s">
        <v>361</v>
      </c>
      <c r="BB226" s="8"/>
      <c r="BC226" s="8"/>
      <c r="BD226" s="8"/>
      <c r="BE226" s="81" t="s">
        <v>261</v>
      </c>
      <c r="BF226" s="8" t="s">
        <v>2605</v>
      </c>
      <c r="BG226" s="9">
        <v>49838</v>
      </c>
      <c r="BH226" s="81" t="s">
        <v>81</v>
      </c>
      <c r="BI226" s="81" t="s">
        <v>2513</v>
      </c>
      <c r="BJ226" s="9">
        <v>44562</v>
      </c>
      <c r="BK226" s="9">
        <v>45473</v>
      </c>
      <c r="BL226" s="81" t="s">
        <v>1360</v>
      </c>
      <c r="BM226" s="8"/>
      <c r="BN226" s="8"/>
      <c r="BO226" s="8"/>
      <c r="BP226" s="8"/>
      <c r="BQ226" s="9"/>
      <c r="BR226" s="9"/>
      <c r="BS226" s="8"/>
      <c r="BT226" s="81" t="s">
        <v>2608</v>
      </c>
      <c r="BU226" s="81" t="s">
        <v>118</v>
      </c>
      <c r="BV226" s="8" t="s">
        <v>2609</v>
      </c>
      <c r="BW226" s="81" t="s">
        <v>242</v>
      </c>
      <c r="BX226" s="81" t="s">
        <v>1556</v>
      </c>
      <c r="BY226" s="9">
        <v>45717</v>
      </c>
      <c r="BZ226" s="9"/>
      <c r="CA226" s="8" t="s">
        <v>245</v>
      </c>
    </row>
    <row r="227" spans="1:79" ht="236.4" x14ac:dyDescent="0.25">
      <c r="A227" s="81" t="s">
        <v>2610</v>
      </c>
      <c r="B227" s="8"/>
      <c r="C227" s="81" t="s">
        <v>352</v>
      </c>
      <c r="D227" s="8" t="s">
        <v>7999</v>
      </c>
      <c r="E227" s="8"/>
      <c r="F227" s="9">
        <v>33731</v>
      </c>
      <c r="G227" s="8" t="s">
        <v>1689</v>
      </c>
      <c r="H227" s="81" t="s">
        <v>250</v>
      </c>
      <c r="I227" s="81" t="s">
        <v>27</v>
      </c>
      <c r="J227" s="81" t="s">
        <v>293</v>
      </c>
      <c r="K227" s="81" t="s">
        <v>294</v>
      </c>
      <c r="L227" s="81" t="s">
        <v>102</v>
      </c>
      <c r="M227" s="81" t="s">
        <v>8558</v>
      </c>
      <c r="N227" s="81" t="s">
        <v>119</v>
      </c>
      <c r="O227" s="81" t="s">
        <v>29</v>
      </c>
      <c r="P227" s="9"/>
      <c r="Q227" s="8"/>
      <c r="R227" s="8"/>
      <c r="S227" s="8"/>
      <c r="T227" s="8"/>
      <c r="U227" s="8"/>
      <c r="V227" s="81" t="s">
        <v>8239</v>
      </c>
      <c r="W227" s="81" t="s">
        <v>2611</v>
      </c>
      <c r="X227" s="8" t="s">
        <v>2612</v>
      </c>
      <c r="Y227" s="81" t="s">
        <v>33</v>
      </c>
      <c r="Z227" s="8"/>
      <c r="AA227" s="8" t="s">
        <v>8559</v>
      </c>
      <c r="AB227" s="8"/>
      <c r="AC227" s="8"/>
      <c r="AD227" s="81" t="s">
        <v>2184</v>
      </c>
      <c r="AE227" s="81" t="s">
        <v>8483</v>
      </c>
      <c r="AF227" s="81" t="s">
        <v>242</v>
      </c>
      <c r="AG227" s="81" t="s">
        <v>345</v>
      </c>
      <c r="AH227" s="81" t="s">
        <v>346</v>
      </c>
      <c r="AI227" s="81" t="s">
        <v>2184</v>
      </c>
      <c r="AJ227" s="8"/>
      <c r="AK227" s="8"/>
      <c r="AL227" s="8"/>
      <c r="AM227" s="81" t="s">
        <v>243</v>
      </c>
      <c r="AN227" s="8"/>
      <c r="AO227" s="8"/>
      <c r="AP227" s="8"/>
      <c r="AQ227" s="8"/>
      <c r="AR227" s="9">
        <v>41541</v>
      </c>
      <c r="AS227" s="8" t="s">
        <v>8557</v>
      </c>
      <c r="AT227" s="8" t="s">
        <v>348</v>
      </c>
      <c r="AU227" s="9"/>
      <c r="AV227" s="81" t="s">
        <v>322</v>
      </c>
      <c r="AW227" s="81" t="s">
        <v>242</v>
      </c>
      <c r="AX227" s="8" t="s">
        <v>2614</v>
      </c>
      <c r="AY227" s="8"/>
      <c r="AZ227" s="8" t="s">
        <v>8560</v>
      </c>
      <c r="BA227" s="81" t="s">
        <v>361</v>
      </c>
      <c r="BB227" s="8"/>
      <c r="BC227" s="8"/>
      <c r="BD227" s="8"/>
      <c r="BE227" s="81" t="s">
        <v>261</v>
      </c>
      <c r="BF227" s="8" t="s">
        <v>2615</v>
      </c>
      <c r="BG227" s="9">
        <v>51257</v>
      </c>
      <c r="BH227" s="81" t="s">
        <v>713</v>
      </c>
      <c r="BI227" s="81" t="s">
        <v>1332</v>
      </c>
      <c r="BJ227" s="9">
        <v>39326</v>
      </c>
      <c r="BK227" s="9">
        <v>40360</v>
      </c>
      <c r="BL227" s="81" t="s">
        <v>2617</v>
      </c>
      <c r="BM227" s="8"/>
      <c r="BN227" s="8"/>
      <c r="BO227" s="8"/>
      <c r="BP227" s="8"/>
      <c r="BQ227" s="9"/>
      <c r="BR227" s="9"/>
      <c r="BS227" s="8"/>
      <c r="BT227" s="81" t="s">
        <v>2618</v>
      </c>
      <c r="BU227" s="81" t="s">
        <v>266</v>
      </c>
      <c r="BV227" s="8" t="s">
        <v>2619</v>
      </c>
      <c r="BW227" s="81" t="s">
        <v>242</v>
      </c>
      <c r="BX227" s="81" t="s">
        <v>1556</v>
      </c>
      <c r="BY227" s="9">
        <v>45870</v>
      </c>
      <c r="BZ227" s="9"/>
      <c r="CA227" s="8" t="s">
        <v>245</v>
      </c>
    </row>
    <row r="228" spans="1:79" ht="205.2" x14ac:dyDescent="0.25">
      <c r="A228" s="81" t="s">
        <v>2620</v>
      </c>
      <c r="B228" s="8"/>
      <c r="C228" s="81" t="s">
        <v>26</v>
      </c>
      <c r="D228" s="8" t="s">
        <v>8000</v>
      </c>
      <c r="E228" s="8"/>
      <c r="F228" s="9">
        <v>29022</v>
      </c>
      <c r="G228" s="8" t="s">
        <v>2621</v>
      </c>
      <c r="H228" s="81" t="s">
        <v>250</v>
      </c>
      <c r="I228" s="81" t="s">
        <v>251</v>
      </c>
      <c r="J228" s="81" t="s">
        <v>270</v>
      </c>
      <c r="K228" s="81" t="s">
        <v>394</v>
      </c>
      <c r="L228" s="81" t="s">
        <v>102</v>
      </c>
      <c r="M228" s="81" t="s">
        <v>8561</v>
      </c>
      <c r="N228" s="81" t="s">
        <v>119</v>
      </c>
      <c r="O228" s="81" t="s">
        <v>29</v>
      </c>
      <c r="P228" s="9"/>
      <c r="Q228" s="8"/>
      <c r="R228" s="8"/>
      <c r="S228" s="8"/>
      <c r="T228" s="8"/>
      <c r="U228" s="8"/>
      <c r="V228" s="8"/>
      <c r="W228" s="8"/>
      <c r="X228" s="8" t="s">
        <v>2623</v>
      </c>
      <c r="Y228" s="81" t="s">
        <v>33</v>
      </c>
      <c r="Z228" s="8"/>
      <c r="AA228" s="81" t="s">
        <v>2624</v>
      </c>
      <c r="AB228" s="8"/>
      <c r="AC228" s="8"/>
      <c r="AD228" s="81" t="s">
        <v>344</v>
      </c>
      <c r="AE228" s="81" t="s">
        <v>8129</v>
      </c>
      <c r="AF228" s="81" t="s">
        <v>242</v>
      </c>
      <c r="AG228" s="81" t="s">
        <v>345</v>
      </c>
      <c r="AH228" s="81" t="s">
        <v>346</v>
      </c>
      <c r="AI228" s="81" t="s">
        <v>344</v>
      </c>
      <c r="AJ228" s="8"/>
      <c r="AK228" s="8"/>
      <c r="AL228" s="8"/>
      <c r="AM228" s="81" t="s">
        <v>243</v>
      </c>
      <c r="AN228" s="8"/>
      <c r="AO228" s="8"/>
      <c r="AP228" s="8"/>
      <c r="AQ228" s="8"/>
      <c r="AR228" s="9">
        <v>41495</v>
      </c>
      <c r="AS228" s="8" t="s">
        <v>8562</v>
      </c>
      <c r="AT228" s="8" t="s">
        <v>348</v>
      </c>
      <c r="AU228" s="9"/>
      <c r="AV228" s="81" t="s">
        <v>322</v>
      </c>
      <c r="AW228" s="81" t="s">
        <v>242</v>
      </c>
      <c r="AX228" s="8" t="s">
        <v>2625</v>
      </c>
      <c r="AY228" s="8"/>
      <c r="AZ228" s="8" t="s">
        <v>8563</v>
      </c>
      <c r="BA228" s="81" t="s">
        <v>556</v>
      </c>
      <c r="BB228" s="8"/>
      <c r="BC228" s="8"/>
      <c r="BD228" s="8"/>
      <c r="BE228" s="81" t="s">
        <v>261</v>
      </c>
      <c r="BF228" s="8" t="s">
        <v>2626</v>
      </c>
      <c r="BG228" s="9">
        <v>50238</v>
      </c>
      <c r="BH228" s="81" t="s">
        <v>1705</v>
      </c>
      <c r="BI228" s="81" t="s">
        <v>2628</v>
      </c>
      <c r="BJ228" s="9">
        <v>34213</v>
      </c>
      <c r="BK228" s="9">
        <v>35309</v>
      </c>
      <c r="BL228" s="8"/>
      <c r="BM228" s="8"/>
      <c r="BN228" s="8"/>
      <c r="BO228" s="8"/>
      <c r="BP228" s="8"/>
      <c r="BQ228" s="9"/>
      <c r="BR228" s="9"/>
      <c r="BS228" s="8"/>
      <c r="BT228" s="81" t="s">
        <v>2630</v>
      </c>
      <c r="BU228" s="81" t="s">
        <v>118</v>
      </c>
      <c r="BV228" s="8" t="s">
        <v>2631</v>
      </c>
      <c r="BW228" s="81" t="s">
        <v>242</v>
      </c>
      <c r="BX228" s="81" t="s">
        <v>337</v>
      </c>
      <c r="BY228" s="9">
        <v>45870</v>
      </c>
      <c r="BZ228" s="9">
        <v>46873</v>
      </c>
      <c r="CA228" s="8" t="s">
        <v>245</v>
      </c>
    </row>
    <row r="229" spans="1:79" ht="205.2" x14ac:dyDescent="0.25">
      <c r="A229" s="81" t="s">
        <v>2632</v>
      </c>
      <c r="B229" s="8"/>
      <c r="C229" s="81" t="s">
        <v>26</v>
      </c>
      <c r="D229" s="8" t="s">
        <v>8001</v>
      </c>
      <c r="E229" s="8"/>
      <c r="F229" s="9">
        <v>27661</v>
      </c>
      <c r="G229" s="8" t="s">
        <v>2633</v>
      </c>
      <c r="H229" s="81" t="s">
        <v>250</v>
      </c>
      <c r="I229" s="81" t="s">
        <v>27</v>
      </c>
      <c r="J229" s="81" t="s">
        <v>252</v>
      </c>
      <c r="K229" s="81" t="s">
        <v>294</v>
      </c>
      <c r="L229" s="81" t="s">
        <v>102</v>
      </c>
      <c r="M229" s="81" t="s">
        <v>8564</v>
      </c>
      <c r="N229" s="81" t="s">
        <v>119</v>
      </c>
      <c r="O229" s="81" t="s">
        <v>29</v>
      </c>
      <c r="P229" s="9"/>
      <c r="Q229" s="8"/>
      <c r="R229" s="8"/>
      <c r="S229" s="8"/>
      <c r="T229" s="8"/>
      <c r="U229" s="8"/>
      <c r="V229" s="81" t="s">
        <v>8239</v>
      </c>
      <c r="W229" s="81" t="s">
        <v>965</v>
      </c>
      <c r="X229" s="8" t="s">
        <v>2634</v>
      </c>
      <c r="Y229" s="81" t="s">
        <v>33</v>
      </c>
      <c r="Z229" s="8"/>
      <c r="AA229" s="81" t="s">
        <v>2635</v>
      </c>
      <c r="AB229" s="8"/>
      <c r="AC229" s="8"/>
      <c r="AD229" s="81" t="s">
        <v>344</v>
      </c>
      <c r="AE229" s="81" t="s">
        <v>8129</v>
      </c>
      <c r="AF229" s="81" t="s">
        <v>242</v>
      </c>
      <c r="AG229" s="81" t="s">
        <v>345</v>
      </c>
      <c r="AH229" s="81" t="s">
        <v>346</v>
      </c>
      <c r="AI229" s="81" t="s">
        <v>344</v>
      </c>
      <c r="AJ229" s="8"/>
      <c r="AK229" s="8"/>
      <c r="AL229" s="8"/>
      <c r="AM229" s="81" t="s">
        <v>243</v>
      </c>
      <c r="AN229" s="8"/>
      <c r="AO229" s="8"/>
      <c r="AP229" s="8"/>
      <c r="AQ229" s="8"/>
      <c r="AR229" s="9">
        <v>41484</v>
      </c>
      <c r="AS229" s="8" t="s">
        <v>8562</v>
      </c>
      <c r="AT229" s="8" t="s">
        <v>348</v>
      </c>
      <c r="AU229" s="9"/>
      <c r="AV229" s="81" t="s">
        <v>322</v>
      </c>
      <c r="AW229" s="81" t="s">
        <v>242</v>
      </c>
      <c r="AX229" s="8" t="s">
        <v>2636</v>
      </c>
      <c r="AY229" s="8"/>
      <c r="AZ229" s="8" t="s">
        <v>8565</v>
      </c>
      <c r="BA229" s="81" t="s">
        <v>556</v>
      </c>
      <c r="BB229" s="8"/>
      <c r="BC229" s="8"/>
      <c r="BD229" s="8"/>
      <c r="BE229" s="81" t="s">
        <v>261</v>
      </c>
      <c r="BF229" s="8" t="s">
        <v>2637</v>
      </c>
      <c r="BG229" s="9">
        <v>46243</v>
      </c>
      <c r="BH229" s="81" t="s">
        <v>713</v>
      </c>
      <c r="BI229" s="81" t="s">
        <v>2639</v>
      </c>
      <c r="BJ229" s="9">
        <v>33848</v>
      </c>
      <c r="BK229" s="9">
        <v>34881</v>
      </c>
      <c r="BL229" s="81" t="s">
        <v>2641</v>
      </c>
      <c r="BM229" s="8"/>
      <c r="BN229" s="8"/>
      <c r="BO229" s="8"/>
      <c r="BP229" s="8"/>
      <c r="BQ229" s="9"/>
      <c r="BR229" s="9"/>
      <c r="BS229" s="8"/>
      <c r="BT229" s="81" t="s">
        <v>2642</v>
      </c>
      <c r="BU229" s="81" t="s">
        <v>118</v>
      </c>
      <c r="BV229" s="8" t="s">
        <v>2643</v>
      </c>
      <c r="BW229" s="81" t="s">
        <v>242</v>
      </c>
      <c r="BX229" s="81" t="s">
        <v>1556</v>
      </c>
      <c r="BY229" s="9">
        <v>44470</v>
      </c>
      <c r="BZ229" s="9"/>
      <c r="CA229" s="8" t="s">
        <v>245</v>
      </c>
    </row>
    <row r="230" spans="1:79" ht="125.4" x14ac:dyDescent="0.25">
      <c r="A230" s="81" t="s">
        <v>2645</v>
      </c>
      <c r="B230" s="8"/>
      <c r="C230" s="81" t="s">
        <v>26</v>
      </c>
      <c r="D230" s="8" t="s">
        <v>8002</v>
      </c>
      <c r="E230" s="8"/>
      <c r="F230" s="9">
        <v>29954</v>
      </c>
      <c r="G230" s="8" t="s">
        <v>2646</v>
      </c>
      <c r="H230" s="81" t="s">
        <v>250</v>
      </c>
      <c r="I230" s="81" t="s">
        <v>27</v>
      </c>
      <c r="J230" s="81" t="s">
        <v>252</v>
      </c>
      <c r="K230" s="81" t="s">
        <v>436</v>
      </c>
      <c r="L230" s="81" t="s">
        <v>2647</v>
      </c>
      <c r="M230" s="81" t="s">
        <v>8566</v>
      </c>
      <c r="N230" s="81" t="s">
        <v>119</v>
      </c>
      <c r="O230" s="81" t="s">
        <v>29</v>
      </c>
      <c r="P230" s="9"/>
      <c r="Q230" s="8"/>
      <c r="R230" s="8"/>
      <c r="S230" s="8"/>
      <c r="T230" s="81" t="s">
        <v>8247</v>
      </c>
      <c r="U230" s="81" t="s">
        <v>1654</v>
      </c>
      <c r="V230" s="8"/>
      <c r="W230" s="8"/>
      <c r="X230" s="8" t="s">
        <v>2648</v>
      </c>
      <c r="Y230" s="81" t="s">
        <v>33</v>
      </c>
      <c r="Z230" s="8"/>
      <c r="AA230" s="81" t="s">
        <v>2649</v>
      </c>
      <c r="AB230" s="8"/>
      <c r="AC230" s="8"/>
      <c r="AD230" s="81" t="s">
        <v>256</v>
      </c>
      <c r="AE230" s="81" t="s">
        <v>8268</v>
      </c>
      <c r="AF230" s="81" t="s">
        <v>256</v>
      </c>
      <c r="AG230" s="8"/>
      <c r="AH230" s="8"/>
      <c r="AI230" s="8"/>
      <c r="AJ230" s="8"/>
      <c r="AK230" s="8"/>
      <c r="AL230" s="8"/>
      <c r="AM230" s="81" t="s">
        <v>243</v>
      </c>
      <c r="AN230" s="8"/>
      <c r="AO230" s="8"/>
      <c r="AP230" s="8"/>
      <c r="AQ230" s="8"/>
      <c r="AR230" s="9">
        <v>41479</v>
      </c>
      <c r="AS230" s="8" t="s">
        <v>8562</v>
      </c>
      <c r="AT230" s="8" t="s">
        <v>348</v>
      </c>
      <c r="AU230" s="9"/>
      <c r="AV230" s="81" t="s">
        <v>322</v>
      </c>
      <c r="AW230" s="81" t="s">
        <v>256</v>
      </c>
      <c r="AX230" s="8" t="s">
        <v>2650</v>
      </c>
      <c r="AY230" s="8"/>
      <c r="AZ230" s="8" t="s">
        <v>8386</v>
      </c>
      <c r="BA230" s="81" t="s">
        <v>676</v>
      </c>
      <c r="BB230" s="8"/>
      <c r="BC230" s="8"/>
      <c r="BD230" s="8"/>
      <c r="BE230" s="81" t="s">
        <v>261</v>
      </c>
      <c r="BF230" s="8" t="s">
        <v>2651</v>
      </c>
      <c r="BG230" s="9">
        <v>47568</v>
      </c>
      <c r="BH230" s="81" t="s">
        <v>81</v>
      </c>
      <c r="BI230" s="81" t="s">
        <v>1487</v>
      </c>
      <c r="BJ230" s="9">
        <v>36770</v>
      </c>
      <c r="BK230" s="9">
        <v>38169</v>
      </c>
      <c r="BL230" s="81" t="s">
        <v>2655</v>
      </c>
      <c r="BM230" s="81" t="s">
        <v>82</v>
      </c>
      <c r="BN230" s="8"/>
      <c r="BO230" s="8"/>
      <c r="BP230" s="8"/>
      <c r="BQ230" s="9"/>
      <c r="BR230" s="9"/>
      <c r="BS230" s="8"/>
      <c r="BT230" s="8"/>
      <c r="BU230" s="8"/>
      <c r="BV230" s="8"/>
      <c r="BW230" s="81" t="s">
        <v>256</v>
      </c>
      <c r="BX230" s="81" t="s">
        <v>1556</v>
      </c>
      <c r="BY230" s="9">
        <v>43836</v>
      </c>
      <c r="BZ230" s="9"/>
      <c r="CA230" s="8" t="s">
        <v>245</v>
      </c>
    </row>
    <row r="231" spans="1:79" ht="205.2" x14ac:dyDescent="0.25">
      <c r="A231" s="81" t="s">
        <v>2656</v>
      </c>
      <c r="B231" s="8"/>
      <c r="C231" s="81" t="s">
        <v>26</v>
      </c>
      <c r="D231" s="8" t="s">
        <v>8003</v>
      </c>
      <c r="E231" s="8"/>
      <c r="F231" s="9">
        <v>34510</v>
      </c>
      <c r="G231" s="8" t="s">
        <v>837</v>
      </c>
      <c r="H231" s="81" t="s">
        <v>250</v>
      </c>
      <c r="I231" s="81" t="s">
        <v>27</v>
      </c>
      <c r="J231" s="81" t="s">
        <v>293</v>
      </c>
      <c r="K231" s="81" t="s">
        <v>294</v>
      </c>
      <c r="L231" s="81" t="s">
        <v>102</v>
      </c>
      <c r="M231" s="81" t="s">
        <v>8567</v>
      </c>
      <c r="N231" s="81" t="s">
        <v>272</v>
      </c>
      <c r="O231" s="81" t="s">
        <v>253</v>
      </c>
      <c r="P231" s="9"/>
      <c r="Q231" s="8"/>
      <c r="R231" s="8"/>
      <c r="S231" s="8"/>
      <c r="T231" s="8"/>
      <c r="U231" s="8"/>
      <c r="V231" s="8"/>
      <c r="W231" s="8"/>
      <c r="X231" s="8" t="s">
        <v>2657</v>
      </c>
      <c r="Y231" s="81" t="s">
        <v>33</v>
      </c>
      <c r="Z231" s="8"/>
      <c r="AA231" s="81" t="s">
        <v>574</v>
      </c>
      <c r="AB231" s="8"/>
      <c r="AC231" s="8"/>
      <c r="AD231" s="81" t="s">
        <v>344</v>
      </c>
      <c r="AE231" s="81" t="s">
        <v>8129</v>
      </c>
      <c r="AF231" s="81" t="s">
        <v>242</v>
      </c>
      <c r="AG231" s="81" t="s">
        <v>345</v>
      </c>
      <c r="AH231" s="81" t="s">
        <v>346</v>
      </c>
      <c r="AI231" s="81" t="s">
        <v>344</v>
      </c>
      <c r="AJ231" s="8"/>
      <c r="AK231" s="8"/>
      <c r="AL231" s="8"/>
      <c r="AM231" s="81" t="s">
        <v>243</v>
      </c>
      <c r="AN231" s="8"/>
      <c r="AO231" s="8"/>
      <c r="AP231" s="8"/>
      <c r="AQ231" s="8"/>
      <c r="AR231" s="9">
        <v>41474</v>
      </c>
      <c r="AS231" s="8" t="s">
        <v>8562</v>
      </c>
      <c r="AT231" s="8" t="s">
        <v>348</v>
      </c>
      <c r="AU231" s="9"/>
      <c r="AV231" s="81" t="s">
        <v>322</v>
      </c>
      <c r="AW231" s="81" t="s">
        <v>242</v>
      </c>
      <c r="AX231" s="8" t="s">
        <v>2658</v>
      </c>
      <c r="AY231" s="8"/>
      <c r="AZ231" s="8" t="s">
        <v>8568</v>
      </c>
      <c r="BA231" s="81" t="s">
        <v>556</v>
      </c>
      <c r="BB231" s="8"/>
      <c r="BC231" s="8"/>
      <c r="BD231" s="8"/>
      <c r="BE231" s="81" t="s">
        <v>261</v>
      </c>
      <c r="BF231" s="8" t="s">
        <v>2659</v>
      </c>
      <c r="BG231" s="9">
        <v>51481</v>
      </c>
      <c r="BH231" s="81" t="s">
        <v>713</v>
      </c>
      <c r="BI231" s="81" t="s">
        <v>1761</v>
      </c>
      <c r="BJ231" s="9">
        <v>40422</v>
      </c>
      <c r="BK231" s="9">
        <v>41456</v>
      </c>
      <c r="BL231" s="81" t="s">
        <v>1762</v>
      </c>
      <c r="BM231" s="8"/>
      <c r="BN231" s="8"/>
      <c r="BO231" s="8"/>
      <c r="BP231" s="8"/>
      <c r="BQ231" s="9"/>
      <c r="BR231" s="9"/>
      <c r="BS231" s="8"/>
      <c r="BT231" s="81" t="s">
        <v>2661</v>
      </c>
      <c r="BU231" s="81" t="s">
        <v>266</v>
      </c>
      <c r="BV231" s="8" t="s">
        <v>2662</v>
      </c>
      <c r="BW231" s="81" t="s">
        <v>242</v>
      </c>
      <c r="BX231" s="81" t="s">
        <v>337</v>
      </c>
      <c r="BY231" s="9">
        <v>45870</v>
      </c>
      <c r="BZ231" s="9">
        <v>46873</v>
      </c>
      <c r="CA231" s="8" t="s">
        <v>245</v>
      </c>
    </row>
    <row r="232" spans="1:79" ht="141.6" x14ac:dyDescent="0.25">
      <c r="A232" s="81" t="s">
        <v>2663</v>
      </c>
      <c r="B232" s="8"/>
      <c r="C232" s="81" t="s">
        <v>26</v>
      </c>
      <c r="D232" s="8" t="s">
        <v>8004</v>
      </c>
      <c r="E232" s="8"/>
      <c r="F232" s="9">
        <v>24972</v>
      </c>
      <c r="G232" s="8" t="s">
        <v>2664</v>
      </c>
      <c r="H232" s="81" t="s">
        <v>250</v>
      </c>
      <c r="I232" s="81" t="s">
        <v>435</v>
      </c>
      <c r="J232" s="81" t="s">
        <v>252</v>
      </c>
      <c r="K232" s="81" t="s">
        <v>1314</v>
      </c>
      <c r="L232" s="81" t="s">
        <v>102</v>
      </c>
      <c r="M232" s="81" t="s">
        <v>8569</v>
      </c>
      <c r="N232" s="81" t="s">
        <v>119</v>
      </c>
      <c r="O232" s="81" t="s">
        <v>29</v>
      </c>
      <c r="P232" s="9"/>
      <c r="Q232" s="8"/>
      <c r="R232" s="8"/>
      <c r="S232" s="8"/>
      <c r="T232" s="8"/>
      <c r="U232" s="8"/>
      <c r="V232" s="8"/>
      <c r="W232" s="8"/>
      <c r="X232" s="8" t="s">
        <v>2665</v>
      </c>
      <c r="Y232" s="81" t="s">
        <v>33</v>
      </c>
      <c r="Z232" s="8"/>
      <c r="AA232" s="81" t="s">
        <v>551</v>
      </c>
      <c r="AB232" s="8"/>
      <c r="AC232" s="8"/>
      <c r="AD232" s="81" t="s">
        <v>553</v>
      </c>
      <c r="AE232" s="81" t="s">
        <v>8194</v>
      </c>
      <c r="AF232" s="81" t="s">
        <v>492</v>
      </c>
      <c r="AG232" s="81" t="s">
        <v>553</v>
      </c>
      <c r="AH232" s="8"/>
      <c r="AI232" s="8"/>
      <c r="AJ232" s="8"/>
      <c r="AK232" s="8"/>
      <c r="AL232" s="8"/>
      <c r="AM232" s="81" t="s">
        <v>243</v>
      </c>
      <c r="AN232" s="8"/>
      <c r="AO232" s="8"/>
      <c r="AP232" s="8"/>
      <c r="AQ232" s="8"/>
      <c r="AR232" s="9">
        <v>41467</v>
      </c>
      <c r="AS232" s="8" t="s">
        <v>8562</v>
      </c>
      <c r="AT232" s="8" t="s">
        <v>348</v>
      </c>
      <c r="AU232" s="9"/>
      <c r="AV232" s="81" t="s">
        <v>322</v>
      </c>
      <c r="AW232" s="81" t="s">
        <v>492</v>
      </c>
      <c r="AX232" s="8" t="s">
        <v>2666</v>
      </c>
      <c r="AY232" s="8"/>
      <c r="AZ232" s="8" t="s">
        <v>8570</v>
      </c>
      <c r="BA232" s="81" t="s">
        <v>556</v>
      </c>
      <c r="BB232" s="8"/>
      <c r="BC232" s="8"/>
      <c r="BD232" s="8"/>
      <c r="BE232" s="81" t="s">
        <v>261</v>
      </c>
      <c r="BF232" s="8" t="s">
        <v>2667</v>
      </c>
      <c r="BG232" s="9">
        <v>46186</v>
      </c>
      <c r="BH232" s="81" t="s">
        <v>120</v>
      </c>
      <c r="BI232" s="81" t="s">
        <v>2668</v>
      </c>
      <c r="BJ232" s="9">
        <v>245</v>
      </c>
      <c r="BK232" s="9"/>
      <c r="BL232" s="8"/>
      <c r="BM232" s="8"/>
      <c r="BN232" s="8"/>
      <c r="BO232" s="8"/>
      <c r="BP232" s="8"/>
      <c r="BQ232" s="9"/>
      <c r="BR232" s="9"/>
      <c r="BS232" s="8"/>
      <c r="BT232" s="8"/>
      <c r="BU232" s="8"/>
      <c r="BV232" s="8"/>
      <c r="BW232" s="81" t="s">
        <v>492</v>
      </c>
      <c r="BX232" s="81" t="s">
        <v>1556</v>
      </c>
      <c r="BY232" s="9">
        <v>43836</v>
      </c>
      <c r="BZ232" s="9"/>
      <c r="CA232" s="8" t="s">
        <v>245</v>
      </c>
    </row>
    <row r="233" spans="1:79" ht="157.19999999999999" x14ac:dyDescent="0.25">
      <c r="A233" s="81" t="s">
        <v>2669</v>
      </c>
      <c r="B233" s="8"/>
      <c r="C233" s="81" t="s">
        <v>26</v>
      </c>
      <c r="D233" s="8" t="s">
        <v>8005</v>
      </c>
      <c r="E233" s="8"/>
      <c r="F233" s="9">
        <v>33216</v>
      </c>
      <c r="G233" s="8" t="s">
        <v>292</v>
      </c>
      <c r="H233" s="81" t="s">
        <v>250</v>
      </c>
      <c r="I233" s="81" t="s">
        <v>27</v>
      </c>
      <c r="J233" s="81" t="s">
        <v>270</v>
      </c>
      <c r="K233" s="81" t="s">
        <v>563</v>
      </c>
      <c r="L233" s="81" t="s">
        <v>102</v>
      </c>
      <c r="M233" s="81" t="s">
        <v>8571</v>
      </c>
      <c r="N233" s="81" t="s">
        <v>272</v>
      </c>
      <c r="O233" s="81" t="s">
        <v>29</v>
      </c>
      <c r="P233" s="9"/>
      <c r="Q233" s="8"/>
      <c r="R233" s="8"/>
      <c r="S233" s="8"/>
      <c r="T233" s="8"/>
      <c r="U233" s="8"/>
      <c r="V233" s="8"/>
      <c r="W233" s="8"/>
      <c r="X233" s="8" t="s">
        <v>2671</v>
      </c>
      <c r="Y233" s="81" t="s">
        <v>33</v>
      </c>
      <c r="Z233" s="8"/>
      <c r="AA233" s="81" t="s">
        <v>2672</v>
      </c>
      <c r="AB233" s="8"/>
      <c r="AC233" s="8"/>
      <c r="AD233" s="81" t="s">
        <v>878</v>
      </c>
      <c r="AE233" s="81" t="s">
        <v>8223</v>
      </c>
      <c r="AF233" s="81" t="s">
        <v>492</v>
      </c>
      <c r="AG233" s="81" t="s">
        <v>878</v>
      </c>
      <c r="AH233" s="8"/>
      <c r="AI233" s="8"/>
      <c r="AJ233" s="8"/>
      <c r="AK233" s="8"/>
      <c r="AL233" s="8"/>
      <c r="AM233" s="81" t="s">
        <v>243</v>
      </c>
      <c r="AN233" s="8"/>
      <c r="AO233" s="8"/>
      <c r="AP233" s="8"/>
      <c r="AQ233" s="8"/>
      <c r="AR233" s="9">
        <v>41456</v>
      </c>
      <c r="AS233" s="8" t="s">
        <v>8572</v>
      </c>
      <c r="AT233" s="8" t="s">
        <v>348</v>
      </c>
      <c r="AU233" s="9"/>
      <c r="AV233" s="81" t="s">
        <v>322</v>
      </c>
      <c r="AW233" s="81" t="s">
        <v>492</v>
      </c>
      <c r="AX233" s="8" t="s">
        <v>2673</v>
      </c>
      <c r="AY233" s="8"/>
      <c r="AZ233" s="8" t="s">
        <v>8573</v>
      </c>
      <c r="BA233" s="81" t="s">
        <v>361</v>
      </c>
      <c r="BB233" s="8"/>
      <c r="BC233" s="8"/>
      <c r="BD233" s="8"/>
      <c r="BE233" s="81" t="s">
        <v>261</v>
      </c>
      <c r="BF233" s="8" t="s">
        <v>2674</v>
      </c>
      <c r="BG233" s="9">
        <v>50184</v>
      </c>
      <c r="BH233" s="81" t="s">
        <v>81</v>
      </c>
      <c r="BI233" s="81" t="s">
        <v>1946</v>
      </c>
      <c r="BJ233" s="9">
        <v>44256</v>
      </c>
      <c r="BK233" s="9">
        <v>45301</v>
      </c>
      <c r="BL233" s="81" t="s">
        <v>85</v>
      </c>
      <c r="BM233" s="8"/>
      <c r="BN233" s="8"/>
      <c r="BO233" s="8"/>
      <c r="BP233" s="8"/>
      <c r="BQ233" s="9"/>
      <c r="BR233" s="9"/>
      <c r="BS233" s="8"/>
      <c r="BT233" s="81" t="s">
        <v>2677</v>
      </c>
      <c r="BU233" s="81" t="s">
        <v>266</v>
      </c>
      <c r="BV233" s="8" t="s">
        <v>2678</v>
      </c>
      <c r="BW233" s="81" t="s">
        <v>492</v>
      </c>
      <c r="BX233" s="81" t="s">
        <v>1556</v>
      </c>
      <c r="BY233" s="9">
        <v>43836</v>
      </c>
      <c r="BZ233" s="9"/>
      <c r="CA233" s="8" t="s">
        <v>245</v>
      </c>
    </row>
    <row r="234" spans="1:79" ht="205.2" x14ac:dyDescent="0.25">
      <c r="A234" s="81" t="s">
        <v>2679</v>
      </c>
      <c r="B234" s="8"/>
      <c r="C234" s="81" t="s">
        <v>26</v>
      </c>
      <c r="D234" s="8" t="s">
        <v>8006</v>
      </c>
      <c r="E234" s="8"/>
      <c r="F234" s="9">
        <v>33550</v>
      </c>
      <c r="G234" s="8" t="s">
        <v>1392</v>
      </c>
      <c r="H234" s="81" t="s">
        <v>250</v>
      </c>
      <c r="I234" s="81" t="s">
        <v>251</v>
      </c>
      <c r="J234" s="81" t="s">
        <v>474</v>
      </c>
      <c r="K234" s="81" t="s">
        <v>394</v>
      </c>
      <c r="L234" s="81" t="s">
        <v>102</v>
      </c>
      <c r="M234" s="81" t="s">
        <v>8574</v>
      </c>
      <c r="N234" s="81" t="s">
        <v>119</v>
      </c>
      <c r="O234" s="81" t="s">
        <v>253</v>
      </c>
      <c r="P234" s="9"/>
      <c r="Q234" s="8"/>
      <c r="R234" s="8"/>
      <c r="S234" s="8"/>
      <c r="T234" s="8"/>
      <c r="U234" s="8"/>
      <c r="V234" s="8"/>
      <c r="W234" s="8"/>
      <c r="X234" s="8" t="s">
        <v>2680</v>
      </c>
      <c r="Y234" s="81" t="s">
        <v>33</v>
      </c>
      <c r="Z234" s="8"/>
      <c r="AA234" s="81" t="s">
        <v>574</v>
      </c>
      <c r="AB234" s="8"/>
      <c r="AC234" s="8"/>
      <c r="AD234" s="81" t="s">
        <v>344</v>
      </c>
      <c r="AE234" s="81" t="s">
        <v>8129</v>
      </c>
      <c r="AF234" s="81" t="s">
        <v>242</v>
      </c>
      <c r="AG234" s="81" t="s">
        <v>345</v>
      </c>
      <c r="AH234" s="81" t="s">
        <v>346</v>
      </c>
      <c r="AI234" s="81" t="s">
        <v>344</v>
      </c>
      <c r="AJ234" s="8"/>
      <c r="AK234" s="8"/>
      <c r="AL234" s="8"/>
      <c r="AM234" s="81" t="s">
        <v>243</v>
      </c>
      <c r="AN234" s="8"/>
      <c r="AO234" s="8"/>
      <c r="AP234" s="8"/>
      <c r="AQ234" s="8"/>
      <c r="AR234" s="9">
        <v>41456</v>
      </c>
      <c r="AS234" s="8" t="s">
        <v>8572</v>
      </c>
      <c r="AT234" s="8" t="s">
        <v>348</v>
      </c>
      <c r="AU234" s="9"/>
      <c r="AV234" s="81" t="s">
        <v>322</v>
      </c>
      <c r="AW234" s="81" t="s">
        <v>242</v>
      </c>
      <c r="AX234" s="8" t="s">
        <v>2681</v>
      </c>
      <c r="AY234" s="8"/>
      <c r="AZ234" s="8" t="s">
        <v>8573</v>
      </c>
      <c r="BA234" s="81" t="s">
        <v>556</v>
      </c>
      <c r="BB234" s="8"/>
      <c r="BC234" s="8"/>
      <c r="BD234" s="8"/>
      <c r="BE234" s="81" t="s">
        <v>261</v>
      </c>
      <c r="BF234" s="8" t="s">
        <v>2682</v>
      </c>
      <c r="BG234" s="9">
        <v>50618</v>
      </c>
      <c r="BH234" s="81" t="s">
        <v>305</v>
      </c>
      <c r="BI234" s="81" t="s">
        <v>559</v>
      </c>
      <c r="BJ234" s="9">
        <v>40422</v>
      </c>
      <c r="BK234" s="9">
        <v>41426</v>
      </c>
      <c r="BL234" s="81" t="s">
        <v>945</v>
      </c>
      <c r="BM234" s="8"/>
      <c r="BN234" s="8"/>
      <c r="BO234" s="8"/>
      <c r="BP234" s="8"/>
      <c r="BQ234" s="9"/>
      <c r="BR234" s="9"/>
      <c r="BS234" s="8"/>
      <c r="BT234" s="8"/>
      <c r="BU234" s="8"/>
      <c r="BV234" s="8"/>
      <c r="BW234" s="81" t="s">
        <v>242</v>
      </c>
      <c r="BX234" s="81" t="s">
        <v>337</v>
      </c>
      <c r="BY234" s="9">
        <v>45870</v>
      </c>
      <c r="BZ234" s="9">
        <v>46873</v>
      </c>
      <c r="CA234" s="8" t="s">
        <v>245</v>
      </c>
    </row>
    <row r="235" spans="1:79" ht="205.2" x14ac:dyDescent="0.25">
      <c r="A235" s="81" t="s">
        <v>2684</v>
      </c>
      <c r="B235" s="8"/>
      <c r="C235" s="81" t="s">
        <v>26</v>
      </c>
      <c r="D235" s="8" t="s">
        <v>8007</v>
      </c>
      <c r="E235" s="8"/>
      <c r="F235" s="9">
        <v>33593</v>
      </c>
      <c r="G235" s="8" t="s">
        <v>1392</v>
      </c>
      <c r="H235" s="81" t="s">
        <v>250</v>
      </c>
      <c r="I235" s="81" t="s">
        <v>27</v>
      </c>
      <c r="J235" s="81" t="s">
        <v>474</v>
      </c>
      <c r="K235" s="81" t="s">
        <v>488</v>
      </c>
      <c r="L235" s="81" t="s">
        <v>102</v>
      </c>
      <c r="M235" s="81" t="s">
        <v>8575</v>
      </c>
      <c r="N235" s="81" t="s">
        <v>28</v>
      </c>
      <c r="O235" s="81" t="s">
        <v>29</v>
      </c>
      <c r="P235" s="9"/>
      <c r="Q235" s="8"/>
      <c r="R235" s="8"/>
      <c r="S235" s="8"/>
      <c r="T235" s="8"/>
      <c r="U235" s="8"/>
      <c r="V235" s="8"/>
      <c r="W235" s="8"/>
      <c r="X235" s="8" t="s">
        <v>2685</v>
      </c>
      <c r="Y235" s="81" t="s">
        <v>33</v>
      </c>
      <c r="Z235" s="8"/>
      <c r="AA235" s="81" t="s">
        <v>2686</v>
      </c>
      <c r="AB235" s="8"/>
      <c r="AC235" s="8"/>
      <c r="AD235" s="81" t="s">
        <v>344</v>
      </c>
      <c r="AE235" s="81" t="s">
        <v>8129</v>
      </c>
      <c r="AF235" s="81" t="s">
        <v>242</v>
      </c>
      <c r="AG235" s="81" t="s">
        <v>345</v>
      </c>
      <c r="AH235" s="81" t="s">
        <v>346</v>
      </c>
      <c r="AI235" s="81" t="s">
        <v>344</v>
      </c>
      <c r="AJ235" s="8"/>
      <c r="AK235" s="8"/>
      <c r="AL235" s="8"/>
      <c r="AM235" s="81" t="s">
        <v>243</v>
      </c>
      <c r="AN235" s="8"/>
      <c r="AO235" s="8"/>
      <c r="AP235" s="8"/>
      <c r="AQ235" s="8"/>
      <c r="AR235" s="9">
        <v>41456</v>
      </c>
      <c r="AS235" s="8" t="s">
        <v>8572</v>
      </c>
      <c r="AT235" s="8" t="s">
        <v>348</v>
      </c>
      <c r="AU235" s="9"/>
      <c r="AV235" s="81" t="s">
        <v>322</v>
      </c>
      <c r="AW235" s="81" t="s">
        <v>242</v>
      </c>
      <c r="AX235" s="8" t="s">
        <v>2687</v>
      </c>
      <c r="AY235" s="8"/>
      <c r="AZ235" s="8" t="s">
        <v>8573</v>
      </c>
      <c r="BA235" s="81" t="s">
        <v>556</v>
      </c>
      <c r="BB235" s="8"/>
      <c r="BC235" s="8"/>
      <c r="BD235" s="8"/>
      <c r="BE235" s="81" t="s">
        <v>261</v>
      </c>
      <c r="BF235" s="8" t="s">
        <v>2688</v>
      </c>
      <c r="BG235" s="9">
        <v>50527</v>
      </c>
      <c r="BH235" s="81" t="s">
        <v>305</v>
      </c>
      <c r="BI235" s="81" t="s">
        <v>1410</v>
      </c>
      <c r="BJ235" s="9">
        <v>40422</v>
      </c>
      <c r="BK235" s="9">
        <v>41456</v>
      </c>
      <c r="BL235" s="81" t="s">
        <v>2067</v>
      </c>
      <c r="BM235" s="8"/>
      <c r="BN235" s="8"/>
      <c r="BO235" s="8"/>
      <c r="BP235" s="8"/>
      <c r="BQ235" s="9"/>
      <c r="BR235" s="9"/>
      <c r="BS235" s="8"/>
      <c r="BT235" s="81" t="s">
        <v>2690</v>
      </c>
      <c r="BU235" s="81" t="s">
        <v>266</v>
      </c>
      <c r="BV235" s="8" t="s">
        <v>2691</v>
      </c>
      <c r="BW235" s="81" t="s">
        <v>242</v>
      </c>
      <c r="BX235" s="81" t="s">
        <v>337</v>
      </c>
      <c r="BY235" s="9">
        <v>45870</v>
      </c>
      <c r="BZ235" s="9">
        <v>46142</v>
      </c>
      <c r="CA235" s="8" t="s">
        <v>245</v>
      </c>
    </row>
    <row r="236" spans="1:79" ht="157.19999999999999" x14ac:dyDescent="0.25">
      <c r="A236" s="81" t="s">
        <v>2692</v>
      </c>
      <c r="B236" s="8"/>
      <c r="C236" s="81" t="s">
        <v>26</v>
      </c>
      <c r="D236" s="8" t="s">
        <v>8008</v>
      </c>
      <c r="E236" s="8"/>
      <c r="F236" s="9">
        <v>33126</v>
      </c>
      <c r="G236" s="8" t="s">
        <v>292</v>
      </c>
      <c r="H236" s="81" t="s">
        <v>250</v>
      </c>
      <c r="I236" s="81" t="s">
        <v>27</v>
      </c>
      <c r="J236" s="81" t="s">
        <v>270</v>
      </c>
      <c r="K236" s="81" t="s">
        <v>488</v>
      </c>
      <c r="L236" s="81" t="s">
        <v>102</v>
      </c>
      <c r="M236" s="81" t="s">
        <v>8576</v>
      </c>
      <c r="N236" s="81" t="s">
        <v>119</v>
      </c>
      <c r="O236" s="81" t="s">
        <v>253</v>
      </c>
      <c r="P236" s="9"/>
      <c r="Q236" s="8"/>
      <c r="R236" s="8"/>
      <c r="S236" s="8"/>
      <c r="T236" s="81" t="s">
        <v>8247</v>
      </c>
      <c r="U236" s="81" t="s">
        <v>8347</v>
      </c>
      <c r="V236" s="8"/>
      <c r="W236" s="8"/>
      <c r="X236" s="8" t="s">
        <v>2694</v>
      </c>
      <c r="Y236" s="81" t="s">
        <v>33</v>
      </c>
      <c r="Z236" s="8"/>
      <c r="AA236" s="81" t="s">
        <v>1848</v>
      </c>
      <c r="AB236" s="8"/>
      <c r="AC236" s="8"/>
      <c r="AD236" s="81" t="s">
        <v>491</v>
      </c>
      <c r="AE236" s="81" t="s">
        <v>8152</v>
      </c>
      <c r="AF236" s="81" t="s">
        <v>492</v>
      </c>
      <c r="AG236" s="81" t="s">
        <v>491</v>
      </c>
      <c r="AH236" s="8"/>
      <c r="AI236" s="8"/>
      <c r="AJ236" s="8"/>
      <c r="AK236" s="8"/>
      <c r="AL236" s="8"/>
      <c r="AM236" s="81" t="s">
        <v>243</v>
      </c>
      <c r="AN236" s="8"/>
      <c r="AO236" s="8"/>
      <c r="AP236" s="8"/>
      <c r="AQ236" s="8"/>
      <c r="AR236" s="9">
        <v>41456</v>
      </c>
      <c r="AS236" s="8" t="s">
        <v>8572</v>
      </c>
      <c r="AT236" s="8" t="s">
        <v>348</v>
      </c>
      <c r="AU236" s="9"/>
      <c r="AV236" s="81" t="s">
        <v>322</v>
      </c>
      <c r="AW236" s="81" t="s">
        <v>492</v>
      </c>
      <c r="AX236" s="8" t="s">
        <v>2695</v>
      </c>
      <c r="AY236" s="8"/>
      <c r="AZ236" s="8" t="s">
        <v>8573</v>
      </c>
      <c r="BA236" s="81" t="s">
        <v>399</v>
      </c>
      <c r="BB236" s="8"/>
      <c r="BC236" s="8"/>
      <c r="BD236" s="8"/>
      <c r="BE236" s="81" t="s">
        <v>261</v>
      </c>
      <c r="BF236" s="8" t="s">
        <v>2696</v>
      </c>
      <c r="BG236" s="9">
        <v>52796</v>
      </c>
      <c r="BH236" s="81" t="s">
        <v>305</v>
      </c>
      <c r="BI236" s="81" t="s">
        <v>559</v>
      </c>
      <c r="BJ236" s="9">
        <v>40422</v>
      </c>
      <c r="BK236" s="9">
        <v>41456</v>
      </c>
      <c r="BL236" s="81" t="s">
        <v>1400</v>
      </c>
      <c r="BM236" s="8"/>
      <c r="BN236" s="8"/>
      <c r="BO236" s="8"/>
      <c r="BP236" s="8"/>
      <c r="BQ236" s="9"/>
      <c r="BR236" s="9"/>
      <c r="BS236" s="8"/>
      <c r="BT236" s="81" t="s">
        <v>2698</v>
      </c>
      <c r="BU236" s="81" t="s">
        <v>266</v>
      </c>
      <c r="BV236" s="8" t="s">
        <v>2699</v>
      </c>
      <c r="BW236" s="81" t="s">
        <v>492</v>
      </c>
      <c r="BX236" s="81" t="s">
        <v>337</v>
      </c>
      <c r="BY236" s="9">
        <v>43836</v>
      </c>
      <c r="BZ236" s="9">
        <v>46142</v>
      </c>
      <c r="CA236" s="8" t="s">
        <v>257</v>
      </c>
    </row>
    <row r="237" spans="1:79" ht="141.6" x14ac:dyDescent="0.25">
      <c r="A237" s="81" t="s">
        <v>2700</v>
      </c>
      <c r="B237" s="8"/>
      <c r="C237" s="81" t="s">
        <v>26</v>
      </c>
      <c r="D237" s="8" t="s">
        <v>8009</v>
      </c>
      <c r="E237" s="8"/>
      <c r="F237" s="9">
        <v>33555</v>
      </c>
      <c r="G237" s="8" t="s">
        <v>1392</v>
      </c>
      <c r="H237" s="81" t="s">
        <v>250</v>
      </c>
      <c r="I237" s="81" t="s">
        <v>27</v>
      </c>
      <c r="J237" s="81" t="s">
        <v>270</v>
      </c>
      <c r="K237" s="81" t="s">
        <v>488</v>
      </c>
      <c r="L237" s="81" t="s">
        <v>102</v>
      </c>
      <c r="M237" s="81" t="s">
        <v>8577</v>
      </c>
      <c r="N237" s="81" t="s">
        <v>119</v>
      </c>
      <c r="O237" s="81" t="s">
        <v>253</v>
      </c>
      <c r="P237" s="9"/>
      <c r="Q237" s="8"/>
      <c r="R237" s="8"/>
      <c r="S237" s="8"/>
      <c r="T237" s="8"/>
      <c r="U237" s="8"/>
      <c r="V237" s="8"/>
      <c r="W237" s="8"/>
      <c r="X237" s="8" t="s">
        <v>2702</v>
      </c>
      <c r="Y237" s="81" t="s">
        <v>33</v>
      </c>
      <c r="Z237" s="8"/>
      <c r="AA237" s="81" t="s">
        <v>551</v>
      </c>
      <c r="AB237" s="8"/>
      <c r="AC237" s="8"/>
      <c r="AD237" s="81" t="s">
        <v>553</v>
      </c>
      <c r="AE237" s="81" t="s">
        <v>8194</v>
      </c>
      <c r="AF237" s="81" t="s">
        <v>492</v>
      </c>
      <c r="AG237" s="81" t="s">
        <v>553</v>
      </c>
      <c r="AH237" s="8"/>
      <c r="AI237" s="8"/>
      <c r="AJ237" s="8"/>
      <c r="AK237" s="8"/>
      <c r="AL237" s="8"/>
      <c r="AM237" s="81" t="s">
        <v>243</v>
      </c>
      <c r="AN237" s="8"/>
      <c r="AO237" s="8"/>
      <c r="AP237" s="8"/>
      <c r="AQ237" s="8"/>
      <c r="AR237" s="9">
        <v>41456</v>
      </c>
      <c r="AS237" s="8" t="s">
        <v>8572</v>
      </c>
      <c r="AT237" s="8" t="s">
        <v>348</v>
      </c>
      <c r="AU237" s="9"/>
      <c r="AV237" s="81" t="s">
        <v>322</v>
      </c>
      <c r="AW237" s="81" t="s">
        <v>492</v>
      </c>
      <c r="AX237" s="8" t="s">
        <v>2703</v>
      </c>
      <c r="AY237" s="8"/>
      <c r="AZ237" s="8" t="s">
        <v>8573</v>
      </c>
      <c r="BA237" s="81" t="s">
        <v>556</v>
      </c>
      <c r="BB237" s="8"/>
      <c r="BC237" s="8"/>
      <c r="BD237" s="8"/>
      <c r="BE237" s="81" t="s">
        <v>261</v>
      </c>
      <c r="BF237" s="8" t="s">
        <v>2704</v>
      </c>
      <c r="BG237" s="9">
        <v>52616</v>
      </c>
      <c r="BH237" s="81" t="s">
        <v>305</v>
      </c>
      <c r="BI237" s="81" t="s">
        <v>559</v>
      </c>
      <c r="BJ237" s="9">
        <v>40422</v>
      </c>
      <c r="BK237" s="9">
        <v>41456</v>
      </c>
      <c r="BL237" s="81" t="s">
        <v>2067</v>
      </c>
      <c r="BM237" s="8"/>
      <c r="BN237" s="8"/>
      <c r="BO237" s="8"/>
      <c r="BP237" s="8"/>
      <c r="BQ237" s="9"/>
      <c r="BR237" s="9"/>
      <c r="BS237" s="8"/>
      <c r="BT237" s="8"/>
      <c r="BU237" s="8"/>
      <c r="BV237" s="8"/>
      <c r="BW237" s="81" t="s">
        <v>492</v>
      </c>
      <c r="BX237" s="81" t="s">
        <v>1556</v>
      </c>
      <c r="BY237" s="9">
        <v>43836</v>
      </c>
      <c r="BZ237" s="9"/>
      <c r="CA237" s="8" t="s">
        <v>257</v>
      </c>
    </row>
    <row r="238" spans="1:79" ht="141.6" x14ac:dyDescent="0.25">
      <c r="A238" s="81" t="s">
        <v>2706</v>
      </c>
      <c r="B238" s="8"/>
      <c r="C238" s="81" t="s">
        <v>26</v>
      </c>
      <c r="D238" s="8" t="s">
        <v>8010</v>
      </c>
      <c r="E238" s="8"/>
      <c r="F238" s="9">
        <v>34525</v>
      </c>
      <c r="G238" s="8" t="s">
        <v>837</v>
      </c>
      <c r="H238" s="81" t="s">
        <v>250</v>
      </c>
      <c r="I238" s="81" t="s">
        <v>27</v>
      </c>
      <c r="J238" s="81" t="s">
        <v>293</v>
      </c>
      <c r="K238" s="81" t="s">
        <v>294</v>
      </c>
      <c r="L238" s="81" t="s">
        <v>102</v>
      </c>
      <c r="M238" s="81" t="s">
        <v>8578</v>
      </c>
      <c r="N238" s="81" t="s">
        <v>272</v>
      </c>
      <c r="O238" s="81" t="s">
        <v>29</v>
      </c>
      <c r="P238" s="9"/>
      <c r="Q238" s="8"/>
      <c r="R238" s="8"/>
      <c r="S238" s="8"/>
      <c r="T238" s="8"/>
      <c r="U238" s="8"/>
      <c r="V238" s="8"/>
      <c r="W238" s="8"/>
      <c r="X238" s="8" t="s">
        <v>2707</v>
      </c>
      <c r="Y238" s="81" t="s">
        <v>33</v>
      </c>
      <c r="Z238" s="8"/>
      <c r="AA238" s="81" t="s">
        <v>551</v>
      </c>
      <c r="AB238" s="8"/>
      <c r="AC238" s="8"/>
      <c r="AD238" s="81" t="s">
        <v>553</v>
      </c>
      <c r="AE238" s="81" t="s">
        <v>8194</v>
      </c>
      <c r="AF238" s="81" t="s">
        <v>492</v>
      </c>
      <c r="AG238" s="81" t="s">
        <v>553</v>
      </c>
      <c r="AH238" s="8"/>
      <c r="AI238" s="8"/>
      <c r="AJ238" s="8"/>
      <c r="AK238" s="8"/>
      <c r="AL238" s="8"/>
      <c r="AM238" s="81" t="s">
        <v>243</v>
      </c>
      <c r="AN238" s="8"/>
      <c r="AO238" s="8"/>
      <c r="AP238" s="8"/>
      <c r="AQ238" s="8"/>
      <c r="AR238" s="9">
        <v>41456</v>
      </c>
      <c r="AS238" s="8" t="s">
        <v>8572</v>
      </c>
      <c r="AT238" s="8" t="s">
        <v>348</v>
      </c>
      <c r="AU238" s="9"/>
      <c r="AV238" s="81" t="s">
        <v>322</v>
      </c>
      <c r="AW238" s="81" t="s">
        <v>492</v>
      </c>
      <c r="AX238" s="8" t="s">
        <v>2708</v>
      </c>
      <c r="AY238" s="8"/>
      <c r="AZ238" s="8" t="s">
        <v>8573</v>
      </c>
      <c r="BA238" s="81" t="s">
        <v>556</v>
      </c>
      <c r="BB238" s="8"/>
      <c r="BC238" s="8"/>
      <c r="BD238" s="8"/>
      <c r="BE238" s="81" t="s">
        <v>261</v>
      </c>
      <c r="BF238" s="8" t="s">
        <v>2709</v>
      </c>
      <c r="BG238" s="9">
        <v>46663</v>
      </c>
      <c r="BH238" s="81" t="s">
        <v>713</v>
      </c>
      <c r="BI238" s="81" t="s">
        <v>1761</v>
      </c>
      <c r="BJ238" s="9">
        <v>40422</v>
      </c>
      <c r="BK238" s="9">
        <v>41518</v>
      </c>
      <c r="BL238" s="81" t="s">
        <v>1400</v>
      </c>
      <c r="BM238" s="8"/>
      <c r="BN238" s="8"/>
      <c r="BO238" s="8"/>
      <c r="BP238" s="8"/>
      <c r="BQ238" s="9"/>
      <c r="BR238" s="9"/>
      <c r="BS238" s="8"/>
      <c r="BT238" s="8"/>
      <c r="BU238" s="8"/>
      <c r="BV238" s="8"/>
      <c r="BW238" s="81" t="s">
        <v>492</v>
      </c>
      <c r="BX238" s="81" t="s">
        <v>337</v>
      </c>
      <c r="BY238" s="9">
        <v>43836</v>
      </c>
      <c r="BZ238" s="9">
        <v>46873</v>
      </c>
      <c r="CA238" s="8" t="s">
        <v>257</v>
      </c>
    </row>
    <row r="239" spans="1:79" ht="141.6" x14ac:dyDescent="0.25">
      <c r="A239" s="81" t="s">
        <v>2710</v>
      </c>
      <c r="B239" s="8"/>
      <c r="C239" s="81" t="s">
        <v>26</v>
      </c>
      <c r="D239" s="8" t="s">
        <v>8011</v>
      </c>
      <c r="E239" s="8"/>
      <c r="F239" s="9">
        <v>33157</v>
      </c>
      <c r="G239" s="8" t="s">
        <v>292</v>
      </c>
      <c r="H239" s="81" t="s">
        <v>250</v>
      </c>
      <c r="I239" s="81" t="s">
        <v>27</v>
      </c>
      <c r="J239" s="81" t="s">
        <v>270</v>
      </c>
      <c r="K239" s="81" t="s">
        <v>488</v>
      </c>
      <c r="L239" s="81" t="s">
        <v>102</v>
      </c>
      <c r="M239" s="81" t="s">
        <v>8579</v>
      </c>
      <c r="N239" s="81" t="s">
        <v>119</v>
      </c>
      <c r="O239" s="81" t="s">
        <v>29</v>
      </c>
      <c r="P239" s="9"/>
      <c r="Q239" s="8"/>
      <c r="R239" s="8"/>
      <c r="S239" s="8"/>
      <c r="T239" s="8"/>
      <c r="U239" s="8"/>
      <c r="V239" s="8"/>
      <c r="W239" s="8"/>
      <c r="X239" s="8" t="s">
        <v>2711</v>
      </c>
      <c r="Y239" s="81" t="s">
        <v>33</v>
      </c>
      <c r="Z239" s="8"/>
      <c r="AA239" s="81" t="s">
        <v>997</v>
      </c>
      <c r="AB239" s="8"/>
      <c r="AC239" s="8"/>
      <c r="AD239" s="81" t="s">
        <v>376</v>
      </c>
      <c r="AE239" s="81" t="s">
        <v>8135</v>
      </c>
      <c r="AF239" s="81" t="s">
        <v>242</v>
      </c>
      <c r="AG239" s="81" t="s">
        <v>376</v>
      </c>
      <c r="AH239" s="8"/>
      <c r="AI239" s="8"/>
      <c r="AJ239" s="8"/>
      <c r="AK239" s="8"/>
      <c r="AL239" s="8"/>
      <c r="AM239" s="81" t="s">
        <v>243</v>
      </c>
      <c r="AN239" s="8"/>
      <c r="AO239" s="8"/>
      <c r="AP239" s="8"/>
      <c r="AQ239" s="8"/>
      <c r="AR239" s="9">
        <v>41456</v>
      </c>
      <c r="AS239" s="8" t="s">
        <v>8572</v>
      </c>
      <c r="AT239" s="8" t="s">
        <v>348</v>
      </c>
      <c r="AU239" s="9"/>
      <c r="AV239" s="81" t="s">
        <v>322</v>
      </c>
      <c r="AW239" s="81" t="s">
        <v>242</v>
      </c>
      <c r="AX239" s="8" t="s">
        <v>2712</v>
      </c>
      <c r="AY239" s="8"/>
      <c r="AZ239" s="8" t="s">
        <v>8573</v>
      </c>
      <c r="BA239" s="81" t="s">
        <v>361</v>
      </c>
      <c r="BB239" s="8"/>
      <c r="BC239" s="8"/>
      <c r="BD239" s="8"/>
      <c r="BE239" s="81" t="s">
        <v>261</v>
      </c>
      <c r="BF239" s="8" t="s">
        <v>2713</v>
      </c>
      <c r="BG239" s="9">
        <v>50515</v>
      </c>
      <c r="BH239" s="81" t="s">
        <v>305</v>
      </c>
      <c r="BI239" s="81" t="s">
        <v>1410</v>
      </c>
      <c r="BJ239" s="9">
        <v>40422</v>
      </c>
      <c r="BK239" s="9">
        <v>41455</v>
      </c>
      <c r="BL239" s="81" t="s">
        <v>2067</v>
      </c>
      <c r="BM239" s="8"/>
      <c r="BN239" s="8"/>
      <c r="BO239" s="8"/>
      <c r="BP239" s="8"/>
      <c r="BQ239" s="9"/>
      <c r="BR239" s="9"/>
      <c r="BS239" s="8"/>
      <c r="BT239" s="81" t="s">
        <v>2715</v>
      </c>
      <c r="BU239" s="81" t="s">
        <v>266</v>
      </c>
      <c r="BV239" s="8" t="s">
        <v>2716</v>
      </c>
      <c r="BW239" s="81" t="s">
        <v>242</v>
      </c>
      <c r="BX239" s="81" t="s">
        <v>1556</v>
      </c>
      <c r="BY239" s="9">
        <v>44835</v>
      </c>
      <c r="BZ239" s="9"/>
      <c r="CA239" s="8" t="s">
        <v>245</v>
      </c>
    </row>
    <row r="240" spans="1:79" ht="141.6" x14ac:dyDescent="0.25">
      <c r="A240" s="81" t="s">
        <v>2718</v>
      </c>
      <c r="B240" s="8"/>
      <c r="C240" s="81" t="s">
        <v>352</v>
      </c>
      <c r="D240" s="8" t="s">
        <v>8012</v>
      </c>
      <c r="E240" s="8"/>
      <c r="F240" s="9">
        <v>34396</v>
      </c>
      <c r="G240" s="8" t="s">
        <v>667</v>
      </c>
      <c r="H240" s="81" t="s">
        <v>250</v>
      </c>
      <c r="I240" s="81" t="s">
        <v>27</v>
      </c>
      <c r="J240" s="81" t="s">
        <v>293</v>
      </c>
      <c r="K240" s="81" t="s">
        <v>294</v>
      </c>
      <c r="L240" s="81" t="s">
        <v>102</v>
      </c>
      <c r="M240" s="81" t="s">
        <v>8580</v>
      </c>
      <c r="N240" s="81" t="s">
        <v>272</v>
      </c>
      <c r="O240" s="81" t="s">
        <v>29</v>
      </c>
      <c r="P240" s="9"/>
      <c r="Q240" s="8"/>
      <c r="R240" s="8"/>
      <c r="S240" s="8"/>
      <c r="T240" s="8"/>
      <c r="U240" s="8"/>
      <c r="V240" s="81" t="s">
        <v>8239</v>
      </c>
      <c r="W240" s="81" t="s">
        <v>2242</v>
      </c>
      <c r="X240" s="8" t="s">
        <v>2719</v>
      </c>
      <c r="Y240" s="81" t="s">
        <v>33</v>
      </c>
      <c r="Z240" s="8"/>
      <c r="AA240" s="81" t="s">
        <v>2720</v>
      </c>
      <c r="AB240" s="8"/>
      <c r="AC240" s="8"/>
      <c r="AD240" s="81" t="s">
        <v>1967</v>
      </c>
      <c r="AE240" s="81" t="s">
        <v>8436</v>
      </c>
      <c r="AF240" s="81" t="s">
        <v>242</v>
      </c>
      <c r="AG240" s="81" t="s">
        <v>1967</v>
      </c>
      <c r="AH240" s="8"/>
      <c r="AI240" s="8"/>
      <c r="AJ240" s="8"/>
      <c r="AK240" s="8"/>
      <c r="AL240" s="8"/>
      <c r="AM240" s="81" t="s">
        <v>243</v>
      </c>
      <c r="AN240" s="8"/>
      <c r="AO240" s="8"/>
      <c r="AP240" s="8"/>
      <c r="AQ240" s="8"/>
      <c r="AR240" s="9">
        <v>41456</v>
      </c>
      <c r="AS240" s="8" t="s">
        <v>8572</v>
      </c>
      <c r="AT240" s="8" t="s">
        <v>348</v>
      </c>
      <c r="AU240" s="9"/>
      <c r="AV240" s="81" t="s">
        <v>322</v>
      </c>
      <c r="AW240" s="81" t="s">
        <v>242</v>
      </c>
      <c r="AX240" s="8" t="s">
        <v>2721</v>
      </c>
      <c r="AY240" s="8"/>
      <c r="AZ240" s="8" t="s">
        <v>8573</v>
      </c>
      <c r="BA240" s="81" t="s">
        <v>361</v>
      </c>
      <c r="BB240" s="8"/>
      <c r="BC240" s="8"/>
      <c r="BD240" s="8"/>
      <c r="BE240" s="81" t="s">
        <v>261</v>
      </c>
      <c r="BF240" s="8" t="s">
        <v>2722</v>
      </c>
      <c r="BG240" s="9">
        <v>46216</v>
      </c>
      <c r="BH240" s="81" t="s">
        <v>305</v>
      </c>
      <c r="BI240" s="81" t="s">
        <v>365</v>
      </c>
      <c r="BJ240" s="9">
        <v>42064</v>
      </c>
      <c r="BK240" s="9">
        <v>43115</v>
      </c>
      <c r="BL240" s="81" t="s">
        <v>2022</v>
      </c>
      <c r="BM240" s="8"/>
      <c r="BN240" s="8"/>
      <c r="BO240" s="8"/>
      <c r="BP240" s="8"/>
      <c r="BQ240" s="9"/>
      <c r="BR240" s="9"/>
      <c r="BS240" s="8"/>
      <c r="BT240" s="81" t="s">
        <v>2725</v>
      </c>
      <c r="BU240" s="81" t="s">
        <v>266</v>
      </c>
      <c r="BV240" s="8" t="s">
        <v>2726</v>
      </c>
      <c r="BW240" s="81" t="s">
        <v>242</v>
      </c>
      <c r="BX240" s="81" t="s">
        <v>337</v>
      </c>
      <c r="BY240" s="9">
        <v>45505</v>
      </c>
      <c r="BZ240" s="9">
        <v>47330</v>
      </c>
      <c r="CA240" s="8" t="s">
        <v>61</v>
      </c>
    </row>
    <row r="241" spans="1:79" ht="157.19999999999999" x14ac:dyDescent="0.25">
      <c r="A241" s="81" t="s">
        <v>2727</v>
      </c>
      <c r="B241" s="8"/>
      <c r="C241" s="81" t="s">
        <v>26</v>
      </c>
      <c r="D241" s="8" t="s">
        <v>8013</v>
      </c>
      <c r="E241" s="8"/>
      <c r="F241" s="9">
        <v>33628</v>
      </c>
      <c r="G241" s="8" t="s">
        <v>1392</v>
      </c>
      <c r="H241" s="81" t="s">
        <v>250</v>
      </c>
      <c r="I241" s="81" t="s">
        <v>27</v>
      </c>
      <c r="J241" s="81" t="s">
        <v>270</v>
      </c>
      <c r="K241" s="81" t="s">
        <v>394</v>
      </c>
      <c r="L241" s="81" t="s">
        <v>102</v>
      </c>
      <c r="M241" s="81" t="s">
        <v>8581</v>
      </c>
      <c r="N241" s="81" t="s">
        <v>119</v>
      </c>
      <c r="O241" s="81" t="s">
        <v>29</v>
      </c>
      <c r="P241" s="9"/>
      <c r="Q241" s="8"/>
      <c r="R241" s="8"/>
      <c r="S241" s="8"/>
      <c r="T241" s="8"/>
      <c r="U241" s="8"/>
      <c r="V241" s="8"/>
      <c r="W241" s="8"/>
      <c r="X241" s="8" t="s">
        <v>2728</v>
      </c>
      <c r="Y241" s="81" t="s">
        <v>33</v>
      </c>
      <c r="Z241" s="8"/>
      <c r="AA241" s="81" t="s">
        <v>733</v>
      </c>
      <c r="AB241" s="8"/>
      <c r="AC241" s="8"/>
      <c r="AD241" s="81" t="s">
        <v>241</v>
      </c>
      <c r="AE241" s="81" t="s">
        <v>8114</v>
      </c>
      <c r="AF241" s="81" t="s">
        <v>242</v>
      </c>
      <c r="AG241" s="81" t="s">
        <v>241</v>
      </c>
      <c r="AH241" s="8"/>
      <c r="AI241" s="8"/>
      <c r="AJ241" s="8"/>
      <c r="AK241" s="8"/>
      <c r="AL241" s="8"/>
      <c r="AM241" s="81" t="s">
        <v>243</v>
      </c>
      <c r="AN241" s="8"/>
      <c r="AO241" s="8"/>
      <c r="AP241" s="8"/>
      <c r="AQ241" s="8"/>
      <c r="AR241" s="9">
        <v>41456</v>
      </c>
      <c r="AS241" s="8" t="s">
        <v>8572</v>
      </c>
      <c r="AT241" s="8" t="s">
        <v>348</v>
      </c>
      <c r="AU241" s="9"/>
      <c r="AV241" s="81" t="s">
        <v>322</v>
      </c>
      <c r="AW241" s="81" t="s">
        <v>242</v>
      </c>
      <c r="AX241" s="8" t="s">
        <v>2729</v>
      </c>
      <c r="AY241" s="8"/>
      <c r="AZ241" s="8" t="s">
        <v>8573</v>
      </c>
      <c r="BA241" s="81" t="s">
        <v>556</v>
      </c>
      <c r="BB241" s="8"/>
      <c r="BC241" s="8"/>
      <c r="BD241" s="8"/>
      <c r="BE241" s="81" t="s">
        <v>261</v>
      </c>
      <c r="BF241" s="8" t="s">
        <v>2730</v>
      </c>
      <c r="BG241" s="9">
        <v>46770</v>
      </c>
      <c r="BH241" s="81" t="s">
        <v>305</v>
      </c>
      <c r="BI241" s="81" t="s">
        <v>1410</v>
      </c>
      <c r="BJ241" s="9">
        <v>40446</v>
      </c>
      <c r="BK241" s="9">
        <v>41480</v>
      </c>
      <c r="BL241" s="81" t="s">
        <v>945</v>
      </c>
      <c r="BM241" s="8"/>
      <c r="BN241" s="8"/>
      <c r="BO241" s="8"/>
      <c r="BP241" s="8"/>
      <c r="BQ241" s="9"/>
      <c r="BR241" s="9"/>
      <c r="BS241" s="8"/>
      <c r="BT241" s="8"/>
      <c r="BU241" s="8"/>
      <c r="BV241" s="8"/>
      <c r="BW241" s="81" t="s">
        <v>242</v>
      </c>
      <c r="BX241" s="81" t="s">
        <v>337</v>
      </c>
      <c r="BY241" s="9">
        <v>46234</v>
      </c>
      <c r="BZ241" s="9">
        <v>46234</v>
      </c>
      <c r="CA241" s="8" t="s">
        <v>245</v>
      </c>
    </row>
    <row r="242" spans="1:79" ht="141.6" x14ac:dyDescent="0.25">
      <c r="A242" s="81" t="s">
        <v>2734</v>
      </c>
      <c r="B242" s="8"/>
      <c r="C242" s="81" t="s">
        <v>352</v>
      </c>
      <c r="D242" s="8" t="s">
        <v>8014</v>
      </c>
      <c r="E242" s="8"/>
      <c r="F242" s="9">
        <v>33614</v>
      </c>
      <c r="G242" s="8" t="s">
        <v>1392</v>
      </c>
      <c r="H242" s="81" t="s">
        <v>250</v>
      </c>
      <c r="I242" s="81" t="s">
        <v>27</v>
      </c>
      <c r="J242" s="81" t="s">
        <v>270</v>
      </c>
      <c r="K242" s="81" t="s">
        <v>608</v>
      </c>
      <c r="L242" s="81" t="s">
        <v>102</v>
      </c>
      <c r="M242" s="81" t="s">
        <v>2735</v>
      </c>
      <c r="N242" s="81" t="s">
        <v>119</v>
      </c>
      <c r="O242" s="81" t="s">
        <v>29</v>
      </c>
      <c r="P242" s="9"/>
      <c r="Q242" s="8"/>
      <c r="R242" s="8"/>
      <c r="S242" s="8"/>
      <c r="T242" s="8"/>
      <c r="U242" s="8"/>
      <c r="V242" s="8"/>
      <c r="W242" s="8"/>
      <c r="X242" s="8" t="s">
        <v>2736</v>
      </c>
      <c r="Y242" s="81" t="s">
        <v>33</v>
      </c>
      <c r="Z242" s="8"/>
      <c r="AA242" s="81" t="s">
        <v>2672</v>
      </c>
      <c r="AB242" s="8"/>
      <c r="AC242" s="8"/>
      <c r="AD242" s="81" t="s">
        <v>1380</v>
      </c>
      <c r="AE242" s="81" t="s">
        <v>8309</v>
      </c>
      <c r="AF242" s="81" t="s">
        <v>242</v>
      </c>
      <c r="AG242" s="81" t="s">
        <v>1380</v>
      </c>
      <c r="AH242" s="8"/>
      <c r="AI242" s="8"/>
      <c r="AJ242" s="8"/>
      <c r="AK242" s="8"/>
      <c r="AL242" s="8"/>
      <c r="AM242" s="81" t="s">
        <v>243</v>
      </c>
      <c r="AN242" s="8"/>
      <c r="AO242" s="8"/>
      <c r="AP242" s="8"/>
      <c r="AQ242" s="8"/>
      <c r="AR242" s="9">
        <v>41456</v>
      </c>
      <c r="AS242" s="8" t="s">
        <v>8572</v>
      </c>
      <c r="AT242" s="8" t="s">
        <v>348</v>
      </c>
      <c r="AU242" s="9"/>
      <c r="AV242" s="81" t="s">
        <v>322</v>
      </c>
      <c r="AW242" s="81" t="s">
        <v>242</v>
      </c>
      <c r="AX242" s="8" t="s">
        <v>2737</v>
      </c>
      <c r="AY242" s="8"/>
      <c r="AZ242" s="8" t="s">
        <v>8573</v>
      </c>
      <c r="BA242" s="81" t="s">
        <v>361</v>
      </c>
      <c r="BB242" s="8"/>
      <c r="BC242" s="8"/>
      <c r="BD242" s="8"/>
      <c r="BE242" s="81" t="s">
        <v>261</v>
      </c>
      <c r="BF242" s="8" t="s">
        <v>2738</v>
      </c>
      <c r="BG242" s="9">
        <v>51852</v>
      </c>
      <c r="BH242" s="81" t="s">
        <v>305</v>
      </c>
      <c r="BI242" s="81" t="s">
        <v>1410</v>
      </c>
      <c r="BJ242" s="9">
        <v>40422</v>
      </c>
      <c r="BK242" s="9">
        <v>41455</v>
      </c>
      <c r="BL242" s="81" t="s">
        <v>945</v>
      </c>
      <c r="BM242" s="8"/>
      <c r="BN242" s="8"/>
      <c r="BO242" s="8"/>
      <c r="BP242" s="8"/>
      <c r="BQ242" s="9"/>
      <c r="BR242" s="9"/>
      <c r="BS242" s="8"/>
      <c r="BT242" s="81" t="s">
        <v>2740</v>
      </c>
      <c r="BU242" s="81" t="s">
        <v>266</v>
      </c>
      <c r="BV242" s="8" t="s">
        <v>2741</v>
      </c>
      <c r="BW242" s="81" t="s">
        <v>242</v>
      </c>
      <c r="BX242" s="81" t="s">
        <v>1556</v>
      </c>
      <c r="BY242" s="9">
        <v>41456</v>
      </c>
      <c r="BZ242" s="9"/>
      <c r="CA242" s="8" t="s">
        <v>61</v>
      </c>
    </row>
    <row r="243" spans="1:79" ht="205.2" x14ac:dyDescent="0.25">
      <c r="A243" s="81" t="s">
        <v>2742</v>
      </c>
      <c r="B243" s="8"/>
      <c r="C243" s="81" t="s">
        <v>26</v>
      </c>
      <c r="D243" s="8" t="s">
        <v>8015</v>
      </c>
      <c r="E243" s="8"/>
      <c r="F243" s="9">
        <v>33274</v>
      </c>
      <c r="G243" s="8" t="s">
        <v>292</v>
      </c>
      <c r="H243" s="81" t="s">
        <v>250</v>
      </c>
      <c r="I243" s="81" t="s">
        <v>27</v>
      </c>
      <c r="J243" s="81" t="s">
        <v>293</v>
      </c>
      <c r="K243" s="81" t="s">
        <v>294</v>
      </c>
      <c r="L243" s="81" t="s">
        <v>102</v>
      </c>
      <c r="M243" s="81" t="s">
        <v>8582</v>
      </c>
      <c r="N243" s="81" t="s">
        <v>272</v>
      </c>
      <c r="O243" s="81" t="s">
        <v>29</v>
      </c>
      <c r="P243" s="9"/>
      <c r="Q243" s="8"/>
      <c r="R243" s="8"/>
      <c r="S243" s="8"/>
      <c r="T243" s="8"/>
      <c r="U243" s="8"/>
      <c r="V243" s="8"/>
      <c r="W243" s="8"/>
      <c r="X243" s="8" t="s">
        <v>2743</v>
      </c>
      <c r="Y243" s="81" t="s">
        <v>33</v>
      </c>
      <c r="Z243" s="8"/>
      <c r="AA243" s="81" t="s">
        <v>2744</v>
      </c>
      <c r="AB243" s="8"/>
      <c r="AC243" s="8"/>
      <c r="AD243" s="81" t="s">
        <v>344</v>
      </c>
      <c r="AE243" s="81" t="s">
        <v>8129</v>
      </c>
      <c r="AF243" s="81" t="s">
        <v>242</v>
      </c>
      <c r="AG243" s="81" t="s">
        <v>345</v>
      </c>
      <c r="AH243" s="81" t="s">
        <v>346</v>
      </c>
      <c r="AI243" s="81" t="s">
        <v>344</v>
      </c>
      <c r="AJ243" s="8"/>
      <c r="AK243" s="8"/>
      <c r="AL243" s="8"/>
      <c r="AM243" s="81" t="s">
        <v>243</v>
      </c>
      <c r="AN243" s="8"/>
      <c r="AO243" s="8"/>
      <c r="AP243" s="8"/>
      <c r="AQ243" s="8"/>
      <c r="AR243" s="9">
        <v>41456</v>
      </c>
      <c r="AS243" s="8" t="s">
        <v>8572</v>
      </c>
      <c r="AT243" s="8" t="s">
        <v>348</v>
      </c>
      <c r="AU243" s="9"/>
      <c r="AV243" s="81" t="s">
        <v>322</v>
      </c>
      <c r="AW243" s="81" t="s">
        <v>242</v>
      </c>
      <c r="AX243" s="8" t="s">
        <v>2745</v>
      </c>
      <c r="AY243" s="8"/>
      <c r="AZ243" s="8" t="s">
        <v>8573</v>
      </c>
      <c r="BA243" s="81" t="s">
        <v>676</v>
      </c>
      <c r="BB243" s="8"/>
      <c r="BC243" s="8"/>
      <c r="BD243" s="8"/>
      <c r="BE243" s="81" t="s">
        <v>261</v>
      </c>
      <c r="BF243" s="8" t="s">
        <v>2746</v>
      </c>
      <c r="BG243" s="9">
        <v>53049</v>
      </c>
      <c r="BH243" s="81" t="s">
        <v>81</v>
      </c>
      <c r="BI243" s="81" t="s">
        <v>1946</v>
      </c>
      <c r="BJ243" s="9">
        <v>44256</v>
      </c>
      <c r="BK243" s="9">
        <v>45301</v>
      </c>
      <c r="BL243" s="81" t="s">
        <v>85</v>
      </c>
      <c r="BM243" s="8"/>
      <c r="BN243" s="8"/>
      <c r="BO243" s="8"/>
      <c r="BP243" s="8"/>
      <c r="BQ243" s="9"/>
      <c r="BR243" s="9"/>
      <c r="BS243" s="8"/>
      <c r="BT243" s="81" t="s">
        <v>2748</v>
      </c>
      <c r="BU243" s="81" t="s">
        <v>266</v>
      </c>
      <c r="BV243" s="8" t="s">
        <v>2749</v>
      </c>
      <c r="BW243" s="81" t="s">
        <v>242</v>
      </c>
      <c r="BX243" s="81" t="s">
        <v>1556</v>
      </c>
      <c r="BY243" s="9">
        <v>45870</v>
      </c>
      <c r="BZ243" s="9"/>
      <c r="CA243" s="8" t="s">
        <v>245</v>
      </c>
    </row>
    <row r="244" spans="1:79" ht="157.19999999999999" x14ac:dyDescent="0.25">
      <c r="A244" s="81" t="s">
        <v>2750</v>
      </c>
      <c r="B244" s="8"/>
      <c r="C244" s="81" t="s">
        <v>26</v>
      </c>
      <c r="D244" s="8" t="s">
        <v>8016</v>
      </c>
      <c r="E244" s="8"/>
      <c r="F244" s="9">
        <v>32646</v>
      </c>
      <c r="G244" s="8" t="s">
        <v>1348</v>
      </c>
      <c r="H244" s="81" t="s">
        <v>250</v>
      </c>
      <c r="I244" s="81" t="s">
        <v>27</v>
      </c>
      <c r="J244" s="81" t="s">
        <v>270</v>
      </c>
      <c r="K244" s="81" t="s">
        <v>839</v>
      </c>
      <c r="L244" s="81" t="s">
        <v>102</v>
      </c>
      <c r="M244" s="81" t="s">
        <v>8583</v>
      </c>
      <c r="N244" s="81" t="s">
        <v>28</v>
      </c>
      <c r="O244" s="81" t="s">
        <v>29</v>
      </c>
      <c r="P244" s="9"/>
      <c r="Q244" s="8"/>
      <c r="R244" s="8"/>
      <c r="S244" s="8"/>
      <c r="T244" s="8"/>
      <c r="U244" s="8"/>
      <c r="V244" s="8"/>
      <c r="W244" s="8"/>
      <c r="X244" s="8" t="s">
        <v>2752</v>
      </c>
      <c r="Y244" s="81" t="s">
        <v>33</v>
      </c>
      <c r="Z244" s="8"/>
      <c r="AA244" s="81" t="s">
        <v>565</v>
      </c>
      <c r="AB244" s="8"/>
      <c r="AC244" s="8"/>
      <c r="AD244" s="81" t="s">
        <v>566</v>
      </c>
      <c r="AE244" s="81" t="s">
        <v>8162</v>
      </c>
      <c r="AF244" s="81" t="s">
        <v>256</v>
      </c>
      <c r="AG244" s="81" t="s">
        <v>566</v>
      </c>
      <c r="AH244" s="8"/>
      <c r="AI244" s="8"/>
      <c r="AJ244" s="8"/>
      <c r="AK244" s="8"/>
      <c r="AL244" s="8"/>
      <c r="AM244" s="81" t="s">
        <v>243</v>
      </c>
      <c r="AN244" s="8"/>
      <c r="AO244" s="8"/>
      <c r="AP244" s="8"/>
      <c r="AQ244" s="8"/>
      <c r="AR244" s="9">
        <v>41456</v>
      </c>
      <c r="AS244" s="8" t="s">
        <v>8572</v>
      </c>
      <c r="AT244" s="8" t="s">
        <v>348</v>
      </c>
      <c r="AU244" s="9"/>
      <c r="AV244" s="81" t="s">
        <v>322</v>
      </c>
      <c r="AW244" s="81" t="s">
        <v>256</v>
      </c>
      <c r="AX244" s="8" t="s">
        <v>2753</v>
      </c>
      <c r="AY244" s="8"/>
      <c r="AZ244" s="8" t="s">
        <v>8573</v>
      </c>
      <c r="BA244" s="81" t="s">
        <v>556</v>
      </c>
      <c r="BB244" s="8"/>
      <c r="BC244" s="8"/>
      <c r="BD244" s="8"/>
      <c r="BE244" s="81" t="s">
        <v>261</v>
      </c>
      <c r="BF244" s="8" t="s">
        <v>2754</v>
      </c>
      <c r="BG244" s="9">
        <v>52524</v>
      </c>
      <c r="BH244" s="81" t="s">
        <v>305</v>
      </c>
      <c r="BI244" s="81" t="s">
        <v>1410</v>
      </c>
      <c r="BJ244" s="9">
        <v>40422</v>
      </c>
      <c r="BK244" s="9">
        <v>41456</v>
      </c>
      <c r="BL244" s="81" t="s">
        <v>945</v>
      </c>
      <c r="BM244" s="8"/>
      <c r="BN244" s="8"/>
      <c r="BO244" s="8"/>
      <c r="BP244" s="8"/>
      <c r="BQ244" s="9"/>
      <c r="BR244" s="9"/>
      <c r="BS244" s="8"/>
      <c r="BT244" s="8"/>
      <c r="BU244" s="8"/>
      <c r="BV244" s="8"/>
      <c r="BW244" s="81" t="s">
        <v>256</v>
      </c>
      <c r="BX244" s="81" t="s">
        <v>1556</v>
      </c>
      <c r="BY244" s="9">
        <v>43836</v>
      </c>
      <c r="BZ244" s="9"/>
      <c r="CA244" s="8" t="s">
        <v>245</v>
      </c>
    </row>
    <row r="245" spans="1:79" ht="141.6" x14ac:dyDescent="0.25">
      <c r="A245" s="81" t="s">
        <v>2756</v>
      </c>
      <c r="B245" s="8"/>
      <c r="C245" s="81" t="s">
        <v>26</v>
      </c>
      <c r="D245" s="8" t="s">
        <v>8017</v>
      </c>
      <c r="E245" s="8"/>
      <c r="F245" s="9">
        <v>33349</v>
      </c>
      <c r="G245" s="8" t="s">
        <v>1392</v>
      </c>
      <c r="H245" s="81" t="s">
        <v>250</v>
      </c>
      <c r="I245" s="81" t="s">
        <v>2757</v>
      </c>
      <c r="J245" s="81" t="s">
        <v>270</v>
      </c>
      <c r="K245" s="81" t="s">
        <v>2758</v>
      </c>
      <c r="L245" s="81" t="s">
        <v>102</v>
      </c>
      <c r="M245" s="81" t="s">
        <v>2759</v>
      </c>
      <c r="N245" s="81" t="s">
        <v>119</v>
      </c>
      <c r="O245" s="81" t="s">
        <v>29</v>
      </c>
      <c r="P245" s="9"/>
      <c r="Q245" s="8"/>
      <c r="R245" s="8"/>
      <c r="S245" s="8"/>
      <c r="T245" s="81" t="s">
        <v>8247</v>
      </c>
      <c r="U245" s="81" t="s">
        <v>8188</v>
      </c>
      <c r="V245" s="8"/>
      <c r="W245" s="8"/>
      <c r="X245" s="8" t="s">
        <v>2760</v>
      </c>
      <c r="Y245" s="81" t="s">
        <v>33</v>
      </c>
      <c r="Z245" s="8"/>
      <c r="AA245" s="81" t="s">
        <v>2761</v>
      </c>
      <c r="AB245" s="8"/>
      <c r="AC245" s="8"/>
      <c r="AD245" s="81" t="s">
        <v>255</v>
      </c>
      <c r="AE245" s="81" t="s">
        <v>8117</v>
      </c>
      <c r="AF245" s="81" t="s">
        <v>256</v>
      </c>
      <c r="AG245" s="81" t="s">
        <v>255</v>
      </c>
      <c r="AH245" s="8"/>
      <c r="AI245" s="8"/>
      <c r="AJ245" s="8"/>
      <c r="AK245" s="8"/>
      <c r="AL245" s="8"/>
      <c r="AM245" s="81" t="s">
        <v>243</v>
      </c>
      <c r="AN245" s="8"/>
      <c r="AO245" s="8"/>
      <c r="AP245" s="8"/>
      <c r="AQ245" s="8"/>
      <c r="AR245" s="9">
        <v>41456</v>
      </c>
      <c r="AS245" s="8" t="s">
        <v>8572</v>
      </c>
      <c r="AT245" s="8" t="s">
        <v>348</v>
      </c>
      <c r="AU245" s="9"/>
      <c r="AV245" s="81" t="s">
        <v>322</v>
      </c>
      <c r="AW245" s="81" t="s">
        <v>256</v>
      </c>
      <c r="AX245" s="8" t="s">
        <v>2762</v>
      </c>
      <c r="AY245" s="8"/>
      <c r="AZ245" s="8" t="s">
        <v>8573</v>
      </c>
      <c r="BA245" s="81" t="s">
        <v>399</v>
      </c>
      <c r="BB245" s="8"/>
      <c r="BC245" s="8"/>
      <c r="BD245" s="8"/>
      <c r="BE245" s="81" t="s">
        <v>261</v>
      </c>
      <c r="BF245" s="8" t="s">
        <v>2763</v>
      </c>
      <c r="BG245" s="9">
        <v>50976</v>
      </c>
      <c r="BH245" s="81" t="s">
        <v>305</v>
      </c>
      <c r="BI245" s="81" t="s">
        <v>1632</v>
      </c>
      <c r="BJ245" s="9">
        <v>40422</v>
      </c>
      <c r="BK245" s="9">
        <v>41456</v>
      </c>
      <c r="BL245" s="81" t="s">
        <v>1744</v>
      </c>
      <c r="BM245" s="8"/>
      <c r="BN245" s="8"/>
      <c r="BO245" s="8"/>
      <c r="BP245" s="8"/>
      <c r="BQ245" s="9"/>
      <c r="BR245" s="9"/>
      <c r="BS245" s="8"/>
      <c r="BT245" s="8"/>
      <c r="BU245" s="8"/>
      <c r="BV245" s="8"/>
      <c r="BW245" s="81" t="s">
        <v>256</v>
      </c>
      <c r="BX245" s="81" t="s">
        <v>1556</v>
      </c>
      <c r="BY245" s="9">
        <v>43836</v>
      </c>
      <c r="BZ245" s="9"/>
      <c r="CA245" s="8" t="s">
        <v>245</v>
      </c>
    </row>
    <row r="246" spans="1:79" ht="157.19999999999999" x14ac:dyDescent="0.25">
      <c r="A246" s="81" t="s">
        <v>2765</v>
      </c>
      <c r="B246" s="8"/>
      <c r="C246" s="81" t="s">
        <v>26</v>
      </c>
      <c r="D246" s="8" t="s">
        <v>8018</v>
      </c>
      <c r="E246" s="8"/>
      <c r="F246" s="9">
        <v>31686</v>
      </c>
      <c r="G246" s="8" t="s">
        <v>2135</v>
      </c>
      <c r="H246" s="81" t="s">
        <v>250</v>
      </c>
      <c r="I246" s="81" t="s">
        <v>27</v>
      </c>
      <c r="J246" s="81" t="s">
        <v>270</v>
      </c>
      <c r="K246" s="81" t="s">
        <v>353</v>
      </c>
      <c r="L246" s="81" t="s">
        <v>102</v>
      </c>
      <c r="M246" s="81" t="s">
        <v>8584</v>
      </c>
      <c r="N246" s="81" t="s">
        <v>119</v>
      </c>
      <c r="O246" s="81" t="s">
        <v>29</v>
      </c>
      <c r="P246" s="9"/>
      <c r="Q246" s="8"/>
      <c r="R246" s="8"/>
      <c r="S246" s="8"/>
      <c r="T246" s="81" t="s">
        <v>8247</v>
      </c>
      <c r="U246" s="81" t="s">
        <v>8347</v>
      </c>
      <c r="V246" s="8"/>
      <c r="W246" s="8"/>
      <c r="X246" s="8" t="s">
        <v>2766</v>
      </c>
      <c r="Y246" s="81" t="s">
        <v>33</v>
      </c>
      <c r="Z246" s="8"/>
      <c r="AA246" s="81" t="s">
        <v>1848</v>
      </c>
      <c r="AB246" s="8"/>
      <c r="AC246" s="8"/>
      <c r="AD246" s="81" t="s">
        <v>491</v>
      </c>
      <c r="AE246" s="81" t="s">
        <v>8152</v>
      </c>
      <c r="AF246" s="81" t="s">
        <v>492</v>
      </c>
      <c r="AG246" s="81" t="s">
        <v>491</v>
      </c>
      <c r="AH246" s="8"/>
      <c r="AI246" s="8"/>
      <c r="AJ246" s="8"/>
      <c r="AK246" s="8"/>
      <c r="AL246" s="8"/>
      <c r="AM246" s="81" t="s">
        <v>243</v>
      </c>
      <c r="AN246" s="8"/>
      <c r="AO246" s="8"/>
      <c r="AP246" s="8"/>
      <c r="AQ246" s="8"/>
      <c r="AR246" s="9">
        <v>41452</v>
      </c>
      <c r="AS246" s="8" t="s">
        <v>8572</v>
      </c>
      <c r="AT246" s="8" t="s">
        <v>348</v>
      </c>
      <c r="AU246" s="9"/>
      <c r="AV246" s="81" t="s">
        <v>322</v>
      </c>
      <c r="AW246" s="81" t="s">
        <v>492</v>
      </c>
      <c r="AX246" s="8" t="s">
        <v>2767</v>
      </c>
      <c r="AY246" s="8"/>
      <c r="AZ246" s="8" t="s">
        <v>8573</v>
      </c>
      <c r="BA246" s="81" t="s">
        <v>399</v>
      </c>
      <c r="BB246" s="8"/>
      <c r="BC246" s="8"/>
      <c r="BD246" s="8"/>
      <c r="BE246" s="81" t="s">
        <v>261</v>
      </c>
      <c r="BF246" s="8" t="s">
        <v>2768</v>
      </c>
      <c r="BG246" s="9">
        <v>50458</v>
      </c>
      <c r="BH246" s="81" t="s">
        <v>81</v>
      </c>
      <c r="BI246" s="81" t="s">
        <v>2769</v>
      </c>
      <c r="BJ246" s="9">
        <v>40057</v>
      </c>
      <c r="BK246" s="9">
        <v>41456</v>
      </c>
      <c r="BL246" s="81" t="s">
        <v>1062</v>
      </c>
      <c r="BM246" s="81" t="s">
        <v>82</v>
      </c>
      <c r="BN246" s="8"/>
      <c r="BO246" s="8"/>
      <c r="BP246" s="8"/>
      <c r="BQ246" s="9"/>
      <c r="BR246" s="9"/>
      <c r="BS246" s="8"/>
      <c r="BT246" s="81" t="s">
        <v>2770</v>
      </c>
      <c r="BU246" s="81" t="s">
        <v>118</v>
      </c>
      <c r="BV246" s="8" t="s">
        <v>2771</v>
      </c>
      <c r="BW246" s="81" t="s">
        <v>492</v>
      </c>
      <c r="BX246" s="81" t="s">
        <v>1556</v>
      </c>
      <c r="BY246" s="9">
        <v>43836</v>
      </c>
      <c r="BZ246" s="9"/>
      <c r="CA246" s="8" t="s">
        <v>245</v>
      </c>
    </row>
    <row r="247" spans="1:79" ht="141.6" x14ac:dyDescent="0.25">
      <c r="A247" s="81" t="s">
        <v>2772</v>
      </c>
      <c r="B247" s="8"/>
      <c r="C247" s="81" t="s">
        <v>26</v>
      </c>
      <c r="D247" s="8" t="s">
        <v>8019</v>
      </c>
      <c r="E247" s="8"/>
      <c r="F247" s="9">
        <v>32650</v>
      </c>
      <c r="G247" s="8" t="s">
        <v>1348</v>
      </c>
      <c r="H247" s="81" t="s">
        <v>250</v>
      </c>
      <c r="I247" s="81" t="s">
        <v>27</v>
      </c>
      <c r="J247" s="81" t="s">
        <v>252</v>
      </c>
      <c r="K247" s="81" t="s">
        <v>415</v>
      </c>
      <c r="L247" s="81" t="s">
        <v>102</v>
      </c>
      <c r="M247" s="81" t="s">
        <v>8585</v>
      </c>
      <c r="N247" s="81" t="s">
        <v>119</v>
      </c>
      <c r="O247" s="81" t="s">
        <v>29</v>
      </c>
      <c r="P247" s="9"/>
      <c r="Q247" s="8"/>
      <c r="R247" s="8"/>
      <c r="S247" s="8"/>
      <c r="T247" s="8"/>
      <c r="U247" s="8"/>
      <c r="V247" s="8"/>
      <c r="W247" s="8"/>
      <c r="X247" s="8" t="s">
        <v>2773</v>
      </c>
      <c r="Y247" s="81" t="s">
        <v>33</v>
      </c>
      <c r="Z247" s="8"/>
      <c r="AA247" s="81" t="s">
        <v>477</v>
      </c>
      <c r="AB247" s="8"/>
      <c r="AC247" s="8"/>
      <c r="AD247" s="81" t="s">
        <v>1967</v>
      </c>
      <c r="AE247" s="81" t="s">
        <v>8436</v>
      </c>
      <c r="AF247" s="81" t="s">
        <v>242</v>
      </c>
      <c r="AG247" s="81" t="s">
        <v>1967</v>
      </c>
      <c r="AH247" s="8"/>
      <c r="AI247" s="8"/>
      <c r="AJ247" s="8"/>
      <c r="AK247" s="8"/>
      <c r="AL247" s="8"/>
      <c r="AM247" s="81" t="s">
        <v>243</v>
      </c>
      <c r="AN247" s="8"/>
      <c r="AO247" s="8"/>
      <c r="AP247" s="8"/>
      <c r="AQ247" s="8"/>
      <c r="AR247" s="9">
        <v>41414</v>
      </c>
      <c r="AS247" s="8" t="s">
        <v>8586</v>
      </c>
      <c r="AT247" s="8" t="s">
        <v>348</v>
      </c>
      <c r="AU247" s="9"/>
      <c r="AV247" s="81" t="s">
        <v>322</v>
      </c>
      <c r="AW247" s="81" t="s">
        <v>242</v>
      </c>
      <c r="AX247" s="8" t="s">
        <v>2775</v>
      </c>
      <c r="AY247" s="8"/>
      <c r="AZ247" s="8" t="s">
        <v>8257</v>
      </c>
      <c r="BA247" s="81" t="s">
        <v>399</v>
      </c>
      <c r="BB247" s="8"/>
      <c r="BC247" s="8"/>
      <c r="BD247" s="8"/>
      <c r="BE247" s="81" t="s">
        <v>261</v>
      </c>
      <c r="BF247" s="8" t="s">
        <v>2776</v>
      </c>
      <c r="BG247" s="9">
        <v>49576</v>
      </c>
      <c r="BH247" s="81" t="s">
        <v>81</v>
      </c>
      <c r="BI247" s="81" t="s">
        <v>1032</v>
      </c>
      <c r="BJ247" s="9">
        <v>39692</v>
      </c>
      <c r="BK247" s="9">
        <v>41091</v>
      </c>
      <c r="BL247" s="81" t="s">
        <v>1986</v>
      </c>
      <c r="BM247" s="81" t="s">
        <v>82</v>
      </c>
      <c r="BN247" s="8"/>
      <c r="BO247" s="8"/>
      <c r="BP247" s="8"/>
      <c r="BQ247" s="9"/>
      <c r="BR247" s="9"/>
      <c r="BS247" s="8"/>
      <c r="BT247" s="81" t="s">
        <v>2778</v>
      </c>
      <c r="BU247" s="81" t="s">
        <v>266</v>
      </c>
      <c r="BV247" s="8" t="s">
        <v>2779</v>
      </c>
      <c r="BW247" s="81" t="s">
        <v>242</v>
      </c>
      <c r="BX247" s="81" t="s">
        <v>1556</v>
      </c>
      <c r="BY247" s="9">
        <v>41414</v>
      </c>
      <c r="BZ247" s="9"/>
      <c r="CA247" s="8" t="s">
        <v>61</v>
      </c>
    </row>
    <row r="248" spans="1:79" ht="141.6" x14ac:dyDescent="0.25">
      <c r="A248" s="81" t="s">
        <v>2780</v>
      </c>
      <c r="B248" s="8"/>
      <c r="C248" s="81" t="s">
        <v>26</v>
      </c>
      <c r="D248" s="8" t="s">
        <v>8020</v>
      </c>
      <c r="E248" s="8"/>
      <c r="F248" s="9">
        <v>32046</v>
      </c>
      <c r="G248" s="8" t="s">
        <v>434</v>
      </c>
      <c r="H248" s="81" t="s">
        <v>250</v>
      </c>
      <c r="I248" s="81" t="s">
        <v>27</v>
      </c>
      <c r="J248" s="81" t="s">
        <v>252</v>
      </c>
      <c r="K248" s="81" t="s">
        <v>415</v>
      </c>
      <c r="L248" s="81" t="s">
        <v>1765</v>
      </c>
      <c r="M248" s="81" t="s">
        <v>2781</v>
      </c>
      <c r="N248" s="81" t="s">
        <v>119</v>
      </c>
      <c r="O248" s="81" t="s">
        <v>29</v>
      </c>
      <c r="P248" s="9"/>
      <c r="Q248" s="8"/>
      <c r="R248" s="8"/>
      <c r="S248" s="8"/>
      <c r="T248" s="81" t="s">
        <v>8145</v>
      </c>
      <c r="U248" s="81" t="s">
        <v>8379</v>
      </c>
      <c r="V248" s="8"/>
      <c r="W248" s="8"/>
      <c r="X248" s="8" t="s">
        <v>2782</v>
      </c>
      <c r="Y248" s="81" t="s">
        <v>33</v>
      </c>
      <c r="Z248" s="8"/>
      <c r="AA248" s="81" t="s">
        <v>506</v>
      </c>
      <c r="AB248" s="8"/>
      <c r="AC248" s="8"/>
      <c r="AD248" s="81" t="s">
        <v>255</v>
      </c>
      <c r="AE248" s="81" t="s">
        <v>8117</v>
      </c>
      <c r="AF248" s="81" t="s">
        <v>256</v>
      </c>
      <c r="AG248" s="81" t="s">
        <v>255</v>
      </c>
      <c r="AH248" s="8"/>
      <c r="AI248" s="8"/>
      <c r="AJ248" s="8"/>
      <c r="AK248" s="8"/>
      <c r="AL248" s="8"/>
      <c r="AM248" s="81" t="s">
        <v>243</v>
      </c>
      <c r="AN248" s="8"/>
      <c r="AO248" s="8"/>
      <c r="AP248" s="8"/>
      <c r="AQ248" s="8"/>
      <c r="AR248" s="9">
        <v>41414</v>
      </c>
      <c r="AS248" s="8" t="s">
        <v>8586</v>
      </c>
      <c r="AT248" s="8" t="s">
        <v>348</v>
      </c>
      <c r="AU248" s="9"/>
      <c r="AV248" s="81" t="s">
        <v>322</v>
      </c>
      <c r="AW248" s="81" t="s">
        <v>256</v>
      </c>
      <c r="AX248" s="8" t="s">
        <v>2783</v>
      </c>
      <c r="AY248" s="8"/>
      <c r="AZ248" s="8" t="s">
        <v>8139</v>
      </c>
      <c r="BA248" s="81" t="s">
        <v>399</v>
      </c>
      <c r="BB248" s="8"/>
      <c r="BC248" s="8"/>
      <c r="BD248" s="8"/>
      <c r="BE248" s="81" t="s">
        <v>261</v>
      </c>
      <c r="BF248" s="8" t="s">
        <v>2784</v>
      </c>
      <c r="BG248" s="9">
        <v>49443</v>
      </c>
      <c r="BH248" s="81" t="s">
        <v>87</v>
      </c>
      <c r="BI248" s="81" t="s">
        <v>1032</v>
      </c>
      <c r="BJ248" s="9">
        <v>41883</v>
      </c>
      <c r="BK248" s="9">
        <v>43803</v>
      </c>
      <c r="BL248" s="81" t="s">
        <v>2787</v>
      </c>
      <c r="BM248" s="81" t="s">
        <v>87</v>
      </c>
      <c r="BN248" s="8"/>
      <c r="BO248" s="8"/>
      <c r="BP248" s="8"/>
      <c r="BQ248" s="9"/>
      <c r="BR248" s="9"/>
      <c r="BS248" s="8"/>
      <c r="BT248" s="81" t="s">
        <v>2788</v>
      </c>
      <c r="BU248" s="81" t="s">
        <v>266</v>
      </c>
      <c r="BV248" s="8" t="s">
        <v>2789</v>
      </c>
      <c r="BW248" s="81" t="s">
        <v>256</v>
      </c>
      <c r="BX248" s="81" t="s">
        <v>1556</v>
      </c>
      <c r="BY248" s="9">
        <v>43836</v>
      </c>
      <c r="BZ248" s="9"/>
      <c r="CA248" s="8" t="s">
        <v>245</v>
      </c>
    </row>
    <row r="249" spans="1:79" ht="205.2" x14ac:dyDescent="0.25">
      <c r="A249" s="81" t="s">
        <v>2790</v>
      </c>
      <c r="B249" s="8"/>
      <c r="C249" s="81" t="s">
        <v>26</v>
      </c>
      <c r="D249" s="8" t="s">
        <v>8021</v>
      </c>
      <c r="E249" s="8"/>
      <c r="F249" s="9">
        <v>27141</v>
      </c>
      <c r="G249" s="8" t="s">
        <v>2791</v>
      </c>
      <c r="H249" s="81" t="s">
        <v>250</v>
      </c>
      <c r="I249" s="81" t="s">
        <v>27</v>
      </c>
      <c r="J249" s="81" t="s">
        <v>252</v>
      </c>
      <c r="K249" s="81" t="s">
        <v>1246</v>
      </c>
      <c r="L249" s="81" t="s">
        <v>102</v>
      </c>
      <c r="M249" s="81" t="s">
        <v>8587</v>
      </c>
      <c r="N249" s="81" t="s">
        <v>119</v>
      </c>
      <c r="O249" s="81" t="s">
        <v>29</v>
      </c>
      <c r="P249" s="9"/>
      <c r="Q249" s="8"/>
      <c r="R249" s="8"/>
      <c r="S249" s="8"/>
      <c r="T249" s="8"/>
      <c r="U249" s="8"/>
      <c r="V249" s="8"/>
      <c r="W249" s="8"/>
      <c r="X249" s="8" t="s">
        <v>2792</v>
      </c>
      <c r="Y249" s="81" t="s">
        <v>33</v>
      </c>
      <c r="Z249" s="8"/>
      <c r="AA249" s="81" t="s">
        <v>2793</v>
      </c>
      <c r="AB249" s="8"/>
      <c r="AC249" s="8"/>
      <c r="AD249" s="81" t="s">
        <v>344</v>
      </c>
      <c r="AE249" s="81" t="s">
        <v>8129</v>
      </c>
      <c r="AF249" s="81" t="s">
        <v>242</v>
      </c>
      <c r="AG249" s="81" t="s">
        <v>345</v>
      </c>
      <c r="AH249" s="81" t="s">
        <v>346</v>
      </c>
      <c r="AI249" s="81" t="s">
        <v>344</v>
      </c>
      <c r="AJ249" s="8"/>
      <c r="AK249" s="8"/>
      <c r="AL249" s="8"/>
      <c r="AM249" s="81" t="s">
        <v>243</v>
      </c>
      <c r="AN249" s="8"/>
      <c r="AO249" s="8"/>
      <c r="AP249" s="8"/>
      <c r="AQ249" s="8"/>
      <c r="AR249" s="9">
        <v>41407</v>
      </c>
      <c r="AS249" s="8" t="s">
        <v>8586</v>
      </c>
      <c r="AT249" s="8" t="s">
        <v>348</v>
      </c>
      <c r="AU249" s="9"/>
      <c r="AV249" s="81" t="s">
        <v>322</v>
      </c>
      <c r="AW249" s="81" t="s">
        <v>242</v>
      </c>
      <c r="AX249" s="8" t="s">
        <v>2794</v>
      </c>
      <c r="AY249" s="8"/>
      <c r="AZ249" s="8" t="s">
        <v>8588</v>
      </c>
      <c r="BA249" s="81" t="s">
        <v>556</v>
      </c>
      <c r="BB249" s="8"/>
      <c r="BC249" s="8"/>
      <c r="BD249" s="8"/>
      <c r="BE249" s="81" t="s">
        <v>261</v>
      </c>
      <c r="BF249" s="8" t="s">
        <v>2795</v>
      </c>
      <c r="BG249" s="9">
        <v>47099</v>
      </c>
      <c r="BH249" s="81" t="s">
        <v>1705</v>
      </c>
      <c r="BI249" s="81" t="s">
        <v>2087</v>
      </c>
      <c r="BJ249" s="9" t="s">
        <v>2088</v>
      </c>
      <c r="BK249" s="9"/>
      <c r="BL249" s="8"/>
      <c r="BM249" s="8"/>
      <c r="BN249" s="8"/>
      <c r="BO249" s="8"/>
      <c r="BP249" s="8"/>
      <c r="BQ249" s="9"/>
      <c r="BR249" s="9"/>
      <c r="BS249" s="8"/>
      <c r="BT249" s="81" t="s">
        <v>2797</v>
      </c>
      <c r="BU249" s="81" t="s">
        <v>118</v>
      </c>
      <c r="BV249" s="8" t="s">
        <v>2798</v>
      </c>
      <c r="BW249" s="81" t="s">
        <v>242</v>
      </c>
      <c r="BX249" s="81" t="s">
        <v>1556</v>
      </c>
      <c r="BY249" s="9">
        <v>45870</v>
      </c>
      <c r="BZ249" s="9"/>
      <c r="CA249" s="8" t="s">
        <v>245</v>
      </c>
    </row>
    <row r="250" spans="1:79" ht="157.80000000000001" x14ac:dyDescent="0.25">
      <c r="A250" s="81" t="s">
        <v>2799</v>
      </c>
      <c r="B250" s="8"/>
      <c r="C250" s="81" t="s">
        <v>352</v>
      </c>
      <c r="D250" s="8" t="s">
        <v>8022</v>
      </c>
      <c r="E250" s="8"/>
      <c r="F250" s="9">
        <v>27542</v>
      </c>
      <c r="G250" s="8" t="s">
        <v>2633</v>
      </c>
      <c r="H250" s="81" t="s">
        <v>250</v>
      </c>
      <c r="I250" s="81" t="s">
        <v>27</v>
      </c>
      <c r="J250" s="81" t="s">
        <v>293</v>
      </c>
      <c r="K250" s="81" t="s">
        <v>1246</v>
      </c>
      <c r="L250" s="81" t="s">
        <v>102</v>
      </c>
      <c r="M250" s="81" t="s">
        <v>8589</v>
      </c>
      <c r="N250" s="81" t="s">
        <v>119</v>
      </c>
      <c r="O250" s="81" t="s">
        <v>29</v>
      </c>
      <c r="P250" s="9"/>
      <c r="Q250" s="8"/>
      <c r="R250" s="8"/>
      <c r="S250" s="8"/>
      <c r="T250" s="8"/>
      <c r="U250" s="8"/>
      <c r="V250" s="8"/>
      <c r="W250" s="8"/>
      <c r="X250" s="8" t="s">
        <v>2800</v>
      </c>
      <c r="Y250" s="81" t="s">
        <v>33</v>
      </c>
      <c r="Z250" s="8"/>
      <c r="AA250" s="81" t="s">
        <v>2556</v>
      </c>
      <c r="AB250" s="8"/>
      <c r="AC250" s="8"/>
      <c r="AD250" s="81" t="s">
        <v>2557</v>
      </c>
      <c r="AE250" s="81" t="s">
        <v>8549</v>
      </c>
      <c r="AF250" s="81" t="s">
        <v>242</v>
      </c>
      <c r="AG250" s="81" t="s">
        <v>298</v>
      </c>
      <c r="AH250" s="81" t="s">
        <v>2557</v>
      </c>
      <c r="AI250" s="8"/>
      <c r="AJ250" s="8"/>
      <c r="AK250" s="8"/>
      <c r="AL250" s="8"/>
      <c r="AM250" s="81" t="s">
        <v>243</v>
      </c>
      <c r="AN250" s="8"/>
      <c r="AO250" s="8"/>
      <c r="AP250" s="8"/>
      <c r="AQ250" s="8"/>
      <c r="AR250" s="9">
        <v>41365</v>
      </c>
      <c r="AS250" s="8" t="s">
        <v>8590</v>
      </c>
      <c r="AT250" s="8" t="s">
        <v>348</v>
      </c>
      <c r="AU250" s="9"/>
      <c r="AV250" s="81" t="s">
        <v>322</v>
      </c>
      <c r="AW250" s="81" t="s">
        <v>242</v>
      </c>
      <c r="AX250" s="8" t="s">
        <v>2802</v>
      </c>
      <c r="AY250" s="8"/>
      <c r="AZ250" s="8" t="s">
        <v>8591</v>
      </c>
      <c r="BA250" s="81" t="s">
        <v>361</v>
      </c>
      <c r="BB250" s="8"/>
      <c r="BC250" s="8"/>
      <c r="BD250" s="8"/>
      <c r="BE250" s="81" t="s">
        <v>261</v>
      </c>
      <c r="BF250" s="8" t="s">
        <v>2803</v>
      </c>
      <c r="BG250" s="9">
        <v>46284</v>
      </c>
      <c r="BH250" s="81" t="s">
        <v>1705</v>
      </c>
      <c r="BI250" s="81" t="s">
        <v>2087</v>
      </c>
      <c r="BJ250" s="9" t="s">
        <v>2088</v>
      </c>
      <c r="BK250" s="9"/>
      <c r="BL250" s="8"/>
      <c r="BM250" s="8"/>
      <c r="BN250" s="8"/>
      <c r="BO250" s="8"/>
      <c r="BP250" s="8"/>
      <c r="BQ250" s="9"/>
      <c r="BR250" s="9"/>
      <c r="BS250" s="8"/>
      <c r="BT250" s="81" t="s">
        <v>2805</v>
      </c>
      <c r="BU250" s="81" t="s">
        <v>2806</v>
      </c>
      <c r="BV250" s="8" t="s">
        <v>2807</v>
      </c>
      <c r="BW250" s="81" t="s">
        <v>242</v>
      </c>
      <c r="BX250" s="81" t="s">
        <v>337</v>
      </c>
      <c r="BY250" s="9">
        <v>41365</v>
      </c>
      <c r="BZ250" s="9">
        <v>46599</v>
      </c>
      <c r="CA250" s="8" t="s">
        <v>61</v>
      </c>
    </row>
    <row r="251" spans="1:79" ht="157.80000000000001" x14ac:dyDescent="0.25">
      <c r="A251" s="81" t="s">
        <v>2808</v>
      </c>
      <c r="B251" s="8"/>
      <c r="C251" s="81" t="s">
        <v>26</v>
      </c>
      <c r="D251" s="8" t="s">
        <v>8023</v>
      </c>
      <c r="E251" s="8"/>
      <c r="F251" s="9">
        <v>29271</v>
      </c>
      <c r="G251" s="8" t="s">
        <v>2621</v>
      </c>
      <c r="H251" s="81" t="s">
        <v>250</v>
      </c>
      <c r="I251" s="81" t="s">
        <v>27</v>
      </c>
      <c r="J251" s="81" t="s">
        <v>293</v>
      </c>
      <c r="K251" s="81" t="s">
        <v>1246</v>
      </c>
      <c r="L251" s="81" t="s">
        <v>102</v>
      </c>
      <c r="M251" s="81" t="s">
        <v>8592</v>
      </c>
      <c r="N251" s="81" t="s">
        <v>119</v>
      </c>
      <c r="O251" s="81" t="s">
        <v>29</v>
      </c>
      <c r="P251" s="9"/>
      <c r="Q251" s="8"/>
      <c r="R251" s="8"/>
      <c r="S251" s="8"/>
      <c r="T251" s="8"/>
      <c r="U251" s="8"/>
      <c r="V251" s="8"/>
      <c r="W251" s="8"/>
      <c r="X251" s="8" t="s">
        <v>2809</v>
      </c>
      <c r="Y251" s="81" t="s">
        <v>33</v>
      </c>
      <c r="Z251" s="8"/>
      <c r="AA251" s="81" t="s">
        <v>296</v>
      </c>
      <c r="AB251" s="8"/>
      <c r="AC251" s="8"/>
      <c r="AD251" s="81" t="s">
        <v>297</v>
      </c>
      <c r="AE251" s="81" t="s">
        <v>8123</v>
      </c>
      <c r="AF251" s="81" t="s">
        <v>242</v>
      </c>
      <c r="AG251" s="81" t="s">
        <v>298</v>
      </c>
      <c r="AH251" s="81" t="s">
        <v>297</v>
      </c>
      <c r="AI251" s="8"/>
      <c r="AJ251" s="8"/>
      <c r="AK251" s="8"/>
      <c r="AL251" s="8"/>
      <c r="AM251" s="81" t="s">
        <v>243</v>
      </c>
      <c r="AN251" s="8"/>
      <c r="AO251" s="8"/>
      <c r="AP251" s="8"/>
      <c r="AQ251" s="8"/>
      <c r="AR251" s="9">
        <v>41298</v>
      </c>
      <c r="AS251" s="8" t="s">
        <v>8593</v>
      </c>
      <c r="AT251" s="8" t="s">
        <v>348</v>
      </c>
      <c r="AU251" s="9"/>
      <c r="AV251" s="81" t="s">
        <v>322</v>
      </c>
      <c r="AW251" s="81" t="s">
        <v>242</v>
      </c>
      <c r="AX251" s="8" t="s">
        <v>2811</v>
      </c>
      <c r="AY251" s="8"/>
      <c r="AZ251" s="8" t="s">
        <v>8594</v>
      </c>
      <c r="BA251" s="81" t="s">
        <v>361</v>
      </c>
      <c r="BB251" s="8"/>
      <c r="BC251" s="8"/>
      <c r="BD251" s="8"/>
      <c r="BE251" s="81" t="s">
        <v>261</v>
      </c>
      <c r="BF251" s="8" t="s">
        <v>2812</v>
      </c>
      <c r="BG251" s="9">
        <v>46266</v>
      </c>
      <c r="BH251" s="81" t="s">
        <v>1705</v>
      </c>
      <c r="BI251" s="81" t="s">
        <v>2087</v>
      </c>
      <c r="BJ251" s="9" t="s">
        <v>2088</v>
      </c>
      <c r="BK251" s="9"/>
      <c r="BL251" s="8"/>
      <c r="BM251" s="8"/>
      <c r="BN251" s="8"/>
      <c r="BO251" s="8"/>
      <c r="BP251" s="8"/>
      <c r="BQ251" s="9"/>
      <c r="BR251" s="9"/>
      <c r="BS251" s="8"/>
      <c r="BT251" s="81" t="s">
        <v>2814</v>
      </c>
      <c r="BU251" s="81" t="s">
        <v>118</v>
      </c>
      <c r="BV251" s="8" t="s">
        <v>2815</v>
      </c>
      <c r="BW251" s="81" t="s">
        <v>242</v>
      </c>
      <c r="BX251" s="81" t="s">
        <v>337</v>
      </c>
      <c r="BY251" s="9">
        <v>41298</v>
      </c>
      <c r="BZ251" s="9">
        <v>46599</v>
      </c>
      <c r="CA251" s="8" t="s">
        <v>61</v>
      </c>
    </row>
    <row r="252" spans="1:79" ht="141.6" x14ac:dyDescent="0.25">
      <c r="A252" s="81" t="s">
        <v>2816</v>
      </c>
      <c r="B252" s="8"/>
      <c r="C252" s="81" t="s">
        <v>26</v>
      </c>
      <c r="D252" s="8" t="s">
        <v>8024</v>
      </c>
      <c r="E252" s="8"/>
      <c r="F252" s="9">
        <v>27284</v>
      </c>
      <c r="G252" s="8" t="s">
        <v>2791</v>
      </c>
      <c r="H252" s="81" t="s">
        <v>250</v>
      </c>
      <c r="I252" s="81" t="s">
        <v>973</v>
      </c>
      <c r="J252" s="81" t="s">
        <v>474</v>
      </c>
      <c r="K252" s="81" t="s">
        <v>353</v>
      </c>
      <c r="L252" s="81" t="s">
        <v>102</v>
      </c>
      <c r="M252" s="81" t="s">
        <v>8595</v>
      </c>
      <c r="N252" s="81" t="s">
        <v>119</v>
      </c>
      <c r="O252" s="81" t="s">
        <v>29</v>
      </c>
      <c r="P252" s="9"/>
      <c r="Q252" s="8"/>
      <c r="R252" s="8"/>
      <c r="S252" s="8"/>
      <c r="T252" s="8"/>
      <c r="U252" s="8"/>
      <c r="V252" s="8"/>
      <c r="W252" s="8"/>
      <c r="X252" s="8" t="s">
        <v>2818</v>
      </c>
      <c r="Y252" s="81" t="s">
        <v>33</v>
      </c>
      <c r="Z252" s="8"/>
      <c r="AA252" s="81" t="s">
        <v>2819</v>
      </c>
      <c r="AB252" s="8"/>
      <c r="AC252" s="8"/>
      <c r="AD252" s="81" t="s">
        <v>420</v>
      </c>
      <c r="AE252" s="81" t="s">
        <v>8142</v>
      </c>
      <c r="AF252" s="81" t="s">
        <v>242</v>
      </c>
      <c r="AG252" s="81" t="s">
        <v>420</v>
      </c>
      <c r="AH252" s="8"/>
      <c r="AI252" s="8"/>
      <c r="AJ252" s="8"/>
      <c r="AK252" s="8"/>
      <c r="AL252" s="8"/>
      <c r="AM252" s="81" t="s">
        <v>243</v>
      </c>
      <c r="AN252" s="8"/>
      <c r="AO252" s="8"/>
      <c r="AP252" s="8"/>
      <c r="AQ252" s="8"/>
      <c r="AR252" s="9">
        <v>41290</v>
      </c>
      <c r="AS252" s="8" t="s">
        <v>8593</v>
      </c>
      <c r="AT252" s="8" t="s">
        <v>348</v>
      </c>
      <c r="AU252" s="9"/>
      <c r="AV252" s="81" t="s">
        <v>322</v>
      </c>
      <c r="AW252" s="81" t="s">
        <v>242</v>
      </c>
      <c r="AX252" s="8" t="s">
        <v>2821</v>
      </c>
      <c r="AY252" s="8"/>
      <c r="AZ252" s="8" t="s">
        <v>8380</v>
      </c>
      <c r="BA252" s="81" t="s">
        <v>361</v>
      </c>
      <c r="BB252" s="8"/>
      <c r="BC252" s="8"/>
      <c r="BD252" s="8"/>
      <c r="BE252" s="81" t="s">
        <v>261</v>
      </c>
      <c r="BF252" s="8" t="s">
        <v>2822</v>
      </c>
      <c r="BG252" s="9">
        <v>46439</v>
      </c>
      <c r="BH252" s="81" t="s">
        <v>81</v>
      </c>
      <c r="BI252" s="81" t="s">
        <v>1032</v>
      </c>
      <c r="BJ252" s="9">
        <v>36039</v>
      </c>
      <c r="BK252" s="9">
        <v>37438</v>
      </c>
      <c r="BL252" s="81" t="s">
        <v>662</v>
      </c>
      <c r="BM252" s="81" t="s">
        <v>82</v>
      </c>
      <c r="BN252" s="8"/>
      <c r="BO252" s="8"/>
      <c r="BP252" s="8"/>
      <c r="BQ252" s="9"/>
      <c r="BR252" s="9"/>
      <c r="BS252" s="8"/>
      <c r="BT252" s="8"/>
      <c r="BU252" s="8"/>
      <c r="BV252" s="8"/>
      <c r="BW252" s="81" t="s">
        <v>242</v>
      </c>
      <c r="BX252" s="81" t="s">
        <v>1556</v>
      </c>
      <c r="BY252" s="9">
        <v>45870</v>
      </c>
      <c r="BZ252" s="9"/>
      <c r="CA252" s="8" t="s">
        <v>58</v>
      </c>
    </row>
    <row r="253" spans="1:79" ht="205.2" x14ac:dyDescent="0.25">
      <c r="A253" s="81" t="s">
        <v>2826</v>
      </c>
      <c r="B253" s="8"/>
      <c r="C253" s="81" t="s">
        <v>26</v>
      </c>
      <c r="D253" s="8" t="s">
        <v>8025</v>
      </c>
      <c r="E253" s="8"/>
      <c r="F253" s="9">
        <v>31757</v>
      </c>
      <c r="G253" s="8" t="s">
        <v>2135</v>
      </c>
      <c r="H253" s="81" t="s">
        <v>250</v>
      </c>
      <c r="I253" s="81" t="s">
        <v>27</v>
      </c>
      <c r="J253" s="81" t="s">
        <v>293</v>
      </c>
      <c r="K253" s="81" t="s">
        <v>294</v>
      </c>
      <c r="L253" s="81" t="s">
        <v>102</v>
      </c>
      <c r="M253" s="81" t="s">
        <v>8596</v>
      </c>
      <c r="N253" s="81" t="s">
        <v>119</v>
      </c>
      <c r="O253" s="81" t="s">
        <v>29</v>
      </c>
      <c r="P253" s="9"/>
      <c r="Q253" s="8"/>
      <c r="R253" s="8"/>
      <c r="S253" s="8"/>
      <c r="T253" s="8"/>
      <c r="U253" s="8"/>
      <c r="V253" s="81" t="s">
        <v>8141</v>
      </c>
      <c r="W253" s="81" t="s">
        <v>2827</v>
      </c>
      <c r="X253" s="8" t="s">
        <v>2828</v>
      </c>
      <c r="Y253" s="81" t="s">
        <v>33</v>
      </c>
      <c r="Z253" s="8"/>
      <c r="AA253" s="81" t="s">
        <v>1285</v>
      </c>
      <c r="AB253" s="8"/>
      <c r="AC253" s="8"/>
      <c r="AD253" s="81" t="s">
        <v>344</v>
      </c>
      <c r="AE253" s="81" t="s">
        <v>8129</v>
      </c>
      <c r="AF253" s="81" t="s">
        <v>242</v>
      </c>
      <c r="AG253" s="81" t="s">
        <v>345</v>
      </c>
      <c r="AH253" s="81" t="s">
        <v>346</v>
      </c>
      <c r="AI253" s="81" t="s">
        <v>344</v>
      </c>
      <c r="AJ253" s="8"/>
      <c r="AK253" s="8"/>
      <c r="AL253" s="8"/>
      <c r="AM253" s="81" t="s">
        <v>243</v>
      </c>
      <c r="AN253" s="8"/>
      <c r="AO253" s="8"/>
      <c r="AP253" s="8"/>
      <c r="AQ253" s="8"/>
      <c r="AR253" s="9">
        <v>41256</v>
      </c>
      <c r="AS253" s="8" t="s">
        <v>8597</v>
      </c>
      <c r="AT253" s="8" t="s">
        <v>348</v>
      </c>
      <c r="AU253" s="9"/>
      <c r="AV253" s="81" t="s">
        <v>322</v>
      </c>
      <c r="AW253" s="81" t="s">
        <v>242</v>
      </c>
      <c r="AX253" s="8" t="s">
        <v>2829</v>
      </c>
      <c r="AY253" s="8"/>
      <c r="AZ253" s="8" t="s">
        <v>8598</v>
      </c>
      <c r="BA253" s="81" t="s">
        <v>556</v>
      </c>
      <c r="BB253" s="8"/>
      <c r="BC253" s="8"/>
      <c r="BD253" s="8"/>
      <c r="BE253" s="81" t="s">
        <v>261</v>
      </c>
      <c r="BF253" s="8" t="s">
        <v>2830</v>
      </c>
      <c r="BG253" s="9">
        <v>51849</v>
      </c>
      <c r="BH253" s="81" t="s">
        <v>1252</v>
      </c>
      <c r="BI253" s="81" t="s">
        <v>2832</v>
      </c>
      <c r="BJ253" s="9">
        <v>37865</v>
      </c>
      <c r="BK253" s="9">
        <v>38899</v>
      </c>
      <c r="BL253" s="81" t="s">
        <v>1326</v>
      </c>
      <c r="BM253" s="8"/>
      <c r="BN253" s="8"/>
      <c r="BO253" s="8"/>
      <c r="BP253" s="8"/>
      <c r="BQ253" s="9"/>
      <c r="BR253" s="9"/>
      <c r="BS253" s="8"/>
      <c r="BT253" s="81" t="s">
        <v>2834</v>
      </c>
      <c r="BU253" s="81" t="s">
        <v>118</v>
      </c>
      <c r="BV253" s="8" t="s">
        <v>2835</v>
      </c>
      <c r="BW253" s="81" t="s">
        <v>242</v>
      </c>
      <c r="BX253" s="81" t="s">
        <v>337</v>
      </c>
      <c r="BY253" s="9">
        <v>44470</v>
      </c>
      <c r="BZ253" s="9">
        <v>46142</v>
      </c>
      <c r="CA253" s="8" t="s">
        <v>245</v>
      </c>
    </row>
    <row r="254" spans="1:79" ht="205.2" x14ac:dyDescent="0.25">
      <c r="A254" s="81" t="s">
        <v>2836</v>
      </c>
      <c r="B254" s="8"/>
      <c r="C254" s="81" t="s">
        <v>26</v>
      </c>
      <c r="D254" s="8" t="s">
        <v>8026</v>
      </c>
      <c r="E254" s="8"/>
      <c r="F254" s="9">
        <v>33371</v>
      </c>
      <c r="G254" s="8" t="s">
        <v>1392</v>
      </c>
      <c r="H254" s="81" t="s">
        <v>250</v>
      </c>
      <c r="I254" s="81" t="s">
        <v>27</v>
      </c>
      <c r="J254" s="81" t="s">
        <v>293</v>
      </c>
      <c r="K254" s="81" t="s">
        <v>2837</v>
      </c>
      <c r="L254" s="81" t="s">
        <v>102</v>
      </c>
      <c r="M254" s="81" t="s">
        <v>8599</v>
      </c>
      <c r="N254" s="81" t="s">
        <v>119</v>
      </c>
      <c r="O254" s="81" t="s">
        <v>29</v>
      </c>
      <c r="P254" s="9"/>
      <c r="Q254" s="8"/>
      <c r="R254" s="8"/>
      <c r="S254" s="8"/>
      <c r="T254" s="8"/>
      <c r="U254" s="8"/>
      <c r="V254" s="8"/>
      <c r="W254" s="8"/>
      <c r="X254" s="8" t="s">
        <v>2838</v>
      </c>
      <c r="Y254" s="81" t="s">
        <v>33</v>
      </c>
      <c r="Z254" s="8"/>
      <c r="AA254" s="81" t="s">
        <v>2839</v>
      </c>
      <c r="AB254" s="8"/>
      <c r="AC254" s="8"/>
      <c r="AD254" s="81" t="s">
        <v>344</v>
      </c>
      <c r="AE254" s="81" t="s">
        <v>8129</v>
      </c>
      <c r="AF254" s="81" t="s">
        <v>242</v>
      </c>
      <c r="AG254" s="81" t="s">
        <v>345</v>
      </c>
      <c r="AH254" s="81" t="s">
        <v>346</v>
      </c>
      <c r="AI254" s="81" t="s">
        <v>344</v>
      </c>
      <c r="AJ254" s="8"/>
      <c r="AK254" s="8"/>
      <c r="AL254" s="8"/>
      <c r="AM254" s="81" t="s">
        <v>243</v>
      </c>
      <c r="AN254" s="8"/>
      <c r="AO254" s="8"/>
      <c r="AP254" s="8"/>
      <c r="AQ254" s="8"/>
      <c r="AR254" s="9">
        <v>41249</v>
      </c>
      <c r="AS254" s="8" t="s">
        <v>8600</v>
      </c>
      <c r="AT254" s="8" t="s">
        <v>348</v>
      </c>
      <c r="AU254" s="9"/>
      <c r="AV254" s="81" t="s">
        <v>322</v>
      </c>
      <c r="AW254" s="81" t="s">
        <v>242</v>
      </c>
      <c r="AX254" s="8" t="s">
        <v>2840</v>
      </c>
      <c r="AY254" s="8"/>
      <c r="AZ254" s="8" t="s">
        <v>8601</v>
      </c>
      <c r="BA254" s="81" t="s">
        <v>556</v>
      </c>
      <c r="BB254" s="8"/>
      <c r="BC254" s="8"/>
      <c r="BD254" s="8"/>
      <c r="BE254" s="81" t="s">
        <v>261</v>
      </c>
      <c r="BF254" s="8" t="s">
        <v>2841</v>
      </c>
      <c r="BG254" s="9">
        <v>50623</v>
      </c>
      <c r="BH254" s="81" t="s">
        <v>305</v>
      </c>
      <c r="BI254" s="81" t="s">
        <v>1671</v>
      </c>
      <c r="BJ254" s="9">
        <v>41883</v>
      </c>
      <c r="BK254" s="9">
        <v>42400</v>
      </c>
      <c r="BL254" s="81" t="s">
        <v>2843</v>
      </c>
      <c r="BM254" s="8"/>
      <c r="BN254" s="8"/>
      <c r="BO254" s="8"/>
      <c r="BP254" s="8"/>
      <c r="BQ254" s="9"/>
      <c r="BR254" s="9"/>
      <c r="BS254" s="8"/>
      <c r="BT254" s="81" t="s">
        <v>2844</v>
      </c>
      <c r="BU254" s="81" t="s">
        <v>266</v>
      </c>
      <c r="BV254" s="8" t="s">
        <v>2845</v>
      </c>
      <c r="BW254" s="81" t="s">
        <v>242</v>
      </c>
      <c r="BX254" s="81" t="s">
        <v>1556</v>
      </c>
      <c r="BY254" s="9">
        <v>45870</v>
      </c>
      <c r="BZ254" s="9"/>
      <c r="CA254" s="8" t="s">
        <v>245</v>
      </c>
    </row>
    <row r="255" spans="1:79" ht="157.80000000000001" x14ac:dyDescent="0.25">
      <c r="A255" s="81" t="s">
        <v>2846</v>
      </c>
      <c r="B255" s="8"/>
      <c r="C255" s="81" t="s">
        <v>26</v>
      </c>
      <c r="D255" s="8" t="s">
        <v>8027</v>
      </c>
      <c r="E255" s="8"/>
      <c r="F255" s="9">
        <v>27444</v>
      </c>
      <c r="G255" s="8" t="s">
        <v>2791</v>
      </c>
      <c r="H255" s="81" t="s">
        <v>250</v>
      </c>
      <c r="I255" s="81" t="s">
        <v>27</v>
      </c>
      <c r="J255" s="81" t="s">
        <v>252</v>
      </c>
      <c r="K255" s="81" t="s">
        <v>1246</v>
      </c>
      <c r="L255" s="81" t="s">
        <v>102</v>
      </c>
      <c r="M255" s="81" t="s">
        <v>8602</v>
      </c>
      <c r="N255" s="81" t="s">
        <v>119</v>
      </c>
      <c r="O255" s="81" t="s">
        <v>29</v>
      </c>
      <c r="P255" s="9"/>
      <c r="Q255" s="8"/>
      <c r="R255" s="8"/>
      <c r="S255" s="8"/>
      <c r="T255" s="8"/>
      <c r="U255" s="8"/>
      <c r="V255" s="8"/>
      <c r="W255" s="8"/>
      <c r="X255" s="8" t="s">
        <v>2847</v>
      </c>
      <c r="Y255" s="81" t="s">
        <v>33</v>
      </c>
      <c r="Z255" s="8"/>
      <c r="AA255" s="81" t="s">
        <v>296</v>
      </c>
      <c r="AB255" s="8"/>
      <c r="AC255" s="8"/>
      <c r="AD255" s="81" t="s">
        <v>297</v>
      </c>
      <c r="AE255" s="81" t="s">
        <v>8123</v>
      </c>
      <c r="AF255" s="81" t="s">
        <v>242</v>
      </c>
      <c r="AG255" s="81" t="s">
        <v>298</v>
      </c>
      <c r="AH255" s="81" t="s">
        <v>297</v>
      </c>
      <c r="AI255" s="8"/>
      <c r="AJ255" s="8"/>
      <c r="AK255" s="8"/>
      <c r="AL255" s="8"/>
      <c r="AM255" s="81" t="s">
        <v>243</v>
      </c>
      <c r="AN255" s="8"/>
      <c r="AO255" s="8"/>
      <c r="AP255" s="8"/>
      <c r="AQ255" s="8"/>
      <c r="AR255" s="9">
        <v>41241</v>
      </c>
      <c r="AS255" s="8" t="s">
        <v>8600</v>
      </c>
      <c r="AT255" s="8" t="s">
        <v>348</v>
      </c>
      <c r="AU255" s="9"/>
      <c r="AV255" s="81" t="s">
        <v>322</v>
      </c>
      <c r="AW255" s="81" t="s">
        <v>242</v>
      </c>
      <c r="AX255" s="8" t="s">
        <v>2849</v>
      </c>
      <c r="AY255" s="8"/>
      <c r="AZ255" s="8" t="s">
        <v>8601</v>
      </c>
      <c r="BA255" s="81" t="s">
        <v>361</v>
      </c>
      <c r="BB255" s="8"/>
      <c r="BC255" s="8"/>
      <c r="BD255" s="8"/>
      <c r="BE255" s="81" t="s">
        <v>261</v>
      </c>
      <c r="BF255" s="8" t="s">
        <v>2850</v>
      </c>
      <c r="BG255" s="9">
        <v>46980</v>
      </c>
      <c r="BH255" s="81" t="s">
        <v>1705</v>
      </c>
      <c r="BI255" s="81" t="s">
        <v>2087</v>
      </c>
      <c r="BJ255" s="9" t="s">
        <v>2088</v>
      </c>
      <c r="BK255" s="9"/>
      <c r="BL255" s="8"/>
      <c r="BM255" s="8"/>
      <c r="BN255" s="8"/>
      <c r="BO255" s="8"/>
      <c r="BP255" s="8"/>
      <c r="BQ255" s="9"/>
      <c r="BR255" s="9"/>
      <c r="BS255" s="8"/>
      <c r="BT255" s="8"/>
      <c r="BU255" s="8"/>
      <c r="BV255" s="8"/>
      <c r="BW255" s="81" t="s">
        <v>242</v>
      </c>
      <c r="BX255" s="81" t="s">
        <v>337</v>
      </c>
      <c r="BY255" s="9">
        <v>41241</v>
      </c>
      <c r="BZ255" s="9">
        <v>46234</v>
      </c>
      <c r="CA255" s="8" t="s">
        <v>61</v>
      </c>
    </row>
    <row r="256" spans="1:79" ht="205.2" x14ac:dyDescent="0.25">
      <c r="A256" s="81" t="s">
        <v>2852</v>
      </c>
      <c r="B256" s="8"/>
      <c r="C256" s="81" t="s">
        <v>26</v>
      </c>
      <c r="D256" s="8" t="s">
        <v>8028</v>
      </c>
      <c r="E256" s="8"/>
      <c r="F256" s="9">
        <v>32198</v>
      </c>
      <c r="G256" s="8" t="s">
        <v>434</v>
      </c>
      <c r="H256" s="81" t="s">
        <v>250</v>
      </c>
      <c r="I256" s="81" t="s">
        <v>27</v>
      </c>
      <c r="J256" s="81" t="s">
        <v>293</v>
      </c>
      <c r="K256" s="81" t="s">
        <v>668</v>
      </c>
      <c r="L256" s="81" t="s">
        <v>102</v>
      </c>
      <c r="M256" s="81" t="s">
        <v>2853</v>
      </c>
      <c r="N256" s="81" t="s">
        <v>119</v>
      </c>
      <c r="O256" s="81" t="s">
        <v>29</v>
      </c>
      <c r="P256" s="9"/>
      <c r="Q256" s="8"/>
      <c r="R256" s="8"/>
      <c r="S256" s="8"/>
      <c r="T256" s="8"/>
      <c r="U256" s="8"/>
      <c r="V256" s="8"/>
      <c r="W256" s="8"/>
      <c r="X256" s="8" t="s">
        <v>2854</v>
      </c>
      <c r="Y256" s="81" t="s">
        <v>33</v>
      </c>
      <c r="Z256" s="8"/>
      <c r="AA256" s="81" t="s">
        <v>574</v>
      </c>
      <c r="AB256" s="8"/>
      <c r="AC256" s="8"/>
      <c r="AD256" s="81" t="s">
        <v>344</v>
      </c>
      <c r="AE256" s="81" t="s">
        <v>8129</v>
      </c>
      <c r="AF256" s="81" t="s">
        <v>242</v>
      </c>
      <c r="AG256" s="81" t="s">
        <v>345</v>
      </c>
      <c r="AH256" s="81" t="s">
        <v>346</v>
      </c>
      <c r="AI256" s="81" t="s">
        <v>344</v>
      </c>
      <c r="AJ256" s="8"/>
      <c r="AK256" s="8"/>
      <c r="AL256" s="8"/>
      <c r="AM256" s="81" t="s">
        <v>243</v>
      </c>
      <c r="AN256" s="8"/>
      <c r="AO256" s="8"/>
      <c r="AP256" s="8"/>
      <c r="AQ256" s="8"/>
      <c r="AR256" s="9">
        <v>41236</v>
      </c>
      <c r="AS256" s="8" t="s">
        <v>8600</v>
      </c>
      <c r="AT256" s="8" t="s">
        <v>348</v>
      </c>
      <c r="AU256" s="9"/>
      <c r="AV256" s="81" t="s">
        <v>322</v>
      </c>
      <c r="AW256" s="81" t="s">
        <v>242</v>
      </c>
      <c r="AX256" s="8" t="s">
        <v>2855</v>
      </c>
      <c r="AY256" s="8"/>
      <c r="AZ256" s="8" t="s">
        <v>8601</v>
      </c>
      <c r="BA256" s="81" t="s">
        <v>556</v>
      </c>
      <c r="BB256" s="8"/>
      <c r="BC256" s="8"/>
      <c r="BD256" s="8"/>
      <c r="BE256" s="81" t="s">
        <v>261</v>
      </c>
      <c r="BF256" s="8" t="s">
        <v>2856</v>
      </c>
      <c r="BG256" s="9">
        <v>51660</v>
      </c>
      <c r="BH256" s="81" t="s">
        <v>1705</v>
      </c>
      <c r="BI256" s="81" t="s">
        <v>2858</v>
      </c>
      <c r="BJ256" s="9">
        <v>36770</v>
      </c>
      <c r="BK256" s="9">
        <v>37803</v>
      </c>
      <c r="BL256" s="8"/>
      <c r="BM256" s="8"/>
      <c r="BN256" s="8"/>
      <c r="BO256" s="8"/>
      <c r="BP256" s="8"/>
      <c r="BQ256" s="9"/>
      <c r="BR256" s="9"/>
      <c r="BS256" s="8"/>
      <c r="BT256" s="81" t="s">
        <v>2860</v>
      </c>
      <c r="BU256" s="81" t="s">
        <v>266</v>
      </c>
      <c r="BV256" s="8" t="s">
        <v>2861</v>
      </c>
      <c r="BW256" s="81" t="s">
        <v>242</v>
      </c>
      <c r="BX256" s="81" t="s">
        <v>1556</v>
      </c>
      <c r="BY256" s="9">
        <v>45870</v>
      </c>
      <c r="BZ256" s="9"/>
      <c r="CA256" s="8" t="s">
        <v>245</v>
      </c>
    </row>
    <row r="257" spans="1:79" ht="205.2" x14ac:dyDescent="0.25">
      <c r="A257" s="81" t="s">
        <v>2862</v>
      </c>
      <c r="B257" s="8"/>
      <c r="C257" s="81" t="s">
        <v>26</v>
      </c>
      <c r="D257" s="8" t="s">
        <v>8029</v>
      </c>
      <c r="E257" s="8"/>
      <c r="F257" s="9">
        <v>32773</v>
      </c>
      <c r="G257" s="8" t="s">
        <v>1348</v>
      </c>
      <c r="H257" s="81" t="s">
        <v>250</v>
      </c>
      <c r="I257" s="81" t="s">
        <v>27</v>
      </c>
      <c r="J257" s="81" t="s">
        <v>270</v>
      </c>
      <c r="K257" s="81" t="s">
        <v>488</v>
      </c>
      <c r="L257" s="81" t="s">
        <v>102</v>
      </c>
      <c r="M257" s="81" t="s">
        <v>8603</v>
      </c>
      <c r="N257" s="81" t="s">
        <v>119</v>
      </c>
      <c r="O257" s="81" t="s">
        <v>253</v>
      </c>
      <c r="P257" s="9"/>
      <c r="Q257" s="8"/>
      <c r="R257" s="8"/>
      <c r="S257" s="8"/>
      <c r="T257" s="8"/>
      <c r="U257" s="8"/>
      <c r="V257" s="8"/>
      <c r="W257" s="8"/>
      <c r="X257" s="8" t="s">
        <v>2864</v>
      </c>
      <c r="Y257" s="81" t="s">
        <v>33</v>
      </c>
      <c r="Z257" s="8"/>
      <c r="AA257" s="81" t="s">
        <v>2865</v>
      </c>
      <c r="AB257" s="8"/>
      <c r="AC257" s="8"/>
      <c r="AD257" s="81" t="s">
        <v>344</v>
      </c>
      <c r="AE257" s="81" t="s">
        <v>8129</v>
      </c>
      <c r="AF257" s="81" t="s">
        <v>242</v>
      </c>
      <c r="AG257" s="81" t="s">
        <v>345</v>
      </c>
      <c r="AH257" s="81" t="s">
        <v>346</v>
      </c>
      <c r="AI257" s="81" t="s">
        <v>344</v>
      </c>
      <c r="AJ257" s="8"/>
      <c r="AK257" s="8"/>
      <c r="AL257" s="8"/>
      <c r="AM257" s="81" t="s">
        <v>243</v>
      </c>
      <c r="AN257" s="8"/>
      <c r="AO257" s="8"/>
      <c r="AP257" s="8"/>
      <c r="AQ257" s="8"/>
      <c r="AR257" s="9">
        <v>41236</v>
      </c>
      <c r="AS257" s="8" t="s">
        <v>8600</v>
      </c>
      <c r="AT257" s="8" t="s">
        <v>348</v>
      </c>
      <c r="AU257" s="9"/>
      <c r="AV257" s="81" t="s">
        <v>322</v>
      </c>
      <c r="AW257" s="81" t="s">
        <v>242</v>
      </c>
      <c r="AX257" s="8" t="s">
        <v>2866</v>
      </c>
      <c r="AY257" s="8"/>
      <c r="AZ257" s="8" t="s">
        <v>8601</v>
      </c>
      <c r="BA257" s="81" t="s">
        <v>556</v>
      </c>
      <c r="BB257" s="8"/>
      <c r="BC257" s="8"/>
      <c r="BD257" s="8"/>
      <c r="BE257" s="81" t="s">
        <v>261</v>
      </c>
      <c r="BF257" s="8" t="s">
        <v>2867</v>
      </c>
      <c r="BG257" s="9">
        <v>50116</v>
      </c>
      <c r="BH257" s="81" t="s">
        <v>1705</v>
      </c>
      <c r="BI257" s="81" t="s">
        <v>2087</v>
      </c>
      <c r="BJ257" s="9" t="s">
        <v>2088</v>
      </c>
      <c r="BK257" s="9"/>
      <c r="BL257" s="8"/>
      <c r="BM257" s="8"/>
      <c r="BN257" s="8"/>
      <c r="BO257" s="8"/>
      <c r="BP257" s="8"/>
      <c r="BQ257" s="9"/>
      <c r="BR257" s="9"/>
      <c r="BS257" s="8"/>
      <c r="BT257" s="81" t="s">
        <v>2869</v>
      </c>
      <c r="BU257" s="81" t="s">
        <v>266</v>
      </c>
      <c r="BV257" s="8" t="s">
        <v>2870</v>
      </c>
      <c r="BW257" s="81" t="s">
        <v>242</v>
      </c>
      <c r="BX257" s="81" t="s">
        <v>1556</v>
      </c>
      <c r="BY257" s="9">
        <v>45870</v>
      </c>
      <c r="BZ257" s="9"/>
      <c r="CA257" s="8" t="s">
        <v>245</v>
      </c>
    </row>
    <row r="258" spans="1:79" ht="141.6" x14ac:dyDescent="0.25">
      <c r="A258" s="81" t="s">
        <v>2871</v>
      </c>
      <c r="B258" s="8"/>
      <c r="C258" s="81" t="s">
        <v>26</v>
      </c>
      <c r="D258" s="8" t="s">
        <v>8030</v>
      </c>
      <c r="E258" s="8"/>
      <c r="F258" s="9">
        <v>31633</v>
      </c>
      <c r="G258" s="8" t="s">
        <v>2135</v>
      </c>
      <c r="H258" s="81" t="s">
        <v>250</v>
      </c>
      <c r="I258" s="81" t="s">
        <v>27</v>
      </c>
      <c r="J258" s="81" t="s">
        <v>474</v>
      </c>
      <c r="K258" s="81" t="s">
        <v>808</v>
      </c>
      <c r="L258" s="81" t="s">
        <v>102</v>
      </c>
      <c r="M258" s="81" t="s">
        <v>8604</v>
      </c>
      <c r="N258" s="81" t="s">
        <v>119</v>
      </c>
      <c r="O258" s="81" t="s">
        <v>253</v>
      </c>
      <c r="P258" s="9"/>
      <c r="Q258" s="8"/>
      <c r="R258" s="8"/>
      <c r="S258" s="8"/>
      <c r="T258" s="81" t="s">
        <v>8141</v>
      </c>
      <c r="U258" s="81" t="s">
        <v>2873</v>
      </c>
      <c r="V258" s="81" t="s">
        <v>8239</v>
      </c>
      <c r="W258" s="81" t="s">
        <v>965</v>
      </c>
      <c r="X258" s="8" t="s">
        <v>2874</v>
      </c>
      <c r="Y258" s="81" t="s">
        <v>33</v>
      </c>
      <c r="Z258" s="8"/>
      <c r="AA258" s="81" t="s">
        <v>2875</v>
      </c>
      <c r="AB258" s="8"/>
      <c r="AC258" s="8"/>
      <c r="AD258" s="81" t="s">
        <v>1515</v>
      </c>
      <c r="AE258" s="81" t="s">
        <v>8337</v>
      </c>
      <c r="AF258" s="81" t="s">
        <v>242</v>
      </c>
      <c r="AG258" s="81" t="s">
        <v>1515</v>
      </c>
      <c r="AH258" s="8"/>
      <c r="AI258" s="8"/>
      <c r="AJ258" s="8"/>
      <c r="AK258" s="8"/>
      <c r="AL258" s="8"/>
      <c r="AM258" s="81" t="s">
        <v>243</v>
      </c>
      <c r="AN258" s="8"/>
      <c r="AO258" s="8"/>
      <c r="AP258" s="8"/>
      <c r="AQ258" s="8"/>
      <c r="AR258" s="9">
        <v>41204</v>
      </c>
      <c r="AS258" s="8" t="s">
        <v>8605</v>
      </c>
      <c r="AT258" s="8" t="s">
        <v>348</v>
      </c>
      <c r="AU258" s="9"/>
      <c r="AV258" s="81" t="s">
        <v>322</v>
      </c>
      <c r="AW258" s="81" t="s">
        <v>242</v>
      </c>
      <c r="AX258" s="8" t="s">
        <v>2877</v>
      </c>
      <c r="AY258" s="8"/>
      <c r="AZ258" s="8" t="s">
        <v>8175</v>
      </c>
      <c r="BA258" s="81" t="s">
        <v>676</v>
      </c>
      <c r="BB258" s="8"/>
      <c r="BC258" s="8"/>
      <c r="BD258" s="8"/>
      <c r="BE258" s="81" t="s">
        <v>261</v>
      </c>
      <c r="BF258" s="8" t="s">
        <v>2878</v>
      </c>
      <c r="BG258" s="9">
        <v>49837</v>
      </c>
      <c r="BH258" s="81" t="s">
        <v>305</v>
      </c>
      <c r="BI258" s="81" t="s">
        <v>559</v>
      </c>
      <c r="BJ258" s="9">
        <v>39326</v>
      </c>
      <c r="BK258" s="9">
        <v>40360</v>
      </c>
      <c r="BL258" s="81" t="s">
        <v>1835</v>
      </c>
      <c r="BM258" s="8"/>
      <c r="BN258" s="8"/>
      <c r="BO258" s="8"/>
      <c r="BP258" s="8"/>
      <c r="BQ258" s="9"/>
      <c r="BR258" s="9"/>
      <c r="BS258" s="8"/>
      <c r="BT258" s="8"/>
      <c r="BU258" s="8"/>
      <c r="BV258" s="8"/>
      <c r="BW258" s="81" t="s">
        <v>242</v>
      </c>
      <c r="BX258" s="81" t="s">
        <v>1556</v>
      </c>
      <c r="BY258" s="9">
        <v>41204</v>
      </c>
      <c r="BZ258" s="9"/>
      <c r="CA258" s="8" t="s">
        <v>61</v>
      </c>
    </row>
    <row r="259" spans="1:79" ht="157.19999999999999" x14ac:dyDescent="0.25">
      <c r="A259" s="81" t="s">
        <v>2880</v>
      </c>
      <c r="B259" s="8"/>
      <c r="C259" s="81" t="s">
        <v>26</v>
      </c>
      <c r="D259" s="8" t="s">
        <v>8031</v>
      </c>
      <c r="E259" s="8"/>
      <c r="F259" s="9">
        <v>31374</v>
      </c>
      <c r="G259" s="8" t="s">
        <v>1698</v>
      </c>
      <c r="H259" s="81" t="s">
        <v>250</v>
      </c>
      <c r="I259" s="81" t="s">
        <v>27</v>
      </c>
      <c r="J259" s="81" t="s">
        <v>270</v>
      </c>
      <c r="K259" s="81" t="s">
        <v>353</v>
      </c>
      <c r="L259" s="81" t="s">
        <v>102</v>
      </c>
      <c r="M259" s="81" t="s">
        <v>8606</v>
      </c>
      <c r="N259" s="81" t="s">
        <v>119</v>
      </c>
      <c r="O259" s="81" t="s">
        <v>29</v>
      </c>
      <c r="P259" s="9"/>
      <c r="Q259" s="8"/>
      <c r="R259" s="8"/>
      <c r="S259" s="8"/>
      <c r="T259" s="81" t="s">
        <v>8141</v>
      </c>
      <c r="U259" s="81" t="s">
        <v>2881</v>
      </c>
      <c r="V259" s="81" t="s">
        <v>8141</v>
      </c>
      <c r="W259" s="81" t="s">
        <v>2242</v>
      </c>
      <c r="X259" s="8" t="s">
        <v>2882</v>
      </c>
      <c r="Y259" s="81" t="s">
        <v>33</v>
      </c>
      <c r="Z259" s="8"/>
      <c r="AA259" s="81" t="s">
        <v>2883</v>
      </c>
      <c r="AB259" s="8"/>
      <c r="AC259" s="8"/>
      <c r="AD259" s="81" t="s">
        <v>566</v>
      </c>
      <c r="AE259" s="81" t="s">
        <v>8162</v>
      </c>
      <c r="AF259" s="81" t="s">
        <v>256</v>
      </c>
      <c r="AG259" s="81" t="s">
        <v>566</v>
      </c>
      <c r="AH259" s="8"/>
      <c r="AI259" s="8"/>
      <c r="AJ259" s="8"/>
      <c r="AK259" s="8"/>
      <c r="AL259" s="8"/>
      <c r="AM259" s="81" t="s">
        <v>243</v>
      </c>
      <c r="AN259" s="8"/>
      <c r="AO259" s="8"/>
      <c r="AP259" s="8"/>
      <c r="AQ259" s="8"/>
      <c r="AR259" s="9">
        <v>41164</v>
      </c>
      <c r="AS259" s="8" t="s">
        <v>8607</v>
      </c>
      <c r="AT259" s="8" t="s">
        <v>348</v>
      </c>
      <c r="AU259" s="9"/>
      <c r="AV259" s="81" t="s">
        <v>322</v>
      </c>
      <c r="AW259" s="81" t="s">
        <v>256</v>
      </c>
      <c r="AX259" s="8" t="s">
        <v>2884</v>
      </c>
      <c r="AY259" s="8"/>
      <c r="AZ259" s="8" t="s">
        <v>8269</v>
      </c>
      <c r="BA259" s="81" t="s">
        <v>676</v>
      </c>
      <c r="BB259" s="8"/>
      <c r="BC259" s="8"/>
      <c r="BD259" s="8"/>
      <c r="BE259" s="81" t="s">
        <v>261</v>
      </c>
      <c r="BF259" s="8" t="s">
        <v>2885</v>
      </c>
      <c r="BG259" s="9">
        <v>50214</v>
      </c>
      <c r="BH259" s="81" t="s">
        <v>305</v>
      </c>
      <c r="BI259" s="81" t="s">
        <v>559</v>
      </c>
      <c r="BJ259" s="9">
        <v>39326</v>
      </c>
      <c r="BK259" s="9">
        <v>40360</v>
      </c>
      <c r="BL259" s="81" t="s">
        <v>1400</v>
      </c>
      <c r="BM259" s="8"/>
      <c r="BN259" s="8"/>
      <c r="BO259" s="8"/>
      <c r="BP259" s="8"/>
      <c r="BQ259" s="9"/>
      <c r="BR259" s="9"/>
      <c r="BS259" s="8"/>
      <c r="BT259" s="81" t="s">
        <v>2887</v>
      </c>
      <c r="BU259" s="81" t="s">
        <v>118</v>
      </c>
      <c r="BV259" s="8" t="s">
        <v>2888</v>
      </c>
      <c r="BW259" s="81" t="s">
        <v>256</v>
      </c>
      <c r="BX259" s="81" t="s">
        <v>1556</v>
      </c>
      <c r="BY259" s="9">
        <v>43836</v>
      </c>
      <c r="BZ259" s="9"/>
      <c r="CA259" s="8" t="s">
        <v>245</v>
      </c>
    </row>
    <row r="260" spans="1:79" ht="141.6" x14ac:dyDescent="0.25">
      <c r="A260" s="81" t="s">
        <v>2889</v>
      </c>
      <c r="B260" s="8"/>
      <c r="C260" s="81" t="s">
        <v>26</v>
      </c>
      <c r="D260" s="8" t="s">
        <v>8032</v>
      </c>
      <c r="E260" s="8"/>
      <c r="F260" s="9">
        <v>32572</v>
      </c>
      <c r="G260" s="8" t="s">
        <v>1571</v>
      </c>
      <c r="H260" s="81" t="s">
        <v>250</v>
      </c>
      <c r="I260" s="81" t="s">
        <v>2890</v>
      </c>
      <c r="J260" s="81" t="s">
        <v>270</v>
      </c>
      <c r="K260" s="81" t="s">
        <v>394</v>
      </c>
      <c r="L260" s="81" t="s">
        <v>102</v>
      </c>
      <c r="M260" s="81" t="s">
        <v>8608</v>
      </c>
      <c r="N260" s="81" t="s">
        <v>119</v>
      </c>
      <c r="O260" s="81" t="s">
        <v>29</v>
      </c>
      <c r="P260" s="9"/>
      <c r="Q260" s="8"/>
      <c r="R260" s="8"/>
      <c r="S260" s="8"/>
      <c r="T260" s="8"/>
      <c r="U260" s="8"/>
      <c r="V260" s="81" t="s">
        <v>8141</v>
      </c>
      <c r="W260" s="81" t="s">
        <v>1934</v>
      </c>
      <c r="X260" s="8" t="s">
        <v>2892</v>
      </c>
      <c r="Y260" s="81" t="s">
        <v>33</v>
      </c>
      <c r="Z260" s="8"/>
      <c r="AA260" s="81" t="s">
        <v>551</v>
      </c>
      <c r="AB260" s="8"/>
      <c r="AC260" s="8"/>
      <c r="AD260" s="81" t="s">
        <v>553</v>
      </c>
      <c r="AE260" s="81" t="s">
        <v>8194</v>
      </c>
      <c r="AF260" s="81" t="s">
        <v>492</v>
      </c>
      <c r="AG260" s="81" t="s">
        <v>553</v>
      </c>
      <c r="AH260" s="8"/>
      <c r="AI260" s="8"/>
      <c r="AJ260" s="8"/>
      <c r="AK260" s="8"/>
      <c r="AL260" s="8"/>
      <c r="AM260" s="81" t="s">
        <v>243</v>
      </c>
      <c r="AN260" s="8"/>
      <c r="AO260" s="8"/>
      <c r="AP260" s="8"/>
      <c r="AQ260" s="8"/>
      <c r="AR260" s="9">
        <v>41091</v>
      </c>
      <c r="AS260" s="8" t="s">
        <v>8609</v>
      </c>
      <c r="AT260" s="8" t="s">
        <v>348</v>
      </c>
      <c r="AU260" s="9"/>
      <c r="AV260" s="81" t="s">
        <v>322</v>
      </c>
      <c r="AW260" s="81" t="s">
        <v>492</v>
      </c>
      <c r="AX260" s="8" t="s">
        <v>2893</v>
      </c>
      <c r="AY260" s="8"/>
      <c r="AZ260" s="8" t="s">
        <v>8610</v>
      </c>
      <c r="BA260" s="81" t="s">
        <v>556</v>
      </c>
      <c r="BB260" s="8"/>
      <c r="BC260" s="8"/>
      <c r="BD260" s="8"/>
      <c r="BE260" s="81" t="s">
        <v>261</v>
      </c>
      <c r="BF260" s="8" t="s">
        <v>2894</v>
      </c>
      <c r="BG260" s="9">
        <v>51870</v>
      </c>
      <c r="BH260" s="81" t="s">
        <v>305</v>
      </c>
      <c r="BI260" s="81" t="s">
        <v>1410</v>
      </c>
      <c r="BJ260" s="9">
        <v>40057</v>
      </c>
      <c r="BK260" s="9">
        <v>41091</v>
      </c>
      <c r="BL260" s="81" t="s">
        <v>2896</v>
      </c>
      <c r="BM260" s="8"/>
      <c r="BN260" s="8"/>
      <c r="BO260" s="8"/>
      <c r="BP260" s="8"/>
      <c r="BQ260" s="9"/>
      <c r="BR260" s="9"/>
      <c r="BS260" s="8"/>
      <c r="BT260" s="81" t="s">
        <v>2897</v>
      </c>
      <c r="BU260" s="81" t="s">
        <v>335</v>
      </c>
      <c r="BV260" s="8" t="s">
        <v>2898</v>
      </c>
      <c r="BW260" s="81" t="s">
        <v>492</v>
      </c>
      <c r="BX260" s="81" t="s">
        <v>337</v>
      </c>
      <c r="BY260" s="9">
        <v>45663</v>
      </c>
      <c r="BZ260" s="9">
        <v>47603</v>
      </c>
      <c r="CA260" s="8"/>
    </row>
    <row r="261" spans="1:79" ht="141.6" x14ac:dyDescent="0.25">
      <c r="A261" s="81" t="s">
        <v>2899</v>
      </c>
      <c r="B261" s="8"/>
      <c r="C261" s="81" t="s">
        <v>26</v>
      </c>
      <c r="D261" s="8" t="s">
        <v>8033</v>
      </c>
      <c r="E261" s="8"/>
      <c r="F261" s="9">
        <v>34223</v>
      </c>
      <c r="G261" s="8" t="s">
        <v>667</v>
      </c>
      <c r="H261" s="81" t="s">
        <v>250</v>
      </c>
      <c r="I261" s="81" t="s">
        <v>27</v>
      </c>
      <c r="J261" s="81" t="s">
        <v>293</v>
      </c>
      <c r="K261" s="81" t="s">
        <v>1246</v>
      </c>
      <c r="L261" s="81" t="s">
        <v>102</v>
      </c>
      <c r="M261" s="81" t="s">
        <v>8611</v>
      </c>
      <c r="N261" s="81" t="s">
        <v>272</v>
      </c>
      <c r="O261" s="81" t="s">
        <v>29</v>
      </c>
      <c r="P261" s="9"/>
      <c r="Q261" s="8"/>
      <c r="R261" s="8"/>
      <c r="S261" s="8"/>
      <c r="T261" s="8"/>
      <c r="U261" s="8"/>
      <c r="V261" s="81" t="s">
        <v>8239</v>
      </c>
      <c r="W261" s="81" t="s">
        <v>2900</v>
      </c>
      <c r="X261" s="8" t="s">
        <v>2901</v>
      </c>
      <c r="Y261" s="81" t="s">
        <v>33</v>
      </c>
      <c r="Z261" s="8"/>
      <c r="AA261" s="81" t="s">
        <v>2072</v>
      </c>
      <c r="AB261" s="8"/>
      <c r="AC261" s="8"/>
      <c r="AD261" s="81" t="s">
        <v>553</v>
      </c>
      <c r="AE261" s="81" t="s">
        <v>8194</v>
      </c>
      <c r="AF261" s="81" t="s">
        <v>492</v>
      </c>
      <c r="AG261" s="81" t="s">
        <v>553</v>
      </c>
      <c r="AH261" s="8"/>
      <c r="AI261" s="8"/>
      <c r="AJ261" s="8"/>
      <c r="AK261" s="8"/>
      <c r="AL261" s="8"/>
      <c r="AM261" s="81" t="s">
        <v>243</v>
      </c>
      <c r="AN261" s="8"/>
      <c r="AO261" s="8"/>
      <c r="AP261" s="8"/>
      <c r="AQ261" s="8"/>
      <c r="AR261" s="9">
        <v>41091</v>
      </c>
      <c r="AS261" s="8" t="s">
        <v>8609</v>
      </c>
      <c r="AT261" s="8" t="s">
        <v>348</v>
      </c>
      <c r="AU261" s="9"/>
      <c r="AV261" s="81" t="s">
        <v>322</v>
      </c>
      <c r="AW261" s="81" t="s">
        <v>492</v>
      </c>
      <c r="AX261" s="8" t="s">
        <v>2902</v>
      </c>
      <c r="AY261" s="8"/>
      <c r="AZ261" s="8" t="s">
        <v>8610</v>
      </c>
      <c r="BA261" s="81" t="s">
        <v>556</v>
      </c>
      <c r="BB261" s="8"/>
      <c r="BC261" s="8"/>
      <c r="BD261" s="8"/>
      <c r="BE261" s="81" t="s">
        <v>261</v>
      </c>
      <c r="BF261" s="8" t="s">
        <v>2903</v>
      </c>
      <c r="BG261" s="9">
        <v>51363</v>
      </c>
      <c r="BH261" s="81" t="s">
        <v>305</v>
      </c>
      <c r="BI261" s="81" t="s">
        <v>1103</v>
      </c>
      <c r="BJ261" s="9">
        <v>40603</v>
      </c>
      <c r="BK261" s="9">
        <v>41456</v>
      </c>
      <c r="BL261" s="81" t="s">
        <v>1906</v>
      </c>
      <c r="BM261" s="8"/>
      <c r="BN261" s="8"/>
      <c r="BO261" s="8"/>
      <c r="BP261" s="8"/>
      <c r="BQ261" s="9"/>
      <c r="BR261" s="9"/>
      <c r="BS261" s="8"/>
      <c r="BT261" s="81" t="s">
        <v>2905</v>
      </c>
      <c r="BU261" s="81" t="s">
        <v>266</v>
      </c>
      <c r="BV261" s="8" t="s">
        <v>2906</v>
      </c>
      <c r="BW261" s="81" t="s">
        <v>492</v>
      </c>
      <c r="BX261" s="81" t="s">
        <v>337</v>
      </c>
      <c r="BY261" s="9">
        <v>45663</v>
      </c>
      <c r="BZ261" s="9">
        <v>47603</v>
      </c>
      <c r="CA261" s="8" t="s">
        <v>257</v>
      </c>
    </row>
    <row r="262" spans="1:79" ht="141.6" x14ac:dyDescent="0.25">
      <c r="A262" s="81" t="s">
        <v>2907</v>
      </c>
      <c r="B262" s="8"/>
      <c r="C262" s="81" t="s">
        <v>352</v>
      </c>
      <c r="D262" s="8" t="s">
        <v>8034</v>
      </c>
      <c r="E262" s="8"/>
      <c r="F262" s="9">
        <v>32676</v>
      </c>
      <c r="G262" s="8" t="s">
        <v>1348</v>
      </c>
      <c r="H262" s="81" t="s">
        <v>250</v>
      </c>
      <c r="I262" s="81" t="s">
        <v>27</v>
      </c>
      <c r="J262" s="81" t="s">
        <v>270</v>
      </c>
      <c r="K262" s="81" t="s">
        <v>1458</v>
      </c>
      <c r="L262" s="81" t="s">
        <v>102</v>
      </c>
      <c r="M262" s="81" t="s">
        <v>8612</v>
      </c>
      <c r="N262" s="81" t="s">
        <v>119</v>
      </c>
      <c r="O262" s="81" t="s">
        <v>253</v>
      </c>
      <c r="P262" s="9"/>
      <c r="Q262" s="8"/>
      <c r="R262" s="8"/>
      <c r="S262" s="8"/>
      <c r="T262" s="8"/>
      <c r="U262" s="8"/>
      <c r="V262" s="81" t="s">
        <v>8247</v>
      </c>
      <c r="W262" s="81" t="s">
        <v>1965</v>
      </c>
      <c r="X262" s="8" t="s">
        <v>2908</v>
      </c>
      <c r="Y262" s="81" t="s">
        <v>33</v>
      </c>
      <c r="Z262" s="8"/>
      <c r="AA262" s="81" t="s">
        <v>477</v>
      </c>
      <c r="AB262" s="8"/>
      <c r="AC262" s="8"/>
      <c r="AD262" s="81" t="s">
        <v>1967</v>
      </c>
      <c r="AE262" s="81" t="s">
        <v>8436</v>
      </c>
      <c r="AF262" s="81" t="s">
        <v>242</v>
      </c>
      <c r="AG262" s="81" t="s">
        <v>1967</v>
      </c>
      <c r="AH262" s="8"/>
      <c r="AI262" s="8"/>
      <c r="AJ262" s="8"/>
      <c r="AK262" s="8"/>
      <c r="AL262" s="8"/>
      <c r="AM262" s="81" t="s">
        <v>243</v>
      </c>
      <c r="AN262" s="8"/>
      <c r="AO262" s="8"/>
      <c r="AP262" s="8"/>
      <c r="AQ262" s="8"/>
      <c r="AR262" s="9">
        <v>41091</v>
      </c>
      <c r="AS262" s="8" t="s">
        <v>8609</v>
      </c>
      <c r="AT262" s="8" t="s">
        <v>348</v>
      </c>
      <c r="AU262" s="9"/>
      <c r="AV262" s="81" t="s">
        <v>322</v>
      </c>
      <c r="AW262" s="81" t="s">
        <v>242</v>
      </c>
      <c r="AX262" s="8" t="s">
        <v>2909</v>
      </c>
      <c r="AY262" s="8"/>
      <c r="AZ262" s="8" t="s">
        <v>8610</v>
      </c>
      <c r="BA262" s="81" t="s">
        <v>399</v>
      </c>
      <c r="BB262" s="8"/>
      <c r="BC262" s="8"/>
      <c r="BD262" s="8"/>
      <c r="BE262" s="81" t="s">
        <v>261</v>
      </c>
      <c r="BF262" s="8" t="s">
        <v>2910</v>
      </c>
      <c r="BG262" s="9">
        <v>52226</v>
      </c>
      <c r="BH262" s="81" t="s">
        <v>81</v>
      </c>
      <c r="BI262" s="81" t="s">
        <v>2912</v>
      </c>
      <c r="BJ262" s="9">
        <v>39692</v>
      </c>
      <c r="BK262" s="9">
        <v>41091</v>
      </c>
      <c r="BL262" s="81" t="s">
        <v>1986</v>
      </c>
      <c r="BM262" s="81" t="s">
        <v>82</v>
      </c>
      <c r="BN262" s="8"/>
      <c r="BO262" s="8"/>
      <c r="BP262" s="8"/>
      <c r="BQ262" s="9"/>
      <c r="BR262" s="9"/>
      <c r="BS262" s="8"/>
      <c r="BT262" s="81" t="s">
        <v>2913</v>
      </c>
      <c r="BU262" s="81" t="s">
        <v>266</v>
      </c>
      <c r="BV262" s="8" t="s">
        <v>2914</v>
      </c>
      <c r="BW262" s="81" t="s">
        <v>242</v>
      </c>
      <c r="BX262" s="81" t="s">
        <v>337</v>
      </c>
      <c r="BY262" s="9">
        <v>41091</v>
      </c>
      <c r="BZ262" s="9">
        <v>46234</v>
      </c>
      <c r="CA262" s="8" t="s">
        <v>61</v>
      </c>
    </row>
    <row r="263" spans="1:79" ht="236.4" x14ac:dyDescent="0.25">
      <c r="A263" s="81" t="s">
        <v>2915</v>
      </c>
      <c r="B263" s="8"/>
      <c r="C263" s="81" t="s">
        <v>352</v>
      </c>
      <c r="D263" s="8" t="s">
        <v>8035</v>
      </c>
      <c r="E263" s="8"/>
      <c r="F263" s="9">
        <v>32674</v>
      </c>
      <c r="G263" s="8" t="s">
        <v>1348</v>
      </c>
      <c r="H263" s="81" t="s">
        <v>250</v>
      </c>
      <c r="I263" s="81" t="s">
        <v>27</v>
      </c>
      <c r="J263" s="81" t="s">
        <v>270</v>
      </c>
      <c r="K263" s="81" t="s">
        <v>2916</v>
      </c>
      <c r="L263" s="81" t="s">
        <v>1170</v>
      </c>
      <c r="M263" s="81" t="s">
        <v>8613</v>
      </c>
      <c r="N263" s="81" t="s">
        <v>119</v>
      </c>
      <c r="O263" s="81" t="s">
        <v>253</v>
      </c>
      <c r="P263" s="9"/>
      <c r="Q263" s="8"/>
      <c r="R263" s="8"/>
      <c r="S263" s="8"/>
      <c r="T263" s="8"/>
      <c r="U263" s="8"/>
      <c r="V263" s="8"/>
      <c r="W263" s="8"/>
      <c r="X263" s="8" t="s">
        <v>2918</v>
      </c>
      <c r="Y263" s="81" t="s">
        <v>33</v>
      </c>
      <c r="Z263" s="8"/>
      <c r="AA263" s="81" t="s">
        <v>2919</v>
      </c>
      <c r="AB263" s="8"/>
      <c r="AC263" s="8"/>
      <c r="AD263" s="81" t="s">
        <v>2184</v>
      </c>
      <c r="AE263" s="81" t="s">
        <v>8483</v>
      </c>
      <c r="AF263" s="81" t="s">
        <v>242</v>
      </c>
      <c r="AG263" s="81" t="s">
        <v>345</v>
      </c>
      <c r="AH263" s="81" t="s">
        <v>346</v>
      </c>
      <c r="AI263" s="81" t="s">
        <v>2184</v>
      </c>
      <c r="AJ263" s="8"/>
      <c r="AK263" s="8"/>
      <c r="AL263" s="8"/>
      <c r="AM263" s="81" t="s">
        <v>243</v>
      </c>
      <c r="AN263" s="8"/>
      <c r="AO263" s="8"/>
      <c r="AP263" s="8"/>
      <c r="AQ263" s="8"/>
      <c r="AR263" s="9">
        <v>41065</v>
      </c>
      <c r="AS263" s="8" t="s">
        <v>8614</v>
      </c>
      <c r="AT263" s="8" t="s">
        <v>348</v>
      </c>
      <c r="AU263" s="9"/>
      <c r="AV263" s="81" t="s">
        <v>322</v>
      </c>
      <c r="AW263" s="81" t="s">
        <v>242</v>
      </c>
      <c r="AX263" s="8" t="s">
        <v>2920</v>
      </c>
      <c r="AY263" s="8"/>
      <c r="AZ263" s="8" t="s">
        <v>8615</v>
      </c>
      <c r="BA263" s="81" t="s">
        <v>676</v>
      </c>
      <c r="BB263" s="8"/>
      <c r="BC263" s="8"/>
      <c r="BD263" s="8"/>
      <c r="BE263" s="81" t="s">
        <v>261</v>
      </c>
      <c r="BF263" s="8" t="s">
        <v>2921</v>
      </c>
      <c r="BG263" s="9">
        <v>51488</v>
      </c>
      <c r="BH263" s="81" t="s">
        <v>81</v>
      </c>
      <c r="BI263" s="81" t="s">
        <v>2923</v>
      </c>
      <c r="BJ263" s="9">
        <v>42916</v>
      </c>
      <c r="BK263" s="9">
        <v>43646</v>
      </c>
      <c r="BL263" s="81" t="s">
        <v>1350</v>
      </c>
      <c r="BM263" s="8"/>
      <c r="BN263" s="8"/>
      <c r="BO263" s="8"/>
      <c r="BP263" s="8"/>
      <c r="BQ263" s="9"/>
      <c r="BR263" s="9"/>
      <c r="BS263" s="8"/>
      <c r="BT263" s="81" t="s">
        <v>2924</v>
      </c>
      <c r="BU263" s="81" t="s">
        <v>335</v>
      </c>
      <c r="BV263" s="8" t="s">
        <v>2925</v>
      </c>
      <c r="BW263" s="81" t="s">
        <v>242</v>
      </c>
      <c r="BX263" s="81" t="s">
        <v>337</v>
      </c>
      <c r="BY263" s="9">
        <v>45870</v>
      </c>
      <c r="BZ263" s="9">
        <v>46873</v>
      </c>
      <c r="CA263" s="8" t="s">
        <v>245</v>
      </c>
    </row>
    <row r="264" spans="1:79" ht="141.6" x14ac:dyDescent="0.25">
      <c r="A264" s="81" t="s">
        <v>2926</v>
      </c>
      <c r="B264" s="8"/>
      <c r="C264" s="81" t="s">
        <v>26</v>
      </c>
      <c r="D264" s="8" t="s">
        <v>8036</v>
      </c>
      <c r="E264" s="8"/>
      <c r="F264" s="9">
        <v>33862</v>
      </c>
      <c r="G264" s="8" t="s">
        <v>1689</v>
      </c>
      <c r="H264" s="81" t="s">
        <v>250</v>
      </c>
      <c r="I264" s="81" t="s">
        <v>27</v>
      </c>
      <c r="J264" s="81" t="s">
        <v>293</v>
      </c>
      <c r="K264" s="81" t="s">
        <v>455</v>
      </c>
      <c r="L264" s="81" t="s">
        <v>102</v>
      </c>
      <c r="M264" s="81" t="s">
        <v>8616</v>
      </c>
      <c r="N264" s="81" t="s">
        <v>272</v>
      </c>
      <c r="O264" s="81" t="s">
        <v>29</v>
      </c>
      <c r="P264" s="9"/>
      <c r="Q264" s="8"/>
      <c r="R264" s="8"/>
      <c r="S264" s="8"/>
      <c r="T264" s="8"/>
      <c r="U264" s="8"/>
      <c r="V264" s="81" t="s">
        <v>8239</v>
      </c>
      <c r="W264" s="81" t="s">
        <v>2865</v>
      </c>
      <c r="X264" s="8" t="s">
        <v>2927</v>
      </c>
      <c r="Y264" s="81" t="s">
        <v>33</v>
      </c>
      <c r="Z264" s="8"/>
      <c r="AA264" s="81" t="s">
        <v>997</v>
      </c>
      <c r="AB264" s="8"/>
      <c r="AC264" s="8"/>
      <c r="AD264" s="81" t="s">
        <v>376</v>
      </c>
      <c r="AE264" s="81" t="s">
        <v>8135</v>
      </c>
      <c r="AF264" s="81" t="s">
        <v>242</v>
      </c>
      <c r="AG264" s="81" t="s">
        <v>376</v>
      </c>
      <c r="AH264" s="8"/>
      <c r="AI264" s="8"/>
      <c r="AJ264" s="8"/>
      <c r="AK264" s="8"/>
      <c r="AL264" s="8"/>
      <c r="AM264" s="81" t="s">
        <v>243</v>
      </c>
      <c r="AN264" s="8"/>
      <c r="AO264" s="8"/>
      <c r="AP264" s="8"/>
      <c r="AQ264" s="8"/>
      <c r="AR264" s="9">
        <v>41061</v>
      </c>
      <c r="AS264" s="8" t="s">
        <v>8614</v>
      </c>
      <c r="AT264" s="8" t="s">
        <v>348</v>
      </c>
      <c r="AU264" s="9"/>
      <c r="AV264" s="81" t="s">
        <v>322</v>
      </c>
      <c r="AW264" s="81" t="s">
        <v>242</v>
      </c>
      <c r="AX264" s="8" t="s">
        <v>2929</v>
      </c>
      <c r="AY264" s="8"/>
      <c r="AZ264" s="8" t="s">
        <v>8615</v>
      </c>
      <c r="BA264" s="81" t="s">
        <v>361</v>
      </c>
      <c r="BB264" s="8"/>
      <c r="BC264" s="8"/>
      <c r="BD264" s="8"/>
      <c r="BE264" s="81" t="s">
        <v>261</v>
      </c>
      <c r="BF264" s="8" t="s">
        <v>2930</v>
      </c>
      <c r="BG264" s="9">
        <v>50713</v>
      </c>
      <c r="BH264" s="81" t="s">
        <v>81</v>
      </c>
      <c r="BI264" s="81" t="s">
        <v>1032</v>
      </c>
      <c r="BJ264" s="9">
        <v>43525</v>
      </c>
      <c r="BK264" s="9">
        <v>44576</v>
      </c>
      <c r="BL264" s="81" t="s">
        <v>2933</v>
      </c>
      <c r="BM264" s="8"/>
      <c r="BN264" s="8"/>
      <c r="BO264" s="8"/>
      <c r="BP264" s="8"/>
      <c r="BQ264" s="9"/>
      <c r="BR264" s="9"/>
      <c r="BS264" s="8"/>
      <c r="BT264" s="81" t="s">
        <v>2934</v>
      </c>
      <c r="BU264" s="81" t="s">
        <v>266</v>
      </c>
      <c r="BV264" s="8" t="s">
        <v>2935</v>
      </c>
      <c r="BW264" s="81" t="s">
        <v>242</v>
      </c>
      <c r="BX264" s="81" t="s">
        <v>1556</v>
      </c>
      <c r="BY264" s="9">
        <v>41061</v>
      </c>
      <c r="BZ264" s="9"/>
      <c r="CA264" s="8" t="s">
        <v>63</v>
      </c>
    </row>
    <row r="265" spans="1:79" ht="205.2" x14ac:dyDescent="0.25">
      <c r="A265" s="81" t="s">
        <v>2936</v>
      </c>
      <c r="B265" s="8"/>
      <c r="C265" s="81" t="s">
        <v>26</v>
      </c>
      <c r="D265" s="8" t="s">
        <v>8037</v>
      </c>
      <c r="E265" s="8"/>
      <c r="F265" s="9">
        <v>32157</v>
      </c>
      <c r="G265" s="8" t="s">
        <v>434</v>
      </c>
      <c r="H265" s="81" t="s">
        <v>250</v>
      </c>
      <c r="I265" s="81" t="s">
        <v>27</v>
      </c>
      <c r="J265" s="81" t="s">
        <v>474</v>
      </c>
      <c r="K265" s="81" t="s">
        <v>839</v>
      </c>
      <c r="L265" s="81" t="s">
        <v>102</v>
      </c>
      <c r="M265" s="81" t="s">
        <v>8617</v>
      </c>
      <c r="N265" s="81" t="s">
        <v>119</v>
      </c>
      <c r="O265" s="81" t="s">
        <v>253</v>
      </c>
      <c r="P265" s="9"/>
      <c r="Q265" s="8"/>
      <c r="R265" s="8"/>
      <c r="S265" s="8"/>
      <c r="T265" s="81" t="s">
        <v>8141</v>
      </c>
      <c r="U265" s="81" t="s">
        <v>2873</v>
      </c>
      <c r="V265" s="81" t="s">
        <v>8239</v>
      </c>
      <c r="W265" s="81" t="s">
        <v>2937</v>
      </c>
      <c r="X265" s="8" t="s">
        <v>2938</v>
      </c>
      <c r="Y265" s="81" t="s">
        <v>33</v>
      </c>
      <c r="Z265" s="8"/>
      <c r="AA265" s="81" t="s">
        <v>2939</v>
      </c>
      <c r="AB265" s="8"/>
      <c r="AC265" s="8"/>
      <c r="AD265" s="81" t="s">
        <v>344</v>
      </c>
      <c r="AE265" s="81" t="s">
        <v>8129</v>
      </c>
      <c r="AF265" s="81" t="s">
        <v>242</v>
      </c>
      <c r="AG265" s="81" t="s">
        <v>345</v>
      </c>
      <c r="AH265" s="81" t="s">
        <v>346</v>
      </c>
      <c r="AI265" s="81" t="s">
        <v>344</v>
      </c>
      <c r="AJ265" s="8"/>
      <c r="AK265" s="8"/>
      <c r="AL265" s="8"/>
      <c r="AM265" s="81" t="s">
        <v>243</v>
      </c>
      <c r="AN265" s="8"/>
      <c r="AO265" s="8"/>
      <c r="AP265" s="8"/>
      <c r="AQ265" s="8"/>
      <c r="AR265" s="9">
        <v>41038</v>
      </c>
      <c r="AS265" s="8" t="s">
        <v>8618</v>
      </c>
      <c r="AT265" s="8" t="s">
        <v>348</v>
      </c>
      <c r="AU265" s="9"/>
      <c r="AV265" s="81" t="s">
        <v>322</v>
      </c>
      <c r="AW265" s="81" t="s">
        <v>242</v>
      </c>
      <c r="AX265" s="8" t="s">
        <v>2940</v>
      </c>
      <c r="AY265" s="8"/>
      <c r="AZ265" s="8" t="s">
        <v>8328</v>
      </c>
      <c r="BA265" s="81" t="s">
        <v>556</v>
      </c>
      <c r="BB265" s="8"/>
      <c r="BC265" s="8"/>
      <c r="BD265" s="8"/>
      <c r="BE265" s="81" t="s">
        <v>261</v>
      </c>
      <c r="BF265" s="8" t="s">
        <v>2941</v>
      </c>
      <c r="BG265" s="9">
        <v>50631</v>
      </c>
      <c r="BH265" s="81" t="s">
        <v>305</v>
      </c>
      <c r="BI265" s="81" t="s">
        <v>1410</v>
      </c>
      <c r="BJ265" s="9">
        <v>39326</v>
      </c>
      <c r="BK265" s="9">
        <v>40360</v>
      </c>
      <c r="BL265" s="81" t="s">
        <v>1906</v>
      </c>
      <c r="BM265" s="8"/>
      <c r="BN265" s="8"/>
      <c r="BO265" s="8"/>
      <c r="BP265" s="8"/>
      <c r="BQ265" s="9"/>
      <c r="BR265" s="9"/>
      <c r="BS265" s="8"/>
      <c r="BT265" s="81" t="s">
        <v>2943</v>
      </c>
      <c r="BU265" s="81" t="s">
        <v>266</v>
      </c>
      <c r="BV265" s="8" t="s">
        <v>2944</v>
      </c>
      <c r="BW265" s="81" t="s">
        <v>242</v>
      </c>
      <c r="BX265" s="81" t="s">
        <v>1556</v>
      </c>
      <c r="BY265" s="9">
        <v>45870</v>
      </c>
      <c r="BZ265" s="9"/>
      <c r="CA265" s="8" t="s">
        <v>245</v>
      </c>
    </row>
    <row r="266" spans="1:79" ht="157.19999999999999" x14ac:dyDescent="0.25">
      <c r="A266" s="81" t="s">
        <v>2945</v>
      </c>
      <c r="B266" s="8"/>
      <c r="C266" s="81" t="s">
        <v>26</v>
      </c>
      <c r="D266" s="8" t="s">
        <v>8038</v>
      </c>
      <c r="E266" s="8"/>
      <c r="F266" s="9">
        <v>30210</v>
      </c>
      <c r="G266" s="8" t="s">
        <v>1245</v>
      </c>
      <c r="H266" s="81" t="s">
        <v>250</v>
      </c>
      <c r="I266" s="81" t="s">
        <v>27</v>
      </c>
      <c r="J266" s="81" t="s">
        <v>474</v>
      </c>
      <c r="K266" s="81" t="s">
        <v>1458</v>
      </c>
      <c r="L266" s="81" t="s">
        <v>102</v>
      </c>
      <c r="M266" s="81" t="s">
        <v>2946</v>
      </c>
      <c r="N266" s="81" t="s">
        <v>119</v>
      </c>
      <c r="O266" s="81" t="s">
        <v>253</v>
      </c>
      <c r="P266" s="9"/>
      <c r="Q266" s="8"/>
      <c r="R266" s="8"/>
      <c r="S266" s="8"/>
      <c r="T266" s="81" t="s">
        <v>8141</v>
      </c>
      <c r="U266" s="81" t="s">
        <v>1400</v>
      </c>
      <c r="V266" s="8"/>
      <c r="W266" s="8"/>
      <c r="X266" s="8" t="s">
        <v>2947</v>
      </c>
      <c r="Y266" s="81" t="s">
        <v>33</v>
      </c>
      <c r="Z266" s="8"/>
      <c r="AA266" s="81" t="s">
        <v>2948</v>
      </c>
      <c r="AB266" s="8"/>
      <c r="AC266" s="8"/>
      <c r="AD266" s="81" t="s">
        <v>861</v>
      </c>
      <c r="AE266" s="81" t="s">
        <v>8220</v>
      </c>
      <c r="AF266" s="81" t="s">
        <v>492</v>
      </c>
      <c r="AG266" s="81" t="s">
        <v>861</v>
      </c>
      <c r="AH266" s="8"/>
      <c r="AI266" s="8"/>
      <c r="AJ266" s="8"/>
      <c r="AK266" s="8"/>
      <c r="AL266" s="8"/>
      <c r="AM266" s="81" t="s">
        <v>243</v>
      </c>
      <c r="AN266" s="8"/>
      <c r="AO266" s="8"/>
      <c r="AP266" s="8"/>
      <c r="AQ266" s="8"/>
      <c r="AR266" s="9">
        <v>40983</v>
      </c>
      <c r="AS266" s="8" t="s">
        <v>8619</v>
      </c>
      <c r="AT266" s="8" t="s">
        <v>348</v>
      </c>
      <c r="AU266" s="9"/>
      <c r="AV266" s="81" t="s">
        <v>322</v>
      </c>
      <c r="AW266" s="81" t="s">
        <v>492</v>
      </c>
      <c r="AX266" s="8" t="s">
        <v>2949</v>
      </c>
      <c r="AY266" s="8"/>
      <c r="AZ266" s="8" t="s">
        <v>8430</v>
      </c>
      <c r="BA266" s="81" t="s">
        <v>676</v>
      </c>
      <c r="BB266" s="8"/>
      <c r="BC266" s="8"/>
      <c r="BD266" s="8"/>
      <c r="BE266" s="81" t="s">
        <v>261</v>
      </c>
      <c r="BF266" s="8" t="s">
        <v>2950</v>
      </c>
      <c r="BG266" s="9">
        <v>49308</v>
      </c>
      <c r="BH266" s="81" t="s">
        <v>305</v>
      </c>
      <c r="BI266" s="81" t="s">
        <v>2952</v>
      </c>
      <c r="BJ266" s="9">
        <v>37865</v>
      </c>
      <c r="BK266" s="9">
        <v>38899</v>
      </c>
      <c r="BL266" s="81" t="s">
        <v>1400</v>
      </c>
      <c r="BM266" s="8"/>
      <c r="BN266" s="8"/>
      <c r="BO266" s="8"/>
      <c r="BP266" s="8"/>
      <c r="BQ266" s="9"/>
      <c r="BR266" s="9"/>
      <c r="BS266" s="8"/>
      <c r="BT266" s="8"/>
      <c r="BU266" s="8"/>
      <c r="BV266" s="8"/>
      <c r="BW266" s="81" t="s">
        <v>492</v>
      </c>
      <c r="BX266" s="81" t="s">
        <v>337</v>
      </c>
      <c r="BY266" s="9">
        <v>43836</v>
      </c>
      <c r="BZ266" s="9">
        <v>46142</v>
      </c>
      <c r="CA266" s="8" t="s">
        <v>257</v>
      </c>
    </row>
    <row r="267" spans="1:79" ht="157.19999999999999" x14ac:dyDescent="0.25">
      <c r="A267" s="81" t="s">
        <v>2953</v>
      </c>
      <c r="B267" s="8"/>
      <c r="C267" s="81" t="s">
        <v>26</v>
      </c>
      <c r="D267" s="8" t="s">
        <v>8039</v>
      </c>
      <c r="E267" s="8"/>
      <c r="F267" s="9">
        <v>30000</v>
      </c>
      <c r="G267" s="8" t="s">
        <v>2646</v>
      </c>
      <c r="H267" s="81" t="s">
        <v>250</v>
      </c>
      <c r="I267" s="81" t="s">
        <v>27</v>
      </c>
      <c r="J267" s="81" t="s">
        <v>474</v>
      </c>
      <c r="K267" s="81" t="s">
        <v>353</v>
      </c>
      <c r="L267" s="81" t="s">
        <v>102</v>
      </c>
      <c r="M267" s="81" t="s">
        <v>8620</v>
      </c>
      <c r="N267" s="81" t="s">
        <v>119</v>
      </c>
      <c r="O267" s="81" t="s">
        <v>29</v>
      </c>
      <c r="P267" s="9"/>
      <c r="Q267" s="8"/>
      <c r="R267" s="8"/>
      <c r="S267" s="8"/>
      <c r="T267" s="81" t="s">
        <v>8145</v>
      </c>
      <c r="U267" s="81" t="s">
        <v>8188</v>
      </c>
      <c r="V267" s="8"/>
      <c r="W267" s="8"/>
      <c r="X267" s="8" t="s">
        <v>2954</v>
      </c>
      <c r="Y267" s="81" t="s">
        <v>33</v>
      </c>
      <c r="Z267" s="8"/>
      <c r="AA267" s="81" t="s">
        <v>240</v>
      </c>
      <c r="AB267" s="8"/>
      <c r="AC267" s="8"/>
      <c r="AD267" s="81" t="s">
        <v>241</v>
      </c>
      <c r="AE267" s="81" t="s">
        <v>8114</v>
      </c>
      <c r="AF267" s="81" t="s">
        <v>242</v>
      </c>
      <c r="AG267" s="81" t="s">
        <v>241</v>
      </c>
      <c r="AH267" s="8"/>
      <c r="AI267" s="8"/>
      <c r="AJ267" s="8"/>
      <c r="AK267" s="8"/>
      <c r="AL267" s="8"/>
      <c r="AM267" s="81" t="s">
        <v>243</v>
      </c>
      <c r="AN267" s="8"/>
      <c r="AO267" s="8"/>
      <c r="AP267" s="8"/>
      <c r="AQ267" s="8"/>
      <c r="AR267" s="9">
        <v>40980</v>
      </c>
      <c r="AS267" s="8" t="s">
        <v>8619</v>
      </c>
      <c r="AT267" s="8" t="s">
        <v>348</v>
      </c>
      <c r="AU267" s="9"/>
      <c r="AV267" s="81" t="s">
        <v>322</v>
      </c>
      <c r="AW267" s="81" t="s">
        <v>242</v>
      </c>
      <c r="AX267" s="8" t="s">
        <v>2956</v>
      </c>
      <c r="AY267" s="8"/>
      <c r="AZ267" s="8" t="s">
        <v>8386</v>
      </c>
      <c r="BA267" s="81" t="s">
        <v>399</v>
      </c>
      <c r="BB267" s="8"/>
      <c r="BC267" s="8"/>
      <c r="BD267" s="8"/>
      <c r="BE267" s="81" t="s">
        <v>261</v>
      </c>
      <c r="BF267" s="8" t="s">
        <v>2957</v>
      </c>
      <c r="BG267" s="9">
        <v>50642</v>
      </c>
      <c r="BH267" s="81" t="s">
        <v>81</v>
      </c>
      <c r="BI267" s="81" t="s">
        <v>2959</v>
      </c>
      <c r="BJ267" s="9">
        <v>37500</v>
      </c>
      <c r="BK267" s="9">
        <v>38899</v>
      </c>
      <c r="BL267" s="81" t="s">
        <v>662</v>
      </c>
      <c r="BM267" s="81" t="s">
        <v>82</v>
      </c>
      <c r="BN267" s="8"/>
      <c r="BO267" s="8"/>
      <c r="BP267" s="8"/>
      <c r="BQ267" s="9"/>
      <c r="BR267" s="9"/>
      <c r="BS267" s="8"/>
      <c r="BT267" s="81" t="s">
        <v>2960</v>
      </c>
      <c r="BU267" s="81" t="s">
        <v>266</v>
      </c>
      <c r="BV267" s="8" t="s">
        <v>2961</v>
      </c>
      <c r="BW267" s="81" t="s">
        <v>242</v>
      </c>
      <c r="BX267" s="81" t="s">
        <v>1556</v>
      </c>
      <c r="BY267" s="9">
        <v>40980</v>
      </c>
      <c r="BZ267" s="9"/>
      <c r="CA267" s="8" t="s">
        <v>61</v>
      </c>
    </row>
    <row r="268" spans="1:79" ht="157.19999999999999" x14ac:dyDescent="0.25">
      <c r="A268" s="81" t="s">
        <v>2962</v>
      </c>
      <c r="B268" s="8"/>
      <c r="C268" s="81" t="s">
        <v>26</v>
      </c>
      <c r="D268" s="8" t="s">
        <v>8040</v>
      </c>
      <c r="E268" s="8"/>
      <c r="F268" s="9">
        <v>31767</v>
      </c>
      <c r="G268" s="8" t="s">
        <v>2135</v>
      </c>
      <c r="H268" s="81" t="s">
        <v>250</v>
      </c>
      <c r="I268" s="81" t="s">
        <v>251</v>
      </c>
      <c r="J268" s="81" t="s">
        <v>270</v>
      </c>
      <c r="K268" s="81" t="s">
        <v>394</v>
      </c>
      <c r="L268" s="81" t="s">
        <v>102</v>
      </c>
      <c r="M268" s="81" t="s">
        <v>8621</v>
      </c>
      <c r="N268" s="81" t="s">
        <v>119</v>
      </c>
      <c r="O268" s="81" t="s">
        <v>29</v>
      </c>
      <c r="P268" s="9"/>
      <c r="Q268" s="8"/>
      <c r="R268" s="8"/>
      <c r="S268" s="8"/>
      <c r="T268" s="81" t="s">
        <v>8247</v>
      </c>
      <c r="U268" s="81" t="s">
        <v>1846</v>
      </c>
      <c r="V268" s="81" t="s">
        <v>8239</v>
      </c>
      <c r="W268" s="81" t="s">
        <v>2963</v>
      </c>
      <c r="X268" s="8" t="s">
        <v>2964</v>
      </c>
      <c r="Y268" s="81" t="s">
        <v>33</v>
      </c>
      <c r="Z268" s="8"/>
      <c r="AA268" s="81" t="s">
        <v>1848</v>
      </c>
      <c r="AB268" s="8"/>
      <c r="AC268" s="8"/>
      <c r="AD268" s="81" t="s">
        <v>491</v>
      </c>
      <c r="AE268" s="81" t="s">
        <v>8152</v>
      </c>
      <c r="AF268" s="81" t="s">
        <v>492</v>
      </c>
      <c r="AG268" s="81" t="s">
        <v>491</v>
      </c>
      <c r="AH268" s="8"/>
      <c r="AI268" s="8"/>
      <c r="AJ268" s="8"/>
      <c r="AK268" s="8"/>
      <c r="AL268" s="8"/>
      <c r="AM268" s="81" t="s">
        <v>243</v>
      </c>
      <c r="AN268" s="8"/>
      <c r="AO268" s="8"/>
      <c r="AP268" s="8"/>
      <c r="AQ268" s="8"/>
      <c r="AR268" s="9">
        <v>40969</v>
      </c>
      <c r="AS268" s="8" t="s">
        <v>8622</v>
      </c>
      <c r="AT268" s="8" t="s">
        <v>348</v>
      </c>
      <c r="AU268" s="9"/>
      <c r="AV268" s="81" t="s">
        <v>322</v>
      </c>
      <c r="AW268" s="81" t="s">
        <v>492</v>
      </c>
      <c r="AX268" s="8" t="s">
        <v>2965</v>
      </c>
      <c r="AY268" s="8"/>
      <c r="AZ268" s="8" t="s">
        <v>8623</v>
      </c>
      <c r="BA268" s="81" t="s">
        <v>399</v>
      </c>
      <c r="BB268" s="8"/>
      <c r="BC268" s="8"/>
      <c r="BD268" s="8"/>
      <c r="BE268" s="81" t="s">
        <v>261</v>
      </c>
      <c r="BF268" s="8" t="s">
        <v>2966</v>
      </c>
      <c r="BG268" s="9">
        <v>50676</v>
      </c>
      <c r="BH268" s="81" t="s">
        <v>713</v>
      </c>
      <c r="BI268" s="81" t="s">
        <v>2968</v>
      </c>
      <c r="BJ268" s="9">
        <v>37500</v>
      </c>
      <c r="BK268" s="9">
        <v>38534</v>
      </c>
      <c r="BL268" s="81" t="s">
        <v>2969</v>
      </c>
      <c r="BM268" s="8"/>
      <c r="BN268" s="8"/>
      <c r="BO268" s="8"/>
      <c r="BP268" s="8"/>
      <c r="BQ268" s="9"/>
      <c r="BR268" s="9"/>
      <c r="BS268" s="8"/>
      <c r="BT268" s="81" t="s">
        <v>2970</v>
      </c>
      <c r="BU268" s="81" t="s">
        <v>118</v>
      </c>
      <c r="BV268" s="8" t="s">
        <v>2971</v>
      </c>
      <c r="BW268" s="81" t="s">
        <v>492</v>
      </c>
      <c r="BX268" s="81" t="s">
        <v>1556</v>
      </c>
      <c r="BY268" s="9">
        <v>43836</v>
      </c>
      <c r="BZ268" s="9"/>
      <c r="CA268" s="8" t="s">
        <v>245</v>
      </c>
    </row>
    <row r="269" spans="1:79" ht="141.6" x14ac:dyDescent="0.25">
      <c r="A269" s="81" t="s">
        <v>2972</v>
      </c>
      <c r="B269" s="8"/>
      <c r="C269" s="81" t="s">
        <v>352</v>
      </c>
      <c r="D269" s="8" t="s">
        <v>8041</v>
      </c>
      <c r="E269" s="8"/>
      <c r="F269" s="9">
        <v>32115</v>
      </c>
      <c r="G269" s="8" t="s">
        <v>434</v>
      </c>
      <c r="H269" s="81" t="s">
        <v>250</v>
      </c>
      <c r="I269" s="81" t="s">
        <v>27</v>
      </c>
      <c r="J269" s="81" t="s">
        <v>474</v>
      </c>
      <c r="K269" s="81" t="s">
        <v>2973</v>
      </c>
      <c r="L269" s="81" t="s">
        <v>1170</v>
      </c>
      <c r="M269" s="81" t="s">
        <v>8624</v>
      </c>
      <c r="N269" s="81" t="s">
        <v>119</v>
      </c>
      <c r="O269" s="81" t="s">
        <v>29</v>
      </c>
      <c r="P269" s="9"/>
      <c r="Q269" s="8"/>
      <c r="R269" s="8"/>
      <c r="S269" s="8"/>
      <c r="T269" s="8"/>
      <c r="U269" s="8"/>
      <c r="V269" s="81" t="s">
        <v>8145</v>
      </c>
      <c r="W269" s="81" t="s">
        <v>8625</v>
      </c>
      <c r="X269" s="8" t="s">
        <v>2975</v>
      </c>
      <c r="Y269" s="81" t="s">
        <v>33</v>
      </c>
      <c r="Z269" s="8"/>
      <c r="AA269" s="81" t="s">
        <v>2976</v>
      </c>
      <c r="AB269" s="8"/>
      <c r="AC269" s="8"/>
      <c r="AD269" s="81" t="s">
        <v>1380</v>
      </c>
      <c r="AE269" s="81" t="s">
        <v>8309</v>
      </c>
      <c r="AF269" s="81" t="s">
        <v>242</v>
      </c>
      <c r="AG269" s="81" t="s">
        <v>1380</v>
      </c>
      <c r="AH269" s="8"/>
      <c r="AI269" s="8"/>
      <c r="AJ269" s="8"/>
      <c r="AK269" s="8"/>
      <c r="AL269" s="8"/>
      <c r="AM269" s="81" t="s">
        <v>243</v>
      </c>
      <c r="AN269" s="8"/>
      <c r="AO269" s="8"/>
      <c r="AP269" s="8"/>
      <c r="AQ269" s="8"/>
      <c r="AR269" s="9">
        <v>40959</v>
      </c>
      <c r="AS269" s="8" t="s">
        <v>8622</v>
      </c>
      <c r="AT269" s="8" t="s">
        <v>348</v>
      </c>
      <c r="AU269" s="9"/>
      <c r="AV269" s="81" t="s">
        <v>322</v>
      </c>
      <c r="AW269" s="81" t="s">
        <v>242</v>
      </c>
      <c r="AX269" s="8" t="s">
        <v>2978</v>
      </c>
      <c r="AY269" s="8"/>
      <c r="AZ269" s="8" t="s">
        <v>8626</v>
      </c>
      <c r="BA269" s="81" t="s">
        <v>676</v>
      </c>
      <c r="BB269" s="8"/>
      <c r="BC269" s="8"/>
      <c r="BD269" s="8"/>
      <c r="BE269" s="81" t="s">
        <v>261</v>
      </c>
      <c r="BF269" s="8" t="s">
        <v>2979</v>
      </c>
      <c r="BG269" s="9">
        <v>49590</v>
      </c>
      <c r="BH269" s="81" t="s">
        <v>81</v>
      </c>
      <c r="BI269" s="81" t="s">
        <v>2981</v>
      </c>
      <c r="BJ269" s="9">
        <v>39326</v>
      </c>
      <c r="BK269" s="9">
        <v>40725</v>
      </c>
      <c r="BL269" s="81" t="s">
        <v>2982</v>
      </c>
      <c r="BM269" s="81" t="s">
        <v>82</v>
      </c>
      <c r="BN269" s="8"/>
      <c r="BO269" s="8"/>
      <c r="BP269" s="8"/>
      <c r="BQ269" s="9"/>
      <c r="BR269" s="9"/>
      <c r="BS269" s="8"/>
      <c r="BT269" s="81" t="s">
        <v>2983</v>
      </c>
      <c r="BU269" s="81" t="s">
        <v>266</v>
      </c>
      <c r="BV269" s="8" t="s">
        <v>2984</v>
      </c>
      <c r="BW269" s="81" t="s">
        <v>242</v>
      </c>
      <c r="BX269" s="81" t="s">
        <v>1556</v>
      </c>
      <c r="BY269" s="9">
        <v>40959</v>
      </c>
      <c r="BZ269" s="9"/>
      <c r="CA269" s="8" t="s">
        <v>257</v>
      </c>
    </row>
    <row r="270" spans="1:79" ht="141.6" x14ac:dyDescent="0.25">
      <c r="A270" s="81" t="s">
        <v>1218</v>
      </c>
      <c r="B270" s="8"/>
      <c r="C270" s="81" t="s">
        <v>26</v>
      </c>
      <c r="D270" s="8" t="s">
        <v>8042</v>
      </c>
      <c r="E270" s="8" t="s">
        <v>2985</v>
      </c>
      <c r="F270" s="9">
        <v>31967</v>
      </c>
      <c r="G270" s="8" t="s">
        <v>434</v>
      </c>
      <c r="H270" s="81" t="s">
        <v>250</v>
      </c>
      <c r="I270" s="81" t="s">
        <v>27</v>
      </c>
      <c r="J270" s="81" t="s">
        <v>252</v>
      </c>
      <c r="K270" s="81" t="s">
        <v>294</v>
      </c>
      <c r="L270" s="81" t="s">
        <v>102</v>
      </c>
      <c r="M270" s="81" t="s">
        <v>8627</v>
      </c>
      <c r="N270" s="81" t="s">
        <v>119</v>
      </c>
      <c r="O270" s="81" t="s">
        <v>29</v>
      </c>
      <c r="P270" s="9"/>
      <c r="Q270" s="8"/>
      <c r="R270" s="8"/>
      <c r="S270" s="8"/>
      <c r="T270" s="81" t="s">
        <v>8247</v>
      </c>
      <c r="U270" s="81" t="s">
        <v>1837</v>
      </c>
      <c r="V270" s="8"/>
      <c r="W270" s="8"/>
      <c r="X270" s="8" t="s">
        <v>2986</v>
      </c>
      <c r="Y270" s="81" t="s">
        <v>33</v>
      </c>
      <c r="Z270" s="8"/>
      <c r="AA270" s="81" t="s">
        <v>2987</v>
      </c>
      <c r="AB270" s="8"/>
      <c r="AC270" s="8"/>
      <c r="AD270" s="81" t="s">
        <v>255</v>
      </c>
      <c r="AE270" s="81" t="s">
        <v>8117</v>
      </c>
      <c r="AF270" s="81" t="s">
        <v>256</v>
      </c>
      <c r="AG270" s="81" t="s">
        <v>255</v>
      </c>
      <c r="AH270" s="8"/>
      <c r="AI270" s="8"/>
      <c r="AJ270" s="8"/>
      <c r="AK270" s="8"/>
      <c r="AL270" s="8"/>
      <c r="AM270" s="81" t="s">
        <v>243</v>
      </c>
      <c r="AN270" s="8"/>
      <c r="AO270" s="81" t="s">
        <v>2988</v>
      </c>
      <c r="AP270" s="8"/>
      <c r="AQ270" s="8"/>
      <c r="AR270" s="9">
        <v>40752</v>
      </c>
      <c r="AS270" s="8" t="s">
        <v>8628</v>
      </c>
      <c r="AT270" s="8" t="s">
        <v>348</v>
      </c>
      <c r="AU270" s="9"/>
      <c r="AV270" s="81" t="s">
        <v>322</v>
      </c>
      <c r="AW270" s="81" t="s">
        <v>256</v>
      </c>
      <c r="AX270" s="8" t="s">
        <v>2989</v>
      </c>
      <c r="AY270" s="8"/>
      <c r="AZ270" s="8" t="s">
        <v>8139</v>
      </c>
      <c r="BA270" s="81" t="s">
        <v>676</v>
      </c>
      <c r="BB270" s="8"/>
      <c r="BC270" s="8"/>
      <c r="BD270" s="8"/>
      <c r="BE270" s="81" t="s">
        <v>261</v>
      </c>
      <c r="BF270" s="8" t="s">
        <v>2990</v>
      </c>
      <c r="BG270" s="9">
        <v>50359</v>
      </c>
      <c r="BH270" s="81" t="s">
        <v>81</v>
      </c>
      <c r="BI270" s="81" t="s">
        <v>2992</v>
      </c>
      <c r="BJ270" s="9">
        <v>38231</v>
      </c>
      <c r="BK270" s="9">
        <v>39630</v>
      </c>
      <c r="BL270" s="81" t="s">
        <v>1062</v>
      </c>
      <c r="BM270" s="81" t="s">
        <v>82</v>
      </c>
      <c r="BN270" s="8"/>
      <c r="BO270" s="8"/>
      <c r="BP270" s="8"/>
      <c r="BQ270" s="9"/>
      <c r="BR270" s="9"/>
      <c r="BS270" s="8"/>
      <c r="BT270" s="81" t="s">
        <v>2993</v>
      </c>
      <c r="BU270" s="81" t="s">
        <v>266</v>
      </c>
      <c r="BV270" s="8" t="s">
        <v>2994</v>
      </c>
      <c r="BW270" s="81" t="s">
        <v>256</v>
      </c>
      <c r="BX270" s="81" t="s">
        <v>1556</v>
      </c>
      <c r="BY270" s="9">
        <v>43836</v>
      </c>
      <c r="BZ270" s="9"/>
      <c r="CA270" s="8" t="s">
        <v>245</v>
      </c>
    </row>
    <row r="271" spans="1:79" ht="205.2" x14ac:dyDescent="0.25">
      <c r="A271" s="81" t="s">
        <v>2995</v>
      </c>
      <c r="B271" s="8"/>
      <c r="C271" s="81" t="s">
        <v>26</v>
      </c>
      <c r="D271" s="8" t="s">
        <v>8043</v>
      </c>
      <c r="E271" s="8"/>
      <c r="F271" s="9">
        <v>33222</v>
      </c>
      <c r="G271" s="8" t="s">
        <v>292</v>
      </c>
      <c r="H271" s="81" t="s">
        <v>250</v>
      </c>
      <c r="I271" s="81" t="s">
        <v>27</v>
      </c>
      <c r="J271" s="81" t="s">
        <v>270</v>
      </c>
      <c r="K271" s="81" t="s">
        <v>488</v>
      </c>
      <c r="L271" s="81" t="s">
        <v>102</v>
      </c>
      <c r="M271" s="81" t="s">
        <v>8629</v>
      </c>
      <c r="N271" s="81" t="s">
        <v>119</v>
      </c>
      <c r="O271" s="81" t="s">
        <v>29</v>
      </c>
      <c r="P271" s="9"/>
      <c r="Q271" s="8"/>
      <c r="R271" s="8"/>
      <c r="S271" s="8"/>
      <c r="T271" s="8"/>
      <c r="U271" s="8"/>
      <c r="V271" s="8"/>
      <c r="W271" s="8"/>
      <c r="X271" s="8" t="s">
        <v>2997</v>
      </c>
      <c r="Y271" s="81" t="s">
        <v>33</v>
      </c>
      <c r="Z271" s="8"/>
      <c r="AA271" s="81" t="s">
        <v>2998</v>
      </c>
      <c r="AB271" s="8"/>
      <c r="AC271" s="8"/>
      <c r="AD271" s="81" t="s">
        <v>344</v>
      </c>
      <c r="AE271" s="81" t="s">
        <v>8129</v>
      </c>
      <c r="AF271" s="81" t="s">
        <v>242</v>
      </c>
      <c r="AG271" s="81" t="s">
        <v>345</v>
      </c>
      <c r="AH271" s="81" t="s">
        <v>346</v>
      </c>
      <c r="AI271" s="81" t="s">
        <v>344</v>
      </c>
      <c r="AJ271" s="8"/>
      <c r="AK271" s="8"/>
      <c r="AL271" s="8"/>
      <c r="AM271" s="81" t="s">
        <v>243</v>
      </c>
      <c r="AN271" s="8"/>
      <c r="AO271" s="8"/>
      <c r="AP271" s="8"/>
      <c r="AQ271" s="8"/>
      <c r="AR271" s="9">
        <v>40749</v>
      </c>
      <c r="AS271" s="8" t="s">
        <v>8628</v>
      </c>
      <c r="AT271" s="8" t="s">
        <v>348</v>
      </c>
      <c r="AU271" s="9"/>
      <c r="AV271" s="81" t="s">
        <v>322</v>
      </c>
      <c r="AW271" s="81" t="s">
        <v>242</v>
      </c>
      <c r="AX271" s="8" t="s">
        <v>2999</v>
      </c>
      <c r="AY271" s="8"/>
      <c r="AZ271" s="8" t="s">
        <v>8630</v>
      </c>
      <c r="BA271" s="81" t="s">
        <v>556</v>
      </c>
      <c r="BB271" s="8"/>
      <c r="BC271" s="8"/>
      <c r="BD271" s="8"/>
      <c r="BE271" s="81" t="s">
        <v>261</v>
      </c>
      <c r="BF271" s="8" t="s">
        <v>3000</v>
      </c>
      <c r="BG271" s="9">
        <v>52410</v>
      </c>
      <c r="BH271" s="81" t="s">
        <v>713</v>
      </c>
      <c r="BI271" s="81" t="s">
        <v>3002</v>
      </c>
      <c r="BJ271" s="9">
        <v>39692</v>
      </c>
      <c r="BK271" s="9">
        <v>40725</v>
      </c>
      <c r="BL271" s="81" t="s">
        <v>2896</v>
      </c>
      <c r="BM271" s="8"/>
      <c r="BN271" s="8"/>
      <c r="BO271" s="8"/>
      <c r="BP271" s="8"/>
      <c r="BQ271" s="9"/>
      <c r="BR271" s="9"/>
      <c r="BS271" s="8"/>
      <c r="BT271" s="81" t="s">
        <v>3003</v>
      </c>
      <c r="BU271" s="81" t="s">
        <v>266</v>
      </c>
      <c r="BV271" s="8" t="s">
        <v>3004</v>
      </c>
      <c r="BW271" s="81" t="s">
        <v>242</v>
      </c>
      <c r="BX271" s="81" t="s">
        <v>337</v>
      </c>
      <c r="BY271" s="9">
        <v>45413</v>
      </c>
      <c r="BZ271" s="9">
        <v>47238</v>
      </c>
      <c r="CA271" s="8" t="s">
        <v>257</v>
      </c>
    </row>
    <row r="272" spans="1:79" ht="157.19999999999999" x14ac:dyDescent="0.25">
      <c r="A272" s="81" t="s">
        <v>3005</v>
      </c>
      <c r="B272" s="8"/>
      <c r="C272" s="81" t="s">
        <v>352</v>
      </c>
      <c r="D272" s="8" t="s">
        <v>8044</v>
      </c>
      <c r="E272" s="8" t="s">
        <v>3006</v>
      </c>
      <c r="F272" s="9">
        <v>29882</v>
      </c>
      <c r="G272" s="8" t="s">
        <v>2646</v>
      </c>
      <c r="H272" s="81" t="s">
        <v>250</v>
      </c>
      <c r="I272" s="81" t="s">
        <v>27</v>
      </c>
      <c r="J272" s="81" t="s">
        <v>252</v>
      </c>
      <c r="K272" s="81" t="s">
        <v>668</v>
      </c>
      <c r="L272" s="81" t="s">
        <v>102</v>
      </c>
      <c r="M272" s="81" t="s">
        <v>8631</v>
      </c>
      <c r="N272" s="81" t="s">
        <v>28</v>
      </c>
      <c r="O272" s="81" t="s">
        <v>29</v>
      </c>
      <c r="P272" s="9"/>
      <c r="Q272" s="8"/>
      <c r="R272" s="8"/>
      <c r="S272" s="8"/>
      <c r="T272" s="81" t="s">
        <v>8247</v>
      </c>
      <c r="U272" s="81" t="s">
        <v>1654</v>
      </c>
      <c r="V272" s="8"/>
      <c r="W272" s="8"/>
      <c r="X272" s="8" t="s">
        <v>3007</v>
      </c>
      <c r="Y272" s="81" t="s">
        <v>33</v>
      </c>
      <c r="Z272" s="8"/>
      <c r="AA272" s="81" t="s">
        <v>1796</v>
      </c>
      <c r="AB272" s="8"/>
      <c r="AC272" s="8"/>
      <c r="AD272" s="81" t="s">
        <v>635</v>
      </c>
      <c r="AE272" s="81" t="s">
        <v>8174</v>
      </c>
      <c r="AF272" s="81" t="s">
        <v>256</v>
      </c>
      <c r="AG272" s="81" t="s">
        <v>635</v>
      </c>
      <c r="AH272" s="8"/>
      <c r="AI272" s="8"/>
      <c r="AJ272" s="8"/>
      <c r="AK272" s="8"/>
      <c r="AL272" s="8"/>
      <c r="AM272" s="81" t="s">
        <v>243</v>
      </c>
      <c r="AN272" s="8"/>
      <c r="AO272" s="8"/>
      <c r="AP272" s="8"/>
      <c r="AQ272" s="8"/>
      <c r="AR272" s="9">
        <v>40742</v>
      </c>
      <c r="AS272" s="8" t="s">
        <v>8628</v>
      </c>
      <c r="AT272" s="8" t="s">
        <v>348</v>
      </c>
      <c r="AU272" s="9"/>
      <c r="AV272" s="81" t="s">
        <v>322</v>
      </c>
      <c r="AW272" s="81" t="s">
        <v>256</v>
      </c>
      <c r="AX272" s="8" t="s">
        <v>3008</v>
      </c>
      <c r="AY272" s="8"/>
      <c r="AZ272" s="8" t="s">
        <v>8175</v>
      </c>
      <c r="BA272" s="81" t="s">
        <v>399</v>
      </c>
      <c r="BB272" s="8"/>
      <c r="BC272" s="8"/>
      <c r="BD272" s="8"/>
      <c r="BE272" s="81" t="s">
        <v>261</v>
      </c>
      <c r="BF272" s="8" t="s">
        <v>3009</v>
      </c>
      <c r="BG272" s="9">
        <v>49764</v>
      </c>
      <c r="BH272" s="81" t="s">
        <v>87</v>
      </c>
      <c r="BI272" s="81" t="s">
        <v>1032</v>
      </c>
      <c r="BJ272" s="9">
        <v>39692</v>
      </c>
      <c r="BK272" s="9">
        <v>40544</v>
      </c>
      <c r="BL272" s="81" t="s">
        <v>3011</v>
      </c>
      <c r="BM272" s="81" t="s">
        <v>87</v>
      </c>
      <c r="BN272" s="8"/>
      <c r="BO272" s="8"/>
      <c r="BP272" s="8"/>
      <c r="BQ272" s="9"/>
      <c r="BR272" s="9"/>
      <c r="BS272" s="8"/>
      <c r="BT272" s="81" t="s">
        <v>3012</v>
      </c>
      <c r="BU272" s="81" t="s">
        <v>118</v>
      </c>
      <c r="BV272" s="8" t="s">
        <v>3013</v>
      </c>
      <c r="BW272" s="81" t="s">
        <v>256</v>
      </c>
      <c r="BX272" s="81" t="s">
        <v>1556</v>
      </c>
      <c r="BY272" s="9">
        <v>45662</v>
      </c>
      <c r="BZ272" s="9"/>
      <c r="CA272" s="8" t="s">
        <v>257</v>
      </c>
    </row>
    <row r="273" spans="1:79" ht="141.6" x14ac:dyDescent="0.25">
      <c r="A273" s="81" t="s">
        <v>3015</v>
      </c>
      <c r="B273" s="8"/>
      <c r="C273" s="81" t="s">
        <v>26</v>
      </c>
      <c r="D273" s="8" t="s">
        <v>8045</v>
      </c>
      <c r="E273" s="8" t="s">
        <v>3016</v>
      </c>
      <c r="F273" s="9">
        <v>32357</v>
      </c>
      <c r="G273" s="8" t="s">
        <v>1571</v>
      </c>
      <c r="H273" s="81" t="s">
        <v>250</v>
      </c>
      <c r="I273" s="81" t="s">
        <v>27</v>
      </c>
      <c r="J273" s="81" t="s">
        <v>252</v>
      </c>
      <c r="K273" s="81" t="s">
        <v>415</v>
      </c>
      <c r="L273" s="81" t="s">
        <v>102</v>
      </c>
      <c r="M273" s="81" t="s">
        <v>8632</v>
      </c>
      <c r="N273" s="81" t="s">
        <v>119</v>
      </c>
      <c r="O273" s="81" t="s">
        <v>29</v>
      </c>
      <c r="P273" s="9"/>
      <c r="Q273" s="8"/>
      <c r="R273" s="8"/>
      <c r="S273" s="8"/>
      <c r="T273" s="8"/>
      <c r="U273" s="8"/>
      <c r="V273" s="81" t="s">
        <v>8247</v>
      </c>
      <c r="W273" s="81" t="s">
        <v>1350</v>
      </c>
      <c r="X273" s="8" t="s">
        <v>3017</v>
      </c>
      <c r="Y273" s="81" t="s">
        <v>33</v>
      </c>
      <c r="Z273" s="8"/>
      <c r="AA273" s="81" t="s">
        <v>3018</v>
      </c>
      <c r="AB273" s="8"/>
      <c r="AC273" s="8"/>
      <c r="AD273" s="81" t="s">
        <v>1353</v>
      </c>
      <c r="AE273" s="81" t="s">
        <v>8303</v>
      </c>
      <c r="AF273" s="81" t="s">
        <v>242</v>
      </c>
      <c r="AG273" s="81" t="s">
        <v>1353</v>
      </c>
      <c r="AH273" s="8"/>
      <c r="AI273" s="8"/>
      <c r="AJ273" s="8"/>
      <c r="AK273" s="8"/>
      <c r="AL273" s="8"/>
      <c r="AM273" s="81" t="s">
        <v>243</v>
      </c>
      <c r="AN273" s="8"/>
      <c r="AO273" s="8"/>
      <c r="AP273" s="8"/>
      <c r="AQ273" s="8"/>
      <c r="AR273" s="9">
        <v>40729</v>
      </c>
      <c r="AS273" s="8" t="s">
        <v>8633</v>
      </c>
      <c r="AT273" s="8" t="s">
        <v>348</v>
      </c>
      <c r="AU273" s="9"/>
      <c r="AV273" s="81" t="s">
        <v>322</v>
      </c>
      <c r="AW273" s="81" t="s">
        <v>242</v>
      </c>
      <c r="AX273" s="8" t="s">
        <v>3020</v>
      </c>
      <c r="AY273" s="8"/>
      <c r="AZ273" s="8" t="s">
        <v>8542</v>
      </c>
      <c r="BA273" s="81" t="s">
        <v>361</v>
      </c>
      <c r="BB273" s="8"/>
      <c r="BC273" s="8"/>
      <c r="BD273" s="8"/>
      <c r="BE273" s="81" t="s">
        <v>261</v>
      </c>
      <c r="BF273" s="8" t="s">
        <v>3021</v>
      </c>
      <c r="BG273" s="9">
        <v>49735</v>
      </c>
      <c r="BH273" s="81" t="s">
        <v>81</v>
      </c>
      <c r="BI273" s="81" t="s">
        <v>8634</v>
      </c>
      <c r="BJ273" s="9">
        <v>40787</v>
      </c>
      <c r="BK273" s="9">
        <v>41640</v>
      </c>
      <c r="BL273" s="81" t="s">
        <v>8635</v>
      </c>
      <c r="BM273" s="81" t="s">
        <v>82</v>
      </c>
      <c r="BN273" s="8"/>
      <c r="BO273" s="8"/>
      <c r="BP273" s="8"/>
      <c r="BQ273" s="9"/>
      <c r="BR273" s="9"/>
      <c r="BS273" s="8"/>
      <c r="BT273" s="81" t="s">
        <v>3023</v>
      </c>
      <c r="BU273" s="81" t="s">
        <v>266</v>
      </c>
      <c r="BV273" s="8" t="s">
        <v>3024</v>
      </c>
      <c r="BW273" s="81" t="s">
        <v>242</v>
      </c>
      <c r="BX273" s="81" t="s">
        <v>1556</v>
      </c>
      <c r="BY273" s="9">
        <v>40729</v>
      </c>
      <c r="BZ273" s="9"/>
      <c r="CA273" s="8" t="s">
        <v>58</v>
      </c>
    </row>
    <row r="274" spans="1:79" ht="141.6" x14ac:dyDescent="0.25">
      <c r="A274" s="81" t="s">
        <v>3025</v>
      </c>
      <c r="B274" s="8"/>
      <c r="C274" s="81" t="s">
        <v>352</v>
      </c>
      <c r="D274" s="8" t="s">
        <v>8046</v>
      </c>
      <c r="E274" s="8"/>
      <c r="F274" s="9">
        <v>31293</v>
      </c>
      <c r="G274" s="8" t="s">
        <v>1698</v>
      </c>
      <c r="H274" s="81" t="s">
        <v>250</v>
      </c>
      <c r="I274" s="81" t="s">
        <v>27</v>
      </c>
      <c r="J274" s="81" t="s">
        <v>252</v>
      </c>
      <c r="K274" s="81" t="s">
        <v>294</v>
      </c>
      <c r="L274" s="81" t="s">
        <v>102</v>
      </c>
      <c r="M274" s="81" t="s">
        <v>8636</v>
      </c>
      <c r="N274" s="81" t="s">
        <v>119</v>
      </c>
      <c r="O274" s="81" t="s">
        <v>29</v>
      </c>
      <c r="P274" s="9"/>
      <c r="Q274" s="8"/>
      <c r="R274" s="8"/>
      <c r="S274" s="8"/>
      <c r="T274" s="8"/>
      <c r="U274" s="8"/>
      <c r="V274" s="81" t="s">
        <v>8239</v>
      </c>
      <c r="W274" s="81" t="s">
        <v>2827</v>
      </c>
      <c r="X274" s="8" t="s">
        <v>3026</v>
      </c>
      <c r="Y274" s="81" t="s">
        <v>33</v>
      </c>
      <c r="Z274" s="8"/>
      <c r="AA274" s="81" t="s">
        <v>2720</v>
      </c>
      <c r="AB274" s="8"/>
      <c r="AC274" s="8"/>
      <c r="AD274" s="81" t="s">
        <v>1967</v>
      </c>
      <c r="AE274" s="81" t="s">
        <v>8436</v>
      </c>
      <c r="AF274" s="81" t="s">
        <v>242</v>
      </c>
      <c r="AG274" s="81" t="s">
        <v>1967</v>
      </c>
      <c r="AH274" s="8"/>
      <c r="AI274" s="8"/>
      <c r="AJ274" s="8"/>
      <c r="AK274" s="8"/>
      <c r="AL274" s="8"/>
      <c r="AM274" s="81" t="s">
        <v>243</v>
      </c>
      <c r="AN274" s="8"/>
      <c r="AO274" s="8"/>
      <c r="AP274" s="8"/>
      <c r="AQ274" s="8"/>
      <c r="AR274" s="9">
        <v>40701</v>
      </c>
      <c r="AS274" s="8" t="s">
        <v>8637</v>
      </c>
      <c r="AT274" s="8" t="s">
        <v>348</v>
      </c>
      <c r="AU274" s="9"/>
      <c r="AV274" s="81" t="s">
        <v>322</v>
      </c>
      <c r="AW274" s="81" t="s">
        <v>242</v>
      </c>
      <c r="AX274" s="8" t="s">
        <v>3027</v>
      </c>
      <c r="AY274" s="8"/>
      <c r="AZ274" s="8" t="s">
        <v>8638</v>
      </c>
      <c r="BA274" s="81" t="s">
        <v>361</v>
      </c>
      <c r="BB274" s="8"/>
      <c r="BC274" s="8"/>
      <c r="BD274" s="8"/>
      <c r="BE274" s="81" t="s">
        <v>261</v>
      </c>
      <c r="BF274" s="8" t="s">
        <v>3028</v>
      </c>
      <c r="BG274" s="9">
        <v>49127</v>
      </c>
      <c r="BH274" s="81" t="s">
        <v>305</v>
      </c>
      <c r="BI274" s="81" t="s">
        <v>1826</v>
      </c>
      <c r="BJ274" s="9">
        <v>40545</v>
      </c>
      <c r="BK274" s="9">
        <v>41276</v>
      </c>
      <c r="BL274" s="81" t="s">
        <v>3032</v>
      </c>
      <c r="BM274" s="8"/>
      <c r="BN274" s="8"/>
      <c r="BO274" s="8"/>
      <c r="BP274" s="8"/>
      <c r="BQ274" s="9"/>
      <c r="BR274" s="9"/>
      <c r="BS274" s="8"/>
      <c r="BT274" s="81" t="s">
        <v>3033</v>
      </c>
      <c r="BU274" s="81" t="s">
        <v>118</v>
      </c>
      <c r="BV274" s="8" t="s">
        <v>3034</v>
      </c>
      <c r="BW274" s="81" t="s">
        <v>242</v>
      </c>
      <c r="BX274" s="81" t="s">
        <v>337</v>
      </c>
      <c r="BY274" s="9">
        <v>45505</v>
      </c>
      <c r="BZ274" s="9">
        <v>47330</v>
      </c>
      <c r="CA274" s="8" t="s">
        <v>58</v>
      </c>
    </row>
    <row r="275" spans="1:79" ht="141.6" x14ac:dyDescent="0.25">
      <c r="A275" s="81" t="s">
        <v>3035</v>
      </c>
      <c r="B275" s="8"/>
      <c r="C275" s="81" t="s">
        <v>26</v>
      </c>
      <c r="D275" s="8" t="s">
        <v>8047</v>
      </c>
      <c r="E275" s="8"/>
      <c r="F275" s="9">
        <v>31752</v>
      </c>
      <c r="G275" s="8" t="s">
        <v>2135</v>
      </c>
      <c r="H275" s="81" t="s">
        <v>250</v>
      </c>
      <c r="I275" s="81" t="s">
        <v>27</v>
      </c>
      <c r="J275" s="81" t="s">
        <v>270</v>
      </c>
      <c r="K275" s="81" t="s">
        <v>563</v>
      </c>
      <c r="L275" s="81" t="s">
        <v>102</v>
      </c>
      <c r="M275" s="81" t="s">
        <v>8639</v>
      </c>
      <c r="N275" s="81" t="s">
        <v>119</v>
      </c>
      <c r="O275" s="81" t="s">
        <v>29</v>
      </c>
      <c r="P275" s="9"/>
      <c r="Q275" s="8"/>
      <c r="R275" s="8"/>
      <c r="S275" s="8"/>
      <c r="T275" s="81" t="s">
        <v>8145</v>
      </c>
      <c r="U275" s="81" t="s">
        <v>8188</v>
      </c>
      <c r="V275" s="8"/>
      <c r="W275" s="8"/>
      <c r="X275" s="8" t="s">
        <v>3037</v>
      </c>
      <c r="Y275" s="81" t="s">
        <v>33</v>
      </c>
      <c r="Z275" s="8"/>
      <c r="AA275" s="81" t="s">
        <v>3038</v>
      </c>
      <c r="AB275" s="8"/>
      <c r="AC275" s="8"/>
      <c r="AD275" s="81" t="s">
        <v>376</v>
      </c>
      <c r="AE275" s="81" t="s">
        <v>8135</v>
      </c>
      <c r="AF275" s="81" t="s">
        <v>242</v>
      </c>
      <c r="AG275" s="81" t="s">
        <v>376</v>
      </c>
      <c r="AH275" s="8"/>
      <c r="AI275" s="8"/>
      <c r="AJ275" s="8"/>
      <c r="AK275" s="8"/>
      <c r="AL275" s="8"/>
      <c r="AM275" s="81" t="s">
        <v>243</v>
      </c>
      <c r="AN275" s="8"/>
      <c r="AO275" s="8"/>
      <c r="AP275" s="8"/>
      <c r="AQ275" s="8"/>
      <c r="AR275" s="9">
        <v>40679</v>
      </c>
      <c r="AS275" s="8" t="s">
        <v>8637</v>
      </c>
      <c r="AT275" s="8" t="s">
        <v>348</v>
      </c>
      <c r="AU275" s="9"/>
      <c r="AV275" s="81" t="s">
        <v>322</v>
      </c>
      <c r="AW275" s="81" t="s">
        <v>242</v>
      </c>
      <c r="AX275" s="8" t="s">
        <v>3040</v>
      </c>
      <c r="AY275" s="8"/>
      <c r="AZ275" s="8" t="s">
        <v>8640</v>
      </c>
      <c r="BA275" s="81" t="s">
        <v>676</v>
      </c>
      <c r="BB275" s="8"/>
      <c r="BC275" s="8"/>
      <c r="BD275" s="8"/>
      <c r="BE275" s="81" t="s">
        <v>261</v>
      </c>
      <c r="BF275" s="8" t="s">
        <v>3041</v>
      </c>
      <c r="BG275" s="9">
        <v>51432</v>
      </c>
      <c r="BH275" s="81" t="s">
        <v>81</v>
      </c>
      <c r="BI275" s="81" t="s">
        <v>3043</v>
      </c>
      <c r="BJ275" s="9">
        <v>38596</v>
      </c>
      <c r="BK275" s="9">
        <v>39986</v>
      </c>
      <c r="BL275" s="81" t="s">
        <v>405</v>
      </c>
      <c r="BM275" s="81" t="s">
        <v>82</v>
      </c>
      <c r="BN275" s="8"/>
      <c r="BO275" s="8"/>
      <c r="BP275" s="8"/>
      <c r="BQ275" s="9"/>
      <c r="BR275" s="9"/>
      <c r="BS275" s="8"/>
      <c r="BT275" s="81" t="s">
        <v>3045</v>
      </c>
      <c r="BU275" s="81" t="s">
        <v>118</v>
      </c>
      <c r="BV275" s="8" t="s">
        <v>3046</v>
      </c>
      <c r="BW275" s="81" t="s">
        <v>242</v>
      </c>
      <c r="BX275" s="81" t="s">
        <v>1556</v>
      </c>
      <c r="BY275" s="9">
        <v>40679</v>
      </c>
      <c r="BZ275" s="9"/>
      <c r="CA275" s="8" t="s">
        <v>61</v>
      </c>
    </row>
    <row r="276" spans="1:79" ht="157.19999999999999" x14ac:dyDescent="0.25">
      <c r="A276" s="81" t="s">
        <v>3047</v>
      </c>
      <c r="B276" s="8"/>
      <c r="C276" s="81" t="s">
        <v>26</v>
      </c>
      <c r="D276" s="8" t="s">
        <v>8048</v>
      </c>
      <c r="E276" s="8"/>
      <c r="F276" s="9">
        <v>29512</v>
      </c>
      <c r="G276" s="8" t="s">
        <v>3048</v>
      </c>
      <c r="H276" s="81" t="s">
        <v>250</v>
      </c>
      <c r="I276" s="81" t="s">
        <v>27</v>
      </c>
      <c r="J276" s="81" t="s">
        <v>270</v>
      </c>
      <c r="K276" s="81" t="s">
        <v>488</v>
      </c>
      <c r="L276" s="81" t="s">
        <v>102</v>
      </c>
      <c r="M276" s="81" t="s">
        <v>8641</v>
      </c>
      <c r="N276" s="81" t="s">
        <v>119</v>
      </c>
      <c r="O276" s="81" t="s">
        <v>29</v>
      </c>
      <c r="P276" s="9"/>
      <c r="Q276" s="8"/>
      <c r="R276" s="8"/>
      <c r="S276" s="8"/>
      <c r="T276" s="8"/>
      <c r="U276" s="8"/>
      <c r="V276" s="8"/>
      <c r="W276" s="8"/>
      <c r="X276" s="8" t="s">
        <v>3049</v>
      </c>
      <c r="Y276" s="81" t="s">
        <v>33</v>
      </c>
      <c r="Z276" s="8"/>
      <c r="AA276" s="81" t="s">
        <v>3050</v>
      </c>
      <c r="AB276" s="8"/>
      <c r="AC276" s="8"/>
      <c r="AD276" s="81" t="s">
        <v>655</v>
      </c>
      <c r="AE276" s="81" t="s">
        <v>8178</v>
      </c>
      <c r="AF276" s="81" t="s">
        <v>242</v>
      </c>
      <c r="AG276" s="81" t="s">
        <v>655</v>
      </c>
      <c r="AH276" s="8"/>
      <c r="AI276" s="8"/>
      <c r="AJ276" s="8"/>
      <c r="AK276" s="8"/>
      <c r="AL276" s="8"/>
      <c r="AM276" s="81" t="s">
        <v>243</v>
      </c>
      <c r="AN276" s="8"/>
      <c r="AO276" s="8"/>
      <c r="AP276" s="8"/>
      <c r="AQ276" s="8"/>
      <c r="AR276" s="9">
        <v>40651</v>
      </c>
      <c r="AS276" s="8" t="s">
        <v>8642</v>
      </c>
      <c r="AT276" s="8" t="s">
        <v>348</v>
      </c>
      <c r="AU276" s="9"/>
      <c r="AV276" s="81" t="s">
        <v>322</v>
      </c>
      <c r="AW276" s="81" t="s">
        <v>242</v>
      </c>
      <c r="AX276" s="8" t="s">
        <v>3051</v>
      </c>
      <c r="AY276" s="8"/>
      <c r="AZ276" s="8" t="s">
        <v>8643</v>
      </c>
      <c r="BA276" s="81" t="s">
        <v>676</v>
      </c>
      <c r="BB276" s="8"/>
      <c r="BC276" s="8"/>
      <c r="BD276" s="8"/>
      <c r="BE276" s="81" t="s">
        <v>261</v>
      </c>
      <c r="BF276" s="8" t="s">
        <v>3052</v>
      </c>
      <c r="BG276" s="9">
        <v>48385</v>
      </c>
      <c r="BH276" s="81" t="s">
        <v>81</v>
      </c>
      <c r="BI276" s="81" t="s">
        <v>1032</v>
      </c>
      <c r="BJ276" s="9">
        <v>36404</v>
      </c>
      <c r="BK276" s="9">
        <v>37803</v>
      </c>
      <c r="BL276" s="81" t="s">
        <v>3054</v>
      </c>
      <c r="BM276" s="81" t="s">
        <v>82</v>
      </c>
      <c r="BN276" s="8"/>
      <c r="BO276" s="8"/>
      <c r="BP276" s="8"/>
      <c r="BQ276" s="9"/>
      <c r="BR276" s="9"/>
      <c r="BS276" s="8"/>
      <c r="BT276" s="8"/>
      <c r="BU276" s="8"/>
      <c r="BV276" s="8"/>
      <c r="BW276" s="81" t="s">
        <v>242</v>
      </c>
      <c r="BX276" s="81" t="s">
        <v>1556</v>
      </c>
      <c r="BY276" s="9">
        <v>41244</v>
      </c>
      <c r="BZ276" s="9"/>
      <c r="CA276" s="8" t="s">
        <v>257</v>
      </c>
    </row>
    <row r="277" spans="1:79" ht="205.2" x14ac:dyDescent="0.25">
      <c r="A277" s="81" t="s">
        <v>3056</v>
      </c>
      <c r="B277" s="8"/>
      <c r="C277" s="81" t="s">
        <v>26</v>
      </c>
      <c r="D277" s="8" t="s">
        <v>8049</v>
      </c>
      <c r="E277" s="8"/>
      <c r="F277" s="9">
        <v>28370</v>
      </c>
      <c r="G277" s="8" t="s">
        <v>3057</v>
      </c>
      <c r="H277" s="81" t="s">
        <v>250</v>
      </c>
      <c r="I277" s="81" t="s">
        <v>27</v>
      </c>
      <c r="J277" s="81" t="s">
        <v>270</v>
      </c>
      <c r="K277" s="81" t="s">
        <v>488</v>
      </c>
      <c r="L277" s="81" t="s">
        <v>102</v>
      </c>
      <c r="M277" s="81" t="s">
        <v>3058</v>
      </c>
      <c r="N277" s="81" t="s">
        <v>28</v>
      </c>
      <c r="O277" s="81" t="s">
        <v>29</v>
      </c>
      <c r="P277" s="9"/>
      <c r="Q277" s="8"/>
      <c r="R277" s="8"/>
      <c r="S277" s="8"/>
      <c r="T277" s="8"/>
      <c r="U277" s="8"/>
      <c r="V277" s="81" t="s">
        <v>8239</v>
      </c>
      <c r="W277" s="81" t="s">
        <v>3059</v>
      </c>
      <c r="X277" s="8" t="s">
        <v>3060</v>
      </c>
      <c r="Y277" s="81" t="s">
        <v>33</v>
      </c>
      <c r="Z277" s="8"/>
      <c r="AA277" s="81" t="s">
        <v>574</v>
      </c>
      <c r="AB277" s="8"/>
      <c r="AC277" s="8"/>
      <c r="AD277" s="81" t="s">
        <v>344</v>
      </c>
      <c r="AE277" s="81" t="s">
        <v>8129</v>
      </c>
      <c r="AF277" s="81" t="s">
        <v>242</v>
      </c>
      <c r="AG277" s="81" t="s">
        <v>345</v>
      </c>
      <c r="AH277" s="81" t="s">
        <v>346</v>
      </c>
      <c r="AI277" s="81" t="s">
        <v>344</v>
      </c>
      <c r="AJ277" s="8"/>
      <c r="AK277" s="8"/>
      <c r="AL277" s="8"/>
      <c r="AM277" s="81" t="s">
        <v>243</v>
      </c>
      <c r="AN277" s="8"/>
      <c r="AO277" s="8"/>
      <c r="AP277" s="8"/>
      <c r="AQ277" s="8"/>
      <c r="AR277" s="9">
        <v>40641</v>
      </c>
      <c r="AS277" s="8" t="s">
        <v>8644</v>
      </c>
      <c r="AT277" s="8" t="s">
        <v>348</v>
      </c>
      <c r="AU277" s="9"/>
      <c r="AV277" s="81" t="s">
        <v>322</v>
      </c>
      <c r="AW277" s="81" t="s">
        <v>242</v>
      </c>
      <c r="AX277" s="8" t="s">
        <v>3061</v>
      </c>
      <c r="AY277" s="8"/>
      <c r="AZ277" s="8" t="s">
        <v>8253</v>
      </c>
      <c r="BA277" s="81" t="s">
        <v>556</v>
      </c>
      <c r="BB277" s="8"/>
      <c r="BC277" s="8"/>
      <c r="BD277" s="8"/>
      <c r="BE277" s="81" t="s">
        <v>261</v>
      </c>
      <c r="BF277" s="8" t="s">
        <v>3062</v>
      </c>
      <c r="BG277" s="9">
        <v>47115</v>
      </c>
      <c r="BH277" s="81" t="s">
        <v>305</v>
      </c>
      <c r="BI277" s="81" t="s">
        <v>1671</v>
      </c>
      <c r="BJ277" s="9">
        <v>42248</v>
      </c>
      <c r="BK277" s="9">
        <v>43131</v>
      </c>
      <c r="BL277" s="81" t="s">
        <v>2843</v>
      </c>
      <c r="BM277" s="8"/>
      <c r="BN277" s="8"/>
      <c r="BO277" s="8"/>
      <c r="BP277" s="8"/>
      <c r="BQ277" s="9"/>
      <c r="BR277" s="9"/>
      <c r="BS277" s="8"/>
      <c r="BT277" s="8"/>
      <c r="BU277" s="8"/>
      <c r="BV277" s="8"/>
      <c r="BW277" s="81" t="s">
        <v>242</v>
      </c>
      <c r="BX277" s="81" t="s">
        <v>1556</v>
      </c>
      <c r="BY277" s="9">
        <v>45870</v>
      </c>
      <c r="BZ277" s="9"/>
      <c r="CA277" s="8" t="s">
        <v>245</v>
      </c>
    </row>
    <row r="278" spans="1:79" ht="157.19999999999999" x14ac:dyDescent="0.25">
      <c r="A278" s="81" t="s">
        <v>3064</v>
      </c>
      <c r="B278" s="8"/>
      <c r="C278" s="81" t="s">
        <v>26</v>
      </c>
      <c r="D278" s="8" t="s">
        <v>8050</v>
      </c>
      <c r="E278" s="8"/>
      <c r="F278" s="9">
        <v>31218</v>
      </c>
      <c r="G278" s="8" t="s">
        <v>1698</v>
      </c>
      <c r="H278" s="81" t="s">
        <v>250</v>
      </c>
      <c r="I278" s="81" t="s">
        <v>27</v>
      </c>
      <c r="J278" s="81" t="s">
        <v>474</v>
      </c>
      <c r="K278" s="81" t="s">
        <v>488</v>
      </c>
      <c r="L278" s="81" t="s">
        <v>102</v>
      </c>
      <c r="M278" s="81" t="s">
        <v>8645</v>
      </c>
      <c r="N278" s="81" t="s">
        <v>119</v>
      </c>
      <c r="O278" s="81" t="s">
        <v>29</v>
      </c>
      <c r="P278" s="9"/>
      <c r="Q278" s="8"/>
      <c r="R278" s="8"/>
      <c r="S278" s="8"/>
      <c r="T278" s="81" t="s">
        <v>8145</v>
      </c>
      <c r="U278" s="81" t="s">
        <v>8379</v>
      </c>
      <c r="V278" s="8"/>
      <c r="W278" s="8"/>
      <c r="X278" s="8" t="s">
        <v>3066</v>
      </c>
      <c r="Y278" s="81" t="s">
        <v>33</v>
      </c>
      <c r="Z278" s="8"/>
      <c r="AA278" s="81" t="s">
        <v>506</v>
      </c>
      <c r="AB278" s="8"/>
      <c r="AC278" s="8"/>
      <c r="AD278" s="81" t="s">
        <v>655</v>
      </c>
      <c r="AE278" s="81" t="s">
        <v>8178</v>
      </c>
      <c r="AF278" s="81" t="s">
        <v>242</v>
      </c>
      <c r="AG278" s="81" t="s">
        <v>655</v>
      </c>
      <c r="AH278" s="8"/>
      <c r="AI278" s="8"/>
      <c r="AJ278" s="8"/>
      <c r="AK278" s="8"/>
      <c r="AL278" s="8"/>
      <c r="AM278" s="81" t="s">
        <v>243</v>
      </c>
      <c r="AN278" s="8"/>
      <c r="AO278" s="8"/>
      <c r="AP278" s="8"/>
      <c r="AQ278" s="8"/>
      <c r="AR278" s="9">
        <v>40536</v>
      </c>
      <c r="AS278" s="8" t="s">
        <v>8646</v>
      </c>
      <c r="AT278" s="8" t="s">
        <v>348</v>
      </c>
      <c r="AU278" s="9"/>
      <c r="AV278" s="81" t="s">
        <v>322</v>
      </c>
      <c r="AW278" s="81" t="s">
        <v>242</v>
      </c>
      <c r="AX278" s="8" t="s">
        <v>3067</v>
      </c>
      <c r="AY278" s="8"/>
      <c r="AZ278" s="8" t="s">
        <v>8647</v>
      </c>
      <c r="BA278" s="81" t="s">
        <v>399</v>
      </c>
      <c r="BB278" s="8"/>
      <c r="BC278" s="8"/>
      <c r="BD278" s="8"/>
      <c r="BE278" s="81" t="s">
        <v>261</v>
      </c>
      <c r="BF278" s="8" t="s">
        <v>3068</v>
      </c>
      <c r="BG278" s="9">
        <v>50627</v>
      </c>
      <c r="BH278" s="81" t="s">
        <v>81</v>
      </c>
      <c r="BI278" s="81" t="s">
        <v>3070</v>
      </c>
      <c r="BJ278" s="9">
        <v>38231</v>
      </c>
      <c r="BK278" s="9">
        <v>39630</v>
      </c>
      <c r="BL278" s="81" t="s">
        <v>786</v>
      </c>
      <c r="BM278" s="81" t="s">
        <v>82</v>
      </c>
      <c r="BN278" s="8"/>
      <c r="BO278" s="8"/>
      <c r="BP278" s="8"/>
      <c r="BQ278" s="9"/>
      <c r="BR278" s="9"/>
      <c r="BS278" s="8"/>
      <c r="BT278" s="81" t="s">
        <v>3071</v>
      </c>
      <c r="BU278" s="81" t="s">
        <v>118</v>
      </c>
      <c r="BV278" s="8" t="s">
        <v>3072</v>
      </c>
      <c r="BW278" s="81" t="s">
        <v>242</v>
      </c>
      <c r="BX278" s="81" t="s">
        <v>1556</v>
      </c>
      <c r="BY278" s="9">
        <v>41334</v>
      </c>
      <c r="BZ278" s="9"/>
      <c r="CA278" s="8" t="s">
        <v>245</v>
      </c>
    </row>
    <row r="279" spans="1:79" ht="141.6" x14ac:dyDescent="0.25">
      <c r="A279" s="81" t="s">
        <v>3073</v>
      </c>
      <c r="B279" s="8"/>
      <c r="C279" s="81" t="s">
        <v>26</v>
      </c>
      <c r="D279" s="8" t="s">
        <v>8051</v>
      </c>
      <c r="E279" s="8"/>
      <c r="F279" s="9">
        <v>33585</v>
      </c>
      <c r="G279" s="8" t="s">
        <v>1392</v>
      </c>
      <c r="H279" s="81" t="s">
        <v>250</v>
      </c>
      <c r="I279" s="81" t="s">
        <v>27</v>
      </c>
      <c r="J279" s="81" t="s">
        <v>474</v>
      </c>
      <c r="K279" s="81" t="s">
        <v>1458</v>
      </c>
      <c r="L279" s="81" t="s">
        <v>102</v>
      </c>
      <c r="M279" s="81" t="s">
        <v>8648</v>
      </c>
      <c r="N279" s="81" t="s">
        <v>119</v>
      </c>
      <c r="O279" s="81" t="s">
        <v>253</v>
      </c>
      <c r="P279" s="9"/>
      <c r="Q279" s="8"/>
      <c r="R279" s="8"/>
      <c r="S279" s="8"/>
      <c r="T279" s="8"/>
      <c r="U279" s="8"/>
      <c r="V279" s="8"/>
      <c r="W279" s="8"/>
      <c r="X279" s="8" t="s">
        <v>3075</v>
      </c>
      <c r="Y279" s="81" t="s">
        <v>33</v>
      </c>
      <c r="Z279" s="8"/>
      <c r="AA279" s="81" t="s">
        <v>551</v>
      </c>
      <c r="AB279" s="8"/>
      <c r="AC279" s="8"/>
      <c r="AD279" s="81" t="s">
        <v>553</v>
      </c>
      <c r="AE279" s="81" t="s">
        <v>8194</v>
      </c>
      <c r="AF279" s="81" t="s">
        <v>492</v>
      </c>
      <c r="AG279" s="81" t="s">
        <v>553</v>
      </c>
      <c r="AH279" s="8"/>
      <c r="AI279" s="8"/>
      <c r="AJ279" s="8"/>
      <c r="AK279" s="8"/>
      <c r="AL279" s="8"/>
      <c r="AM279" s="81" t="s">
        <v>243</v>
      </c>
      <c r="AN279" s="8"/>
      <c r="AO279" s="8"/>
      <c r="AP279" s="8"/>
      <c r="AQ279" s="8"/>
      <c r="AR279" s="9">
        <v>40508</v>
      </c>
      <c r="AS279" s="8" t="s">
        <v>8649</v>
      </c>
      <c r="AT279" s="8" t="s">
        <v>348</v>
      </c>
      <c r="AU279" s="9"/>
      <c r="AV279" s="81" t="s">
        <v>322</v>
      </c>
      <c r="AW279" s="81" t="s">
        <v>492</v>
      </c>
      <c r="AX279" s="8" t="s">
        <v>3076</v>
      </c>
      <c r="AY279" s="8"/>
      <c r="AZ279" s="8" t="s">
        <v>8650</v>
      </c>
      <c r="BA279" s="81" t="s">
        <v>556</v>
      </c>
      <c r="BB279" s="8"/>
      <c r="BC279" s="8"/>
      <c r="BD279" s="8"/>
      <c r="BE279" s="81" t="s">
        <v>261</v>
      </c>
      <c r="BF279" s="8" t="s">
        <v>3077</v>
      </c>
      <c r="BG279" s="9">
        <v>50458</v>
      </c>
      <c r="BH279" s="81" t="s">
        <v>713</v>
      </c>
      <c r="BI279" s="81" t="s">
        <v>3078</v>
      </c>
      <c r="BJ279" s="9">
        <v>38961</v>
      </c>
      <c r="BK279" s="9"/>
      <c r="BL279" s="8"/>
      <c r="BM279" s="8"/>
      <c r="BN279" s="8"/>
      <c r="BO279" s="8"/>
      <c r="BP279" s="8"/>
      <c r="BQ279" s="9"/>
      <c r="BR279" s="9"/>
      <c r="BS279" s="8"/>
      <c r="BT279" s="81" t="s">
        <v>3079</v>
      </c>
      <c r="BU279" s="81" t="s">
        <v>266</v>
      </c>
      <c r="BV279" s="8" t="s">
        <v>3080</v>
      </c>
      <c r="BW279" s="81" t="s">
        <v>492</v>
      </c>
      <c r="BX279" s="81" t="s">
        <v>337</v>
      </c>
      <c r="BY279" s="9">
        <v>45663</v>
      </c>
      <c r="BZ279" s="9">
        <v>46873</v>
      </c>
      <c r="CA279" s="8" t="s">
        <v>257</v>
      </c>
    </row>
    <row r="280" spans="1:79" ht="205.2" x14ac:dyDescent="0.25">
      <c r="A280" s="81" t="s">
        <v>3081</v>
      </c>
      <c r="B280" s="8"/>
      <c r="C280" s="81" t="s">
        <v>26</v>
      </c>
      <c r="D280" s="8" t="s">
        <v>8052</v>
      </c>
      <c r="E280" s="8"/>
      <c r="F280" s="9">
        <v>26041</v>
      </c>
      <c r="G280" s="8" t="s">
        <v>2518</v>
      </c>
      <c r="H280" s="81" t="s">
        <v>250</v>
      </c>
      <c r="I280" s="81" t="s">
        <v>27</v>
      </c>
      <c r="J280" s="81" t="s">
        <v>293</v>
      </c>
      <c r="K280" s="81" t="s">
        <v>1246</v>
      </c>
      <c r="L280" s="81" t="s">
        <v>102</v>
      </c>
      <c r="M280" s="81" t="s">
        <v>8651</v>
      </c>
      <c r="N280" s="81" t="s">
        <v>119</v>
      </c>
      <c r="O280" s="81" t="s">
        <v>29</v>
      </c>
      <c r="P280" s="9"/>
      <c r="Q280" s="8"/>
      <c r="R280" s="8"/>
      <c r="S280" s="8"/>
      <c r="T280" s="8"/>
      <c r="U280" s="8"/>
      <c r="V280" s="8"/>
      <c r="W280" s="8"/>
      <c r="X280" s="8" t="s">
        <v>3082</v>
      </c>
      <c r="Y280" s="81" t="s">
        <v>33</v>
      </c>
      <c r="Z280" s="8"/>
      <c r="AA280" s="81" t="s">
        <v>3083</v>
      </c>
      <c r="AB280" s="8"/>
      <c r="AC280" s="8"/>
      <c r="AD280" s="81" t="s">
        <v>344</v>
      </c>
      <c r="AE280" s="81" t="s">
        <v>8129</v>
      </c>
      <c r="AF280" s="81" t="s">
        <v>242</v>
      </c>
      <c r="AG280" s="81" t="s">
        <v>345</v>
      </c>
      <c r="AH280" s="81" t="s">
        <v>346</v>
      </c>
      <c r="AI280" s="81" t="s">
        <v>344</v>
      </c>
      <c r="AJ280" s="8"/>
      <c r="AK280" s="8"/>
      <c r="AL280" s="8"/>
      <c r="AM280" s="81" t="s">
        <v>243</v>
      </c>
      <c r="AN280" s="8"/>
      <c r="AO280" s="8"/>
      <c r="AP280" s="8"/>
      <c r="AQ280" s="8"/>
      <c r="AR280" s="9">
        <v>40492</v>
      </c>
      <c r="AS280" s="8" t="s">
        <v>8652</v>
      </c>
      <c r="AT280" s="8" t="s">
        <v>348</v>
      </c>
      <c r="AU280" s="9"/>
      <c r="AV280" s="81" t="s">
        <v>322</v>
      </c>
      <c r="AW280" s="81" t="s">
        <v>242</v>
      </c>
      <c r="AX280" s="8" t="s">
        <v>3084</v>
      </c>
      <c r="AY280" s="8"/>
      <c r="AZ280" s="8" t="s">
        <v>8650</v>
      </c>
      <c r="BA280" s="81" t="s">
        <v>556</v>
      </c>
      <c r="BB280" s="8"/>
      <c r="BC280" s="8"/>
      <c r="BD280" s="8"/>
      <c r="BE280" s="81" t="s">
        <v>261</v>
      </c>
      <c r="BF280" s="8" t="s">
        <v>3085</v>
      </c>
      <c r="BG280" s="9">
        <v>46266</v>
      </c>
      <c r="BH280" s="81" t="s">
        <v>1705</v>
      </c>
      <c r="BI280" s="81" t="s">
        <v>2087</v>
      </c>
      <c r="BJ280" s="9" t="s">
        <v>2088</v>
      </c>
      <c r="BK280" s="9"/>
      <c r="BL280" s="8"/>
      <c r="BM280" s="8"/>
      <c r="BN280" s="8"/>
      <c r="BO280" s="8"/>
      <c r="BP280" s="8"/>
      <c r="BQ280" s="9"/>
      <c r="BR280" s="9"/>
      <c r="BS280" s="8"/>
      <c r="BT280" s="81" t="s">
        <v>3086</v>
      </c>
      <c r="BU280" s="81" t="s">
        <v>118</v>
      </c>
      <c r="BV280" s="8" t="s">
        <v>3087</v>
      </c>
      <c r="BW280" s="81" t="s">
        <v>242</v>
      </c>
      <c r="BX280" s="81" t="s">
        <v>337</v>
      </c>
      <c r="BY280" s="9">
        <v>45870</v>
      </c>
      <c r="BZ280" s="9">
        <v>47603</v>
      </c>
      <c r="CA280" s="8" t="s">
        <v>245</v>
      </c>
    </row>
    <row r="281" spans="1:79" ht="205.2" x14ac:dyDescent="0.25">
      <c r="A281" s="81" t="s">
        <v>3088</v>
      </c>
      <c r="B281" s="8"/>
      <c r="C281" s="81" t="s">
        <v>26</v>
      </c>
      <c r="D281" s="8" t="s">
        <v>8053</v>
      </c>
      <c r="E281" s="8"/>
      <c r="F281" s="9">
        <v>29307</v>
      </c>
      <c r="G281" s="8" t="s">
        <v>2621</v>
      </c>
      <c r="H281" s="81" t="s">
        <v>250</v>
      </c>
      <c r="I281" s="81" t="s">
        <v>251</v>
      </c>
      <c r="J281" s="81" t="s">
        <v>293</v>
      </c>
      <c r="K281" s="81" t="s">
        <v>1246</v>
      </c>
      <c r="L281" s="81" t="s">
        <v>102</v>
      </c>
      <c r="M281" s="81" t="s">
        <v>8653</v>
      </c>
      <c r="N281" s="81" t="s">
        <v>119</v>
      </c>
      <c r="O281" s="81" t="s">
        <v>29</v>
      </c>
      <c r="P281" s="9"/>
      <c r="Q281" s="8"/>
      <c r="R281" s="8"/>
      <c r="S281" s="8"/>
      <c r="T281" s="8"/>
      <c r="U281" s="8"/>
      <c r="V281" s="8"/>
      <c r="W281" s="8"/>
      <c r="X281" s="8" t="s">
        <v>3089</v>
      </c>
      <c r="Y281" s="81" t="s">
        <v>33</v>
      </c>
      <c r="Z281" s="8"/>
      <c r="AA281" s="81" t="s">
        <v>1248</v>
      </c>
      <c r="AB281" s="8"/>
      <c r="AC281" s="8"/>
      <c r="AD281" s="81" t="s">
        <v>344</v>
      </c>
      <c r="AE281" s="81" t="s">
        <v>8129</v>
      </c>
      <c r="AF281" s="81" t="s">
        <v>242</v>
      </c>
      <c r="AG281" s="81" t="s">
        <v>345</v>
      </c>
      <c r="AH281" s="81" t="s">
        <v>346</v>
      </c>
      <c r="AI281" s="81" t="s">
        <v>344</v>
      </c>
      <c r="AJ281" s="8"/>
      <c r="AK281" s="8"/>
      <c r="AL281" s="8"/>
      <c r="AM281" s="81" t="s">
        <v>243</v>
      </c>
      <c r="AN281" s="8"/>
      <c r="AO281" s="8"/>
      <c r="AP281" s="8"/>
      <c r="AQ281" s="8"/>
      <c r="AR281" s="9">
        <v>40492</v>
      </c>
      <c r="AS281" s="8" t="s">
        <v>8652</v>
      </c>
      <c r="AT281" s="8" t="s">
        <v>348</v>
      </c>
      <c r="AU281" s="9"/>
      <c r="AV281" s="81" t="s">
        <v>322</v>
      </c>
      <c r="AW281" s="81" t="s">
        <v>242</v>
      </c>
      <c r="AX281" s="8" t="s">
        <v>3090</v>
      </c>
      <c r="AY281" s="8"/>
      <c r="AZ281" s="8" t="s">
        <v>8650</v>
      </c>
      <c r="BA281" s="81" t="s">
        <v>556</v>
      </c>
      <c r="BB281" s="8"/>
      <c r="BC281" s="8"/>
      <c r="BD281" s="8"/>
      <c r="BE281" s="81" t="s">
        <v>261</v>
      </c>
      <c r="BF281" s="8" t="s">
        <v>3091</v>
      </c>
      <c r="BG281" s="9">
        <v>48838</v>
      </c>
      <c r="BH281" s="81" t="s">
        <v>1705</v>
      </c>
      <c r="BI281" s="81" t="s">
        <v>2087</v>
      </c>
      <c r="BJ281" s="9" t="s">
        <v>2088</v>
      </c>
      <c r="BK281" s="9"/>
      <c r="BL281" s="8"/>
      <c r="BM281" s="8"/>
      <c r="BN281" s="8"/>
      <c r="BO281" s="8"/>
      <c r="BP281" s="8"/>
      <c r="BQ281" s="9"/>
      <c r="BR281" s="9"/>
      <c r="BS281" s="8"/>
      <c r="BT281" s="8"/>
      <c r="BU281" s="8"/>
      <c r="BV281" s="8"/>
      <c r="BW281" s="81" t="s">
        <v>242</v>
      </c>
      <c r="BX281" s="81" t="s">
        <v>337</v>
      </c>
      <c r="BY281" s="9">
        <v>45870</v>
      </c>
      <c r="BZ281" s="9">
        <v>47603</v>
      </c>
      <c r="CA281" s="8" t="s">
        <v>245</v>
      </c>
    </row>
    <row r="282" spans="1:79" ht="141.6" x14ac:dyDescent="0.25">
      <c r="A282" s="81" t="s">
        <v>3093</v>
      </c>
      <c r="B282" s="8"/>
      <c r="C282" s="81" t="s">
        <v>26</v>
      </c>
      <c r="D282" s="8" t="s">
        <v>8054</v>
      </c>
      <c r="E282" s="8"/>
      <c r="F282" s="9">
        <v>33147</v>
      </c>
      <c r="G282" s="8" t="s">
        <v>292</v>
      </c>
      <c r="H282" s="81" t="s">
        <v>250</v>
      </c>
      <c r="I282" s="81" t="s">
        <v>27</v>
      </c>
      <c r="J282" s="81" t="s">
        <v>293</v>
      </c>
      <c r="K282" s="81" t="s">
        <v>294</v>
      </c>
      <c r="L282" s="81" t="s">
        <v>102</v>
      </c>
      <c r="M282" s="81" t="s">
        <v>8654</v>
      </c>
      <c r="N282" s="81" t="s">
        <v>28</v>
      </c>
      <c r="O282" s="81" t="s">
        <v>29</v>
      </c>
      <c r="P282" s="9"/>
      <c r="Q282" s="8"/>
      <c r="R282" s="8"/>
      <c r="S282" s="8"/>
      <c r="T282" s="8"/>
      <c r="U282" s="8"/>
      <c r="V282" s="8"/>
      <c r="W282" s="8"/>
      <c r="X282" s="8" t="s">
        <v>3094</v>
      </c>
      <c r="Y282" s="81" t="s">
        <v>33</v>
      </c>
      <c r="Z282" s="8"/>
      <c r="AA282" s="81" t="s">
        <v>3095</v>
      </c>
      <c r="AB282" s="8"/>
      <c r="AC282" s="8"/>
      <c r="AD282" s="81" t="s">
        <v>1380</v>
      </c>
      <c r="AE282" s="81" t="s">
        <v>8309</v>
      </c>
      <c r="AF282" s="81" t="s">
        <v>242</v>
      </c>
      <c r="AG282" s="81" t="s">
        <v>1380</v>
      </c>
      <c r="AH282" s="8"/>
      <c r="AI282" s="8"/>
      <c r="AJ282" s="8"/>
      <c r="AK282" s="8"/>
      <c r="AL282" s="8"/>
      <c r="AM282" s="81" t="s">
        <v>243</v>
      </c>
      <c r="AN282" s="8"/>
      <c r="AO282" s="8"/>
      <c r="AP282" s="8"/>
      <c r="AQ282" s="8"/>
      <c r="AR282" s="9">
        <v>40492</v>
      </c>
      <c r="AS282" s="8" t="s">
        <v>8652</v>
      </c>
      <c r="AT282" s="8" t="s">
        <v>348</v>
      </c>
      <c r="AU282" s="9"/>
      <c r="AV282" s="81" t="s">
        <v>322</v>
      </c>
      <c r="AW282" s="81" t="s">
        <v>242</v>
      </c>
      <c r="AX282" s="8" t="s">
        <v>3096</v>
      </c>
      <c r="AY282" s="8"/>
      <c r="AZ282" s="8" t="s">
        <v>8650</v>
      </c>
      <c r="BA282" s="81" t="s">
        <v>556</v>
      </c>
      <c r="BB282" s="8"/>
      <c r="BC282" s="8"/>
      <c r="BD282" s="8"/>
      <c r="BE282" s="81" t="s">
        <v>261</v>
      </c>
      <c r="BF282" s="8" t="s">
        <v>3097</v>
      </c>
      <c r="BG282" s="9">
        <v>50226</v>
      </c>
      <c r="BH282" s="81" t="s">
        <v>305</v>
      </c>
      <c r="BI282" s="81" t="s">
        <v>3099</v>
      </c>
      <c r="BJ282" s="9">
        <v>42064</v>
      </c>
      <c r="BK282" s="9">
        <v>43132</v>
      </c>
      <c r="BL282" s="81" t="s">
        <v>3101</v>
      </c>
      <c r="BM282" s="8"/>
      <c r="BN282" s="8"/>
      <c r="BO282" s="8"/>
      <c r="BP282" s="8"/>
      <c r="BQ282" s="9"/>
      <c r="BR282" s="9"/>
      <c r="BS282" s="8"/>
      <c r="BT282" s="81" t="s">
        <v>3102</v>
      </c>
      <c r="BU282" s="81" t="s">
        <v>266</v>
      </c>
      <c r="BV282" s="8" t="s">
        <v>3103</v>
      </c>
      <c r="BW282" s="81" t="s">
        <v>242</v>
      </c>
      <c r="BX282" s="81" t="s">
        <v>1556</v>
      </c>
      <c r="BY282" s="9">
        <v>40857</v>
      </c>
      <c r="BZ282" s="9"/>
      <c r="CA282" s="8" t="s">
        <v>61</v>
      </c>
    </row>
    <row r="283" spans="1:79" ht="157.19999999999999" x14ac:dyDescent="0.25">
      <c r="A283" s="81" t="s">
        <v>1827</v>
      </c>
      <c r="B283" s="8"/>
      <c r="C283" s="81" t="s">
        <v>26</v>
      </c>
      <c r="D283" s="8" t="s">
        <v>8055</v>
      </c>
      <c r="E283" s="8"/>
      <c r="F283" s="9">
        <v>31805</v>
      </c>
      <c r="G283" s="8" t="s">
        <v>2135</v>
      </c>
      <c r="H283" s="81" t="s">
        <v>250</v>
      </c>
      <c r="I283" s="81" t="s">
        <v>27</v>
      </c>
      <c r="J283" s="81" t="s">
        <v>474</v>
      </c>
      <c r="K283" s="81" t="s">
        <v>488</v>
      </c>
      <c r="L283" s="81" t="s">
        <v>102</v>
      </c>
      <c r="M283" s="81" t="s">
        <v>8655</v>
      </c>
      <c r="N283" s="81" t="s">
        <v>119</v>
      </c>
      <c r="O283" s="81" t="s">
        <v>29</v>
      </c>
      <c r="P283" s="9"/>
      <c r="Q283" s="8"/>
      <c r="R283" s="8"/>
      <c r="S283" s="8"/>
      <c r="T283" s="81" t="s">
        <v>8145</v>
      </c>
      <c r="U283" s="81" t="s">
        <v>8379</v>
      </c>
      <c r="V283" s="8"/>
      <c r="W283" s="8"/>
      <c r="X283" s="8" t="s">
        <v>3105</v>
      </c>
      <c r="Y283" s="81" t="s">
        <v>33</v>
      </c>
      <c r="Z283" s="8"/>
      <c r="AA283" s="81" t="s">
        <v>506</v>
      </c>
      <c r="AB283" s="8"/>
      <c r="AC283" s="8"/>
      <c r="AD283" s="81" t="s">
        <v>241</v>
      </c>
      <c r="AE283" s="81" t="s">
        <v>8114</v>
      </c>
      <c r="AF283" s="81" t="s">
        <v>242</v>
      </c>
      <c r="AG283" s="81" t="s">
        <v>241</v>
      </c>
      <c r="AH283" s="8"/>
      <c r="AI283" s="8"/>
      <c r="AJ283" s="8"/>
      <c r="AK283" s="8"/>
      <c r="AL283" s="8"/>
      <c r="AM283" s="81" t="s">
        <v>243</v>
      </c>
      <c r="AN283" s="8"/>
      <c r="AO283" s="8"/>
      <c r="AP283" s="8"/>
      <c r="AQ283" s="8"/>
      <c r="AR283" s="9">
        <v>40491</v>
      </c>
      <c r="AS283" s="8" t="s">
        <v>8652</v>
      </c>
      <c r="AT283" s="8" t="s">
        <v>348</v>
      </c>
      <c r="AU283" s="9"/>
      <c r="AV283" s="81" t="s">
        <v>322</v>
      </c>
      <c r="AW283" s="81" t="s">
        <v>242</v>
      </c>
      <c r="AX283" s="8" t="s">
        <v>3106</v>
      </c>
      <c r="AY283" s="8"/>
      <c r="AZ283" s="8" t="s">
        <v>8650</v>
      </c>
      <c r="BA283" s="81" t="s">
        <v>399</v>
      </c>
      <c r="BB283" s="8"/>
      <c r="BC283" s="8"/>
      <c r="BD283" s="8"/>
      <c r="BE283" s="81" t="s">
        <v>261</v>
      </c>
      <c r="BF283" s="8" t="s">
        <v>3107</v>
      </c>
      <c r="BG283" s="9">
        <v>49897</v>
      </c>
      <c r="BH283" s="81" t="s">
        <v>81</v>
      </c>
      <c r="BI283" s="81" t="s">
        <v>1032</v>
      </c>
      <c r="BJ283" s="9">
        <v>38961</v>
      </c>
      <c r="BK283" s="9">
        <v>40360</v>
      </c>
      <c r="BL283" s="81" t="s">
        <v>786</v>
      </c>
      <c r="BM283" s="81" t="s">
        <v>82</v>
      </c>
      <c r="BN283" s="8"/>
      <c r="BO283" s="8"/>
      <c r="BP283" s="8"/>
      <c r="BQ283" s="9"/>
      <c r="BR283" s="9"/>
      <c r="BS283" s="8"/>
      <c r="BT283" s="81" t="s">
        <v>3108</v>
      </c>
      <c r="BU283" s="81" t="s">
        <v>266</v>
      </c>
      <c r="BV283" s="8" t="s">
        <v>3109</v>
      </c>
      <c r="BW283" s="81" t="s">
        <v>242</v>
      </c>
      <c r="BX283" s="81" t="s">
        <v>1556</v>
      </c>
      <c r="BY283" s="9">
        <v>41640</v>
      </c>
      <c r="BZ283" s="9"/>
      <c r="CA283" s="8" t="s">
        <v>245</v>
      </c>
    </row>
    <row r="284" spans="1:79" ht="157.19999999999999" x14ac:dyDescent="0.25">
      <c r="A284" s="81" t="s">
        <v>3110</v>
      </c>
      <c r="B284" s="8"/>
      <c r="C284" s="81" t="s">
        <v>26</v>
      </c>
      <c r="D284" s="8" t="s">
        <v>8056</v>
      </c>
      <c r="E284" s="8"/>
      <c r="F284" s="9">
        <v>31686</v>
      </c>
      <c r="G284" s="8" t="s">
        <v>2135</v>
      </c>
      <c r="H284" s="81" t="s">
        <v>250</v>
      </c>
      <c r="I284" s="81" t="s">
        <v>27</v>
      </c>
      <c r="J284" s="81" t="s">
        <v>252</v>
      </c>
      <c r="K284" s="81" t="s">
        <v>668</v>
      </c>
      <c r="L284" s="81" t="s">
        <v>102</v>
      </c>
      <c r="M284" s="81" t="s">
        <v>8656</v>
      </c>
      <c r="N284" s="81" t="s">
        <v>119</v>
      </c>
      <c r="O284" s="81" t="s">
        <v>29</v>
      </c>
      <c r="P284" s="9"/>
      <c r="Q284" s="8"/>
      <c r="R284" s="8"/>
      <c r="S284" s="8"/>
      <c r="T284" s="81" t="s">
        <v>8247</v>
      </c>
      <c r="U284" s="81" t="s">
        <v>1837</v>
      </c>
      <c r="V284" s="8"/>
      <c r="W284" s="8"/>
      <c r="X284" s="8" t="s">
        <v>3112</v>
      </c>
      <c r="Y284" s="81" t="s">
        <v>33</v>
      </c>
      <c r="Z284" s="8"/>
      <c r="AA284" s="81" t="s">
        <v>506</v>
      </c>
      <c r="AB284" s="8"/>
      <c r="AC284" s="8"/>
      <c r="AD284" s="81" t="s">
        <v>241</v>
      </c>
      <c r="AE284" s="81" t="s">
        <v>8114</v>
      </c>
      <c r="AF284" s="81" t="s">
        <v>242</v>
      </c>
      <c r="AG284" s="81" t="s">
        <v>241</v>
      </c>
      <c r="AH284" s="8"/>
      <c r="AI284" s="8"/>
      <c r="AJ284" s="8"/>
      <c r="AK284" s="8"/>
      <c r="AL284" s="8"/>
      <c r="AM284" s="81" t="s">
        <v>243</v>
      </c>
      <c r="AN284" s="8"/>
      <c r="AO284" s="8"/>
      <c r="AP284" s="8"/>
      <c r="AQ284" s="8"/>
      <c r="AR284" s="9">
        <v>40322</v>
      </c>
      <c r="AS284" s="8" t="s">
        <v>8657</v>
      </c>
      <c r="AT284" s="8" t="s">
        <v>348</v>
      </c>
      <c r="AU284" s="9"/>
      <c r="AV284" s="81" t="s">
        <v>322</v>
      </c>
      <c r="AW284" s="81" t="s">
        <v>242</v>
      </c>
      <c r="AX284" s="8" t="s">
        <v>3113</v>
      </c>
      <c r="AY284" s="8"/>
      <c r="AZ284" s="8" t="s">
        <v>8658</v>
      </c>
      <c r="BA284" s="81" t="s">
        <v>399</v>
      </c>
      <c r="BB284" s="8"/>
      <c r="BC284" s="8"/>
      <c r="BD284" s="8"/>
      <c r="BE284" s="81" t="s">
        <v>261</v>
      </c>
      <c r="BF284" s="8" t="s">
        <v>3114</v>
      </c>
      <c r="BG284" s="9">
        <v>50505</v>
      </c>
      <c r="BH284" s="81" t="s">
        <v>81</v>
      </c>
      <c r="BI284" s="81" t="s">
        <v>3116</v>
      </c>
      <c r="BJ284" s="9">
        <v>38596</v>
      </c>
      <c r="BK284" s="9">
        <v>39995</v>
      </c>
      <c r="BL284" s="81" t="s">
        <v>786</v>
      </c>
      <c r="BM284" s="81" t="s">
        <v>82</v>
      </c>
      <c r="BN284" s="8"/>
      <c r="BO284" s="8"/>
      <c r="BP284" s="8"/>
      <c r="BQ284" s="9"/>
      <c r="BR284" s="9"/>
      <c r="BS284" s="8"/>
      <c r="BT284" s="81" t="s">
        <v>3117</v>
      </c>
      <c r="BU284" s="81" t="s">
        <v>266</v>
      </c>
      <c r="BV284" s="8" t="s">
        <v>3118</v>
      </c>
      <c r="BW284" s="81" t="s">
        <v>242</v>
      </c>
      <c r="BX284" s="81" t="s">
        <v>1556</v>
      </c>
      <c r="BY284" s="9">
        <v>41640</v>
      </c>
      <c r="BZ284" s="9"/>
      <c r="CA284" s="8" t="s">
        <v>245</v>
      </c>
    </row>
    <row r="285" spans="1:79" ht="205.2" x14ac:dyDescent="0.25">
      <c r="A285" s="81" t="s">
        <v>3119</v>
      </c>
      <c r="B285" s="8"/>
      <c r="C285" s="81" t="s">
        <v>26</v>
      </c>
      <c r="D285" s="8" t="s">
        <v>8057</v>
      </c>
      <c r="E285" s="8"/>
      <c r="F285" s="9">
        <v>31192</v>
      </c>
      <c r="G285" s="8" t="s">
        <v>1698</v>
      </c>
      <c r="H285" s="81" t="s">
        <v>250</v>
      </c>
      <c r="I285" s="81" t="s">
        <v>27</v>
      </c>
      <c r="J285" s="81" t="s">
        <v>270</v>
      </c>
      <c r="K285" s="81" t="s">
        <v>1458</v>
      </c>
      <c r="L285" s="81" t="s">
        <v>102</v>
      </c>
      <c r="M285" s="81" t="s">
        <v>8659</v>
      </c>
      <c r="N285" s="81" t="s">
        <v>119</v>
      </c>
      <c r="O285" s="81" t="s">
        <v>29</v>
      </c>
      <c r="P285" s="9"/>
      <c r="Q285" s="8"/>
      <c r="R285" s="8"/>
      <c r="S285" s="8"/>
      <c r="T285" s="8"/>
      <c r="U285" s="8"/>
      <c r="V285" s="8"/>
      <c r="W285" s="8"/>
      <c r="X285" s="8" t="s">
        <v>3121</v>
      </c>
      <c r="Y285" s="81" t="s">
        <v>33</v>
      </c>
      <c r="Z285" s="8"/>
      <c r="AA285" s="81" t="s">
        <v>3122</v>
      </c>
      <c r="AB285" s="8"/>
      <c r="AC285" s="8"/>
      <c r="AD285" s="81" t="s">
        <v>344</v>
      </c>
      <c r="AE285" s="81" t="s">
        <v>8129</v>
      </c>
      <c r="AF285" s="81" t="s">
        <v>242</v>
      </c>
      <c r="AG285" s="81" t="s">
        <v>345</v>
      </c>
      <c r="AH285" s="81" t="s">
        <v>346</v>
      </c>
      <c r="AI285" s="81" t="s">
        <v>344</v>
      </c>
      <c r="AJ285" s="8"/>
      <c r="AK285" s="8"/>
      <c r="AL285" s="8"/>
      <c r="AM285" s="81" t="s">
        <v>243</v>
      </c>
      <c r="AN285" s="8"/>
      <c r="AO285" s="8"/>
      <c r="AP285" s="8"/>
      <c r="AQ285" s="8"/>
      <c r="AR285" s="9">
        <v>40302</v>
      </c>
      <c r="AS285" s="8" t="s">
        <v>8660</v>
      </c>
      <c r="AT285" s="8" t="s">
        <v>348</v>
      </c>
      <c r="AU285" s="9"/>
      <c r="AV285" s="81" t="s">
        <v>322</v>
      </c>
      <c r="AW285" s="81" t="s">
        <v>242</v>
      </c>
      <c r="AX285" s="8" t="s">
        <v>3123</v>
      </c>
      <c r="AY285" s="8"/>
      <c r="AZ285" s="8" t="s">
        <v>8661</v>
      </c>
      <c r="BA285" s="81" t="s">
        <v>556</v>
      </c>
      <c r="BB285" s="8"/>
      <c r="BC285" s="8"/>
      <c r="BD285" s="8"/>
      <c r="BE285" s="81" t="s">
        <v>261</v>
      </c>
      <c r="BF285" s="8" t="s">
        <v>3124</v>
      </c>
      <c r="BG285" s="9">
        <v>49770</v>
      </c>
      <c r="BH285" s="81" t="s">
        <v>1705</v>
      </c>
      <c r="BI285" s="81" t="s">
        <v>2087</v>
      </c>
      <c r="BJ285" s="9" t="s">
        <v>2088</v>
      </c>
      <c r="BK285" s="9"/>
      <c r="BL285" s="8"/>
      <c r="BM285" s="8"/>
      <c r="BN285" s="8"/>
      <c r="BO285" s="8"/>
      <c r="BP285" s="8"/>
      <c r="BQ285" s="9"/>
      <c r="BR285" s="9"/>
      <c r="BS285" s="8"/>
      <c r="BT285" s="81" t="s">
        <v>3126</v>
      </c>
      <c r="BU285" s="81" t="s">
        <v>118</v>
      </c>
      <c r="BV285" s="8" t="s">
        <v>3127</v>
      </c>
      <c r="BW285" s="81" t="s">
        <v>242</v>
      </c>
      <c r="BX285" s="81" t="s">
        <v>337</v>
      </c>
      <c r="BY285" s="9">
        <v>45870</v>
      </c>
      <c r="BZ285" s="9">
        <v>47603</v>
      </c>
      <c r="CA285" s="8" t="s">
        <v>245</v>
      </c>
    </row>
    <row r="286" spans="1:79" ht="157.80000000000001" x14ac:dyDescent="0.25">
      <c r="A286" s="81" t="s">
        <v>3128</v>
      </c>
      <c r="B286" s="8"/>
      <c r="C286" s="81" t="s">
        <v>26</v>
      </c>
      <c r="D286" s="8" t="s">
        <v>8058</v>
      </c>
      <c r="E286" s="8"/>
      <c r="F286" s="9">
        <v>25904</v>
      </c>
      <c r="G286" s="8" t="s">
        <v>3129</v>
      </c>
      <c r="H286" s="81" t="s">
        <v>250</v>
      </c>
      <c r="I286" s="81" t="s">
        <v>27</v>
      </c>
      <c r="J286" s="81" t="s">
        <v>293</v>
      </c>
      <c r="K286" s="81" t="s">
        <v>1246</v>
      </c>
      <c r="L286" s="81" t="s">
        <v>102</v>
      </c>
      <c r="M286" s="81" t="s">
        <v>8662</v>
      </c>
      <c r="N286" s="81" t="s">
        <v>119</v>
      </c>
      <c r="O286" s="81" t="s">
        <v>29</v>
      </c>
      <c r="P286" s="9"/>
      <c r="Q286" s="8"/>
      <c r="R286" s="8"/>
      <c r="S286" s="8"/>
      <c r="T286" s="8"/>
      <c r="U286" s="8"/>
      <c r="V286" s="8"/>
      <c r="W286" s="8"/>
      <c r="X286" s="8" t="s">
        <v>3130</v>
      </c>
      <c r="Y286" s="81" t="s">
        <v>33</v>
      </c>
      <c r="Z286" s="8"/>
      <c r="AA286" s="81" t="s">
        <v>2556</v>
      </c>
      <c r="AB286" s="8"/>
      <c r="AC286" s="8"/>
      <c r="AD286" s="81" t="s">
        <v>2557</v>
      </c>
      <c r="AE286" s="81" t="s">
        <v>8549</v>
      </c>
      <c r="AF286" s="81" t="s">
        <v>242</v>
      </c>
      <c r="AG286" s="81" t="s">
        <v>298</v>
      </c>
      <c r="AH286" s="81" t="s">
        <v>2557</v>
      </c>
      <c r="AI286" s="8"/>
      <c r="AJ286" s="8"/>
      <c r="AK286" s="8"/>
      <c r="AL286" s="8"/>
      <c r="AM286" s="81" t="s">
        <v>243</v>
      </c>
      <c r="AN286" s="8"/>
      <c r="AO286" s="8"/>
      <c r="AP286" s="8"/>
      <c r="AQ286" s="8"/>
      <c r="AR286" s="9">
        <v>40238</v>
      </c>
      <c r="AS286" s="8" t="s">
        <v>8663</v>
      </c>
      <c r="AT286" s="8" t="s">
        <v>348</v>
      </c>
      <c r="AU286" s="9"/>
      <c r="AV286" s="81" t="s">
        <v>322</v>
      </c>
      <c r="AW286" s="81" t="s">
        <v>242</v>
      </c>
      <c r="AX286" s="8" t="s">
        <v>3132</v>
      </c>
      <c r="AY286" s="8"/>
      <c r="AZ286" s="8" t="s">
        <v>8664</v>
      </c>
      <c r="BA286" s="81" t="s">
        <v>361</v>
      </c>
      <c r="BB286" s="8"/>
      <c r="BC286" s="8"/>
      <c r="BD286" s="8"/>
      <c r="BE286" s="81" t="s">
        <v>261</v>
      </c>
      <c r="BF286" s="8" t="s">
        <v>3133</v>
      </c>
      <c r="BG286" s="9">
        <v>46294</v>
      </c>
      <c r="BH286" s="81" t="s">
        <v>1705</v>
      </c>
      <c r="BI286" s="81" t="s">
        <v>2087</v>
      </c>
      <c r="BJ286" s="9" t="s">
        <v>2088</v>
      </c>
      <c r="BK286" s="9"/>
      <c r="BL286" s="8"/>
      <c r="BM286" s="8"/>
      <c r="BN286" s="8"/>
      <c r="BO286" s="8"/>
      <c r="BP286" s="8"/>
      <c r="BQ286" s="9"/>
      <c r="BR286" s="9"/>
      <c r="BS286" s="8"/>
      <c r="BT286" s="81" t="s">
        <v>3135</v>
      </c>
      <c r="BU286" s="81" t="s">
        <v>118</v>
      </c>
      <c r="BV286" s="8" t="s">
        <v>3136</v>
      </c>
      <c r="BW286" s="81" t="s">
        <v>242</v>
      </c>
      <c r="BX286" s="81" t="s">
        <v>337</v>
      </c>
      <c r="BY286" s="9">
        <v>45870</v>
      </c>
      <c r="BZ286" s="9">
        <v>47695</v>
      </c>
      <c r="CA286" s="8" t="s">
        <v>905</v>
      </c>
    </row>
    <row r="287" spans="1:79" ht="205.2" x14ac:dyDescent="0.25">
      <c r="A287" s="81" t="s">
        <v>3137</v>
      </c>
      <c r="B287" s="8"/>
      <c r="C287" s="81" t="s">
        <v>26</v>
      </c>
      <c r="D287" s="8" t="s">
        <v>8059</v>
      </c>
      <c r="E287" s="8"/>
      <c r="F287" s="9">
        <v>30327</v>
      </c>
      <c r="G287" s="8" t="s">
        <v>1245</v>
      </c>
      <c r="H287" s="81" t="s">
        <v>250</v>
      </c>
      <c r="I287" s="81" t="s">
        <v>983</v>
      </c>
      <c r="J287" s="81" t="s">
        <v>252</v>
      </c>
      <c r="K287" s="81" t="s">
        <v>1246</v>
      </c>
      <c r="L287" s="81" t="s">
        <v>102</v>
      </c>
      <c r="M287" s="81" t="s">
        <v>8665</v>
      </c>
      <c r="N287" s="81" t="s">
        <v>119</v>
      </c>
      <c r="O287" s="81" t="s">
        <v>29</v>
      </c>
      <c r="P287" s="9"/>
      <c r="Q287" s="8"/>
      <c r="R287" s="8"/>
      <c r="S287" s="8"/>
      <c r="T287" s="8"/>
      <c r="U287" s="8"/>
      <c r="V287" s="8"/>
      <c r="W287" s="8"/>
      <c r="X287" s="8" t="s">
        <v>3138</v>
      </c>
      <c r="Y287" s="81" t="s">
        <v>33</v>
      </c>
      <c r="Z287" s="8"/>
      <c r="AA287" s="81" t="s">
        <v>1248</v>
      </c>
      <c r="AB287" s="8"/>
      <c r="AC287" s="8"/>
      <c r="AD287" s="81" t="s">
        <v>344</v>
      </c>
      <c r="AE287" s="81" t="s">
        <v>8129</v>
      </c>
      <c r="AF287" s="81" t="s">
        <v>242</v>
      </c>
      <c r="AG287" s="81" t="s">
        <v>345</v>
      </c>
      <c r="AH287" s="81" t="s">
        <v>346</v>
      </c>
      <c r="AI287" s="81" t="s">
        <v>344</v>
      </c>
      <c r="AJ287" s="8"/>
      <c r="AK287" s="8"/>
      <c r="AL287" s="8"/>
      <c r="AM287" s="81" t="s">
        <v>243</v>
      </c>
      <c r="AN287" s="8"/>
      <c r="AO287" s="8"/>
      <c r="AP287" s="8"/>
      <c r="AQ287" s="8"/>
      <c r="AR287" s="9">
        <v>40203</v>
      </c>
      <c r="AS287" s="8" t="s">
        <v>8666</v>
      </c>
      <c r="AT287" s="8" t="s">
        <v>348</v>
      </c>
      <c r="AU287" s="9"/>
      <c r="AV287" s="81" t="s">
        <v>322</v>
      </c>
      <c r="AW287" s="81" t="s">
        <v>242</v>
      </c>
      <c r="AX287" s="8" t="s">
        <v>3140</v>
      </c>
      <c r="AY287" s="8"/>
      <c r="AZ287" s="8" t="s">
        <v>8454</v>
      </c>
      <c r="BA287" s="81" t="s">
        <v>556</v>
      </c>
      <c r="BB287" s="8"/>
      <c r="BC287" s="8"/>
      <c r="BD287" s="8"/>
      <c r="BE287" s="81" t="s">
        <v>261</v>
      </c>
      <c r="BF287" s="8" t="s">
        <v>3141</v>
      </c>
      <c r="BG287" s="9">
        <v>50249</v>
      </c>
      <c r="BH287" s="81" t="s">
        <v>1252</v>
      </c>
      <c r="BI287" s="81" t="s">
        <v>2087</v>
      </c>
      <c r="BJ287" s="9" t="s">
        <v>2088</v>
      </c>
      <c r="BK287" s="9"/>
      <c r="BL287" s="8"/>
      <c r="BM287" s="8"/>
      <c r="BN287" s="8"/>
      <c r="BO287" s="8"/>
      <c r="BP287" s="8"/>
      <c r="BQ287" s="9"/>
      <c r="BR287" s="9"/>
      <c r="BS287" s="8"/>
      <c r="BT287" s="81" t="s">
        <v>3143</v>
      </c>
      <c r="BU287" s="81" t="s">
        <v>118</v>
      </c>
      <c r="BV287" s="8" t="s">
        <v>3144</v>
      </c>
      <c r="BW287" s="81" t="s">
        <v>242</v>
      </c>
      <c r="BX287" s="81" t="s">
        <v>337</v>
      </c>
      <c r="BY287" s="9">
        <v>45870</v>
      </c>
      <c r="BZ287" s="9">
        <v>47603</v>
      </c>
      <c r="CA287" s="8" t="s">
        <v>245</v>
      </c>
    </row>
    <row r="288" spans="1:79" ht="157.80000000000001" x14ac:dyDescent="0.25">
      <c r="A288" s="81" t="s">
        <v>3145</v>
      </c>
      <c r="B288" s="8"/>
      <c r="C288" s="81" t="s">
        <v>26</v>
      </c>
      <c r="D288" s="8" t="s">
        <v>8060</v>
      </c>
      <c r="E288" s="8"/>
      <c r="F288" s="9">
        <v>30098</v>
      </c>
      <c r="G288" s="8" t="s">
        <v>1245</v>
      </c>
      <c r="H288" s="81" t="s">
        <v>250</v>
      </c>
      <c r="I288" s="81" t="s">
        <v>27</v>
      </c>
      <c r="J288" s="81" t="s">
        <v>293</v>
      </c>
      <c r="K288" s="81" t="s">
        <v>1246</v>
      </c>
      <c r="L288" s="81" t="s">
        <v>102</v>
      </c>
      <c r="M288" s="81" t="s">
        <v>8667</v>
      </c>
      <c r="N288" s="81" t="s">
        <v>119</v>
      </c>
      <c r="O288" s="81" t="s">
        <v>29</v>
      </c>
      <c r="P288" s="9"/>
      <c r="Q288" s="8"/>
      <c r="R288" s="8"/>
      <c r="S288" s="8"/>
      <c r="T288" s="8"/>
      <c r="U288" s="8"/>
      <c r="V288" s="8"/>
      <c r="W288" s="8"/>
      <c r="X288" s="8" t="s">
        <v>3146</v>
      </c>
      <c r="Y288" s="81" t="s">
        <v>33</v>
      </c>
      <c r="Z288" s="8"/>
      <c r="AA288" s="81" t="s">
        <v>296</v>
      </c>
      <c r="AB288" s="8"/>
      <c r="AC288" s="8"/>
      <c r="AD288" s="81" t="s">
        <v>297</v>
      </c>
      <c r="AE288" s="81" t="s">
        <v>8123</v>
      </c>
      <c r="AF288" s="81" t="s">
        <v>242</v>
      </c>
      <c r="AG288" s="81" t="s">
        <v>298</v>
      </c>
      <c r="AH288" s="81" t="s">
        <v>297</v>
      </c>
      <c r="AI288" s="8"/>
      <c r="AJ288" s="8"/>
      <c r="AK288" s="8"/>
      <c r="AL288" s="8"/>
      <c r="AM288" s="81" t="s">
        <v>243</v>
      </c>
      <c r="AN288" s="8"/>
      <c r="AO288" s="8"/>
      <c r="AP288" s="8"/>
      <c r="AQ288" s="8"/>
      <c r="AR288" s="9">
        <v>40203</v>
      </c>
      <c r="AS288" s="8" t="s">
        <v>8666</v>
      </c>
      <c r="AT288" s="8" t="s">
        <v>348</v>
      </c>
      <c r="AU288" s="9"/>
      <c r="AV288" s="81" t="s">
        <v>322</v>
      </c>
      <c r="AW288" s="81" t="s">
        <v>242</v>
      </c>
      <c r="AX288" s="8" t="s">
        <v>3147</v>
      </c>
      <c r="AY288" s="8"/>
      <c r="AZ288" s="8" t="s">
        <v>8668</v>
      </c>
      <c r="BA288" s="81" t="s">
        <v>361</v>
      </c>
      <c r="BB288" s="8"/>
      <c r="BC288" s="8"/>
      <c r="BD288" s="8"/>
      <c r="BE288" s="81" t="s">
        <v>261</v>
      </c>
      <c r="BF288" s="8" t="s">
        <v>3148</v>
      </c>
      <c r="BG288" s="9">
        <v>50459</v>
      </c>
      <c r="BH288" s="81" t="s">
        <v>1705</v>
      </c>
      <c r="BI288" s="81" t="s">
        <v>2087</v>
      </c>
      <c r="BJ288" s="9" t="s">
        <v>2088</v>
      </c>
      <c r="BK288" s="9"/>
      <c r="BL288" s="8"/>
      <c r="BM288" s="8"/>
      <c r="BN288" s="8"/>
      <c r="BO288" s="8"/>
      <c r="BP288" s="8"/>
      <c r="BQ288" s="9"/>
      <c r="BR288" s="9"/>
      <c r="BS288" s="8"/>
      <c r="BT288" s="81" t="s">
        <v>3150</v>
      </c>
      <c r="BU288" s="81" t="s">
        <v>118</v>
      </c>
      <c r="BV288" s="8" t="s">
        <v>3151</v>
      </c>
      <c r="BW288" s="81" t="s">
        <v>242</v>
      </c>
      <c r="BX288" s="81" t="s">
        <v>337</v>
      </c>
      <c r="BY288" s="9">
        <v>40203</v>
      </c>
      <c r="BZ288" s="9">
        <v>46599</v>
      </c>
      <c r="CA288" s="8" t="s">
        <v>58</v>
      </c>
    </row>
    <row r="289" spans="1:79" ht="205.2" x14ac:dyDescent="0.25">
      <c r="A289" s="81" t="s">
        <v>3152</v>
      </c>
      <c r="B289" s="8"/>
      <c r="C289" s="81" t="s">
        <v>26</v>
      </c>
      <c r="D289" s="8" t="s">
        <v>8061</v>
      </c>
      <c r="E289" s="8"/>
      <c r="F289" s="9">
        <v>31450</v>
      </c>
      <c r="G289" s="8" t="s">
        <v>1698</v>
      </c>
      <c r="H289" s="81" t="s">
        <v>250</v>
      </c>
      <c r="I289" s="81" t="s">
        <v>27</v>
      </c>
      <c r="J289" s="81" t="s">
        <v>252</v>
      </c>
      <c r="K289" s="81" t="s">
        <v>294</v>
      </c>
      <c r="L289" s="81" t="s">
        <v>102</v>
      </c>
      <c r="M289" s="81" t="s">
        <v>8669</v>
      </c>
      <c r="N289" s="81" t="s">
        <v>28</v>
      </c>
      <c r="O289" s="81" t="s">
        <v>29</v>
      </c>
      <c r="P289" s="9"/>
      <c r="Q289" s="8"/>
      <c r="R289" s="8"/>
      <c r="S289" s="8"/>
      <c r="T289" s="8"/>
      <c r="U289" s="8"/>
      <c r="V289" s="81" t="s">
        <v>8239</v>
      </c>
      <c r="W289" s="81" t="s">
        <v>3153</v>
      </c>
      <c r="X289" s="8" t="s">
        <v>3154</v>
      </c>
      <c r="Y289" s="81" t="s">
        <v>33</v>
      </c>
      <c r="Z289" s="8"/>
      <c r="AA289" s="8" t="s">
        <v>8670</v>
      </c>
      <c r="AB289" s="8"/>
      <c r="AC289" s="8"/>
      <c r="AD289" s="81" t="s">
        <v>344</v>
      </c>
      <c r="AE289" s="81" t="s">
        <v>8129</v>
      </c>
      <c r="AF289" s="81" t="s">
        <v>242</v>
      </c>
      <c r="AG289" s="81" t="s">
        <v>345</v>
      </c>
      <c r="AH289" s="81" t="s">
        <v>346</v>
      </c>
      <c r="AI289" s="81" t="s">
        <v>344</v>
      </c>
      <c r="AJ289" s="8"/>
      <c r="AK289" s="8"/>
      <c r="AL289" s="8"/>
      <c r="AM289" s="81" t="s">
        <v>243</v>
      </c>
      <c r="AN289" s="8"/>
      <c r="AO289" s="8"/>
      <c r="AP289" s="8"/>
      <c r="AQ289" s="8"/>
      <c r="AR289" s="9">
        <v>40177</v>
      </c>
      <c r="AS289" s="8" t="s">
        <v>8671</v>
      </c>
      <c r="AT289" s="8" t="s">
        <v>348</v>
      </c>
      <c r="AU289" s="9"/>
      <c r="AV289" s="81" t="s">
        <v>322</v>
      </c>
      <c r="AW289" s="81" t="s">
        <v>242</v>
      </c>
      <c r="AX289" s="8" t="s">
        <v>3156</v>
      </c>
      <c r="AY289" s="8"/>
      <c r="AZ289" s="8" t="s">
        <v>8672</v>
      </c>
      <c r="BA289" s="81" t="s">
        <v>556</v>
      </c>
      <c r="BB289" s="8"/>
      <c r="BC289" s="8"/>
      <c r="BD289" s="8"/>
      <c r="BE289" s="81" t="s">
        <v>261</v>
      </c>
      <c r="BF289" s="8" t="s">
        <v>3157</v>
      </c>
      <c r="BG289" s="9">
        <v>49867</v>
      </c>
      <c r="BH289" s="81" t="s">
        <v>305</v>
      </c>
      <c r="BI289" s="81" t="s">
        <v>8673</v>
      </c>
      <c r="BJ289" s="9">
        <v>40787</v>
      </c>
      <c r="BK289" s="9">
        <v>41664</v>
      </c>
      <c r="BL289" s="81" t="s">
        <v>8674</v>
      </c>
      <c r="BM289" s="8"/>
      <c r="BN289" s="8"/>
      <c r="BO289" s="8"/>
      <c r="BP289" s="8"/>
      <c r="BQ289" s="9"/>
      <c r="BR289" s="9"/>
      <c r="BS289" s="8"/>
      <c r="BT289" s="81" t="s">
        <v>3160</v>
      </c>
      <c r="BU289" s="81" t="s">
        <v>118</v>
      </c>
      <c r="BV289" s="8" t="s">
        <v>3161</v>
      </c>
      <c r="BW289" s="81" t="s">
        <v>242</v>
      </c>
      <c r="BX289" s="81" t="s">
        <v>1556</v>
      </c>
      <c r="BY289" s="9">
        <v>45870</v>
      </c>
      <c r="BZ289" s="9"/>
      <c r="CA289" s="8" t="s">
        <v>245</v>
      </c>
    </row>
    <row r="290" spans="1:79" ht="205.2" x14ac:dyDescent="0.25">
      <c r="A290" s="81" t="s">
        <v>3162</v>
      </c>
      <c r="B290" s="8"/>
      <c r="C290" s="81" t="s">
        <v>26</v>
      </c>
      <c r="D290" s="8" t="s">
        <v>8062</v>
      </c>
      <c r="E290" s="8"/>
      <c r="F290" s="9">
        <v>31104</v>
      </c>
      <c r="G290" s="8" t="s">
        <v>1746</v>
      </c>
      <c r="H290" s="81" t="s">
        <v>250</v>
      </c>
      <c r="I290" s="81" t="s">
        <v>27</v>
      </c>
      <c r="J290" s="81" t="s">
        <v>293</v>
      </c>
      <c r="K290" s="81" t="s">
        <v>621</v>
      </c>
      <c r="L290" s="81" t="s">
        <v>102</v>
      </c>
      <c r="M290" s="81" t="s">
        <v>8675</v>
      </c>
      <c r="N290" s="81" t="s">
        <v>119</v>
      </c>
      <c r="O290" s="81" t="s">
        <v>29</v>
      </c>
      <c r="P290" s="9"/>
      <c r="Q290" s="8"/>
      <c r="R290" s="8"/>
      <c r="S290" s="8"/>
      <c r="T290" s="8"/>
      <c r="U290" s="8"/>
      <c r="V290" s="8"/>
      <c r="W290" s="8"/>
      <c r="X290" s="8" t="s">
        <v>3164</v>
      </c>
      <c r="Y290" s="81" t="s">
        <v>33</v>
      </c>
      <c r="Z290" s="8"/>
      <c r="AA290" s="81" t="s">
        <v>2900</v>
      </c>
      <c r="AB290" s="8"/>
      <c r="AC290" s="8"/>
      <c r="AD290" s="81" t="s">
        <v>344</v>
      </c>
      <c r="AE290" s="81" t="s">
        <v>8129</v>
      </c>
      <c r="AF290" s="81" t="s">
        <v>242</v>
      </c>
      <c r="AG290" s="81" t="s">
        <v>345</v>
      </c>
      <c r="AH290" s="81" t="s">
        <v>346</v>
      </c>
      <c r="AI290" s="81" t="s">
        <v>344</v>
      </c>
      <c r="AJ290" s="8"/>
      <c r="AK290" s="8"/>
      <c r="AL290" s="8"/>
      <c r="AM290" s="81" t="s">
        <v>243</v>
      </c>
      <c r="AN290" s="8"/>
      <c r="AO290" s="8"/>
      <c r="AP290" s="8"/>
      <c r="AQ290" s="8"/>
      <c r="AR290" s="9">
        <v>40142</v>
      </c>
      <c r="AS290" s="8" t="s">
        <v>8676</v>
      </c>
      <c r="AT290" s="8" t="s">
        <v>348</v>
      </c>
      <c r="AU290" s="9"/>
      <c r="AV290" s="81" t="s">
        <v>322</v>
      </c>
      <c r="AW290" s="81" t="s">
        <v>242</v>
      </c>
      <c r="AX290" s="8" t="s">
        <v>3165</v>
      </c>
      <c r="AY290" s="8"/>
      <c r="AZ290" s="8" t="s">
        <v>8146</v>
      </c>
      <c r="BA290" s="81" t="s">
        <v>556</v>
      </c>
      <c r="BB290" s="8"/>
      <c r="BC290" s="8"/>
      <c r="BD290" s="8"/>
      <c r="BE290" s="81" t="s">
        <v>261</v>
      </c>
      <c r="BF290" s="8" t="s">
        <v>3166</v>
      </c>
      <c r="BG290" s="9">
        <v>49931</v>
      </c>
      <c r="BH290" s="81" t="s">
        <v>713</v>
      </c>
      <c r="BI290" s="81" t="s">
        <v>3168</v>
      </c>
      <c r="BJ290" s="9">
        <v>36770</v>
      </c>
      <c r="BK290" s="9">
        <v>37803</v>
      </c>
      <c r="BL290" s="81" t="s">
        <v>945</v>
      </c>
      <c r="BM290" s="8"/>
      <c r="BN290" s="8"/>
      <c r="BO290" s="8"/>
      <c r="BP290" s="8"/>
      <c r="BQ290" s="9"/>
      <c r="BR290" s="9"/>
      <c r="BS290" s="8"/>
      <c r="BT290" s="8"/>
      <c r="BU290" s="8"/>
      <c r="BV290" s="8"/>
      <c r="BW290" s="81" t="s">
        <v>242</v>
      </c>
      <c r="BX290" s="81" t="s">
        <v>1556</v>
      </c>
      <c r="BY290" s="9">
        <v>45870</v>
      </c>
      <c r="BZ290" s="9"/>
      <c r="CA290" s="8" t="s">
        <v>245</v>
      </c>
    </row>
    <row r="291" spans="1:79" ht="157.80000000000001" x14ac:dyDescent="0.25">
      <c r="A291" s="81" t="s">
        <v>3169</v>
      </c>
      <c r="B291" s="8"/>
      <c r="C291" s="81" t="s">
        <v>352</v>
      </c>
      <c r="D291" s="8" t="s">
        <v>8063</v>
      </c>
      <c r="E291" s="8"/>
      <c r="F291" s="9">
        <v>28020</v>
      </c>
      <c r="G291" s="8" t="s">
        <v>1441</v>
      </c>
      <c r="H291" s="81" t="s">
        <v>250</v>
      </c>
      <c r="I291" s="81" t="s">
        <v>27</v>
      </c>
      <c r="J291" s="81" t="s">
        <v>252</v>
      </c>
      <c r="K291" s="81" t="s">
        <v>1246</v>
      </c>
      <c r="L291" s="81" t="s">
        <v>102</v>
      </c>
      <c r="M291" s="81" t="s">
        <v>8677</v>
      </c>
      <c r="N291" s="81" t="s">
        <v>119</v>
      </c>
      <c r="O291" s="81" t="s">
        <v>29</v>
      </c>
      <c r="P291" s="9"/>
      <c r="Q291" s="8"/>
      <c r="R291" s="8"/>
      <c r="S291" s="8"/>
      <c r="T291" s="8"/>
      <c r="U291" s="8"/>
      <c r="V291" s="8"/>
      <c r="W291" s="8"/>
      <c r="X291" s="8" t="s">
        <v>3170</v>
      </c>
      <c r="Y291" s="81" t="s">
        <v>33</v>
      </c>
      <c r="Z291" s="8"/>
      <c r="AA291" s="81" t="s">
        <v>2556</v>
      </c>
      <c r="AB291" s="8"/>
      <c r="AC291" s="8"/>
      <c r="AD291" s="81" t="s">
        <v>2557</v>
      </c>
      <c r="AE291" s="81" t="s">
        <v>8549</v>
      </c>
      <c r="AF291" s="81" t="s">
        <v>242</v>
      </c>
      <c r="AG291" s="81" t="s">
        <v>298</v>
      </c>
      <c r="AH291" s="81" t="s">
        <v>2557</v>
      </c>
      <c r="AI291" s="8"/>
      <c r="AJ291" s="8"/>
      <c r="AK291" s="8"/>
      <c r="AL291" s="8"/>
      <c r="AM291" s="81" t="s">
        <v>243</v>
      </c>
      <c r="AN291" s="8"/>
      <c r="AO291" s="8"/>
      <c r="AP291" s="8"/>
      <c r="AQ291" s="8"/>
      <c r="AR291" s="9">
        <v>40130</v>
      </c>
      <c r="AS291" s="8" t="s">
        <v>8676</v>
      </c>
      <c r="AT291" s="8" t="s">
        <v>348</v>
      </c>
      <c r="AU291" s="9"/>
      <c r="AV291" s="81" t="s">
        <v>322</v>
      </c>
      <c r="AW291" s="81" t="s">
        <v>242</v>
      </c>
      <c r="AX291" s="8" t="s">
        <v>3172</v>
      </c>
      <c r="AY291" s="8"/>
      <c r="AZ291" s="8" t="s">
        <v>8146</v>
      </c>
      <c r="BA291" s="81" t="s">
        <v>361</v>
      </c>
      <c r="BB291" s="8"/>
      <c r="BC291" s="8"/>
      <c r="BD291" s="8"/>
      <c r="BE291" s="81" t="s">
        <v>261</v>
      </c>
      <c r="BF291" s="8" t="s">
        <v>3173</v>
      </c>
      <c r="BG291" s="9">
        <v>46215</v>
      </c>
      <c r="BH291" s="81" t="s">
        <v>1705</v>
      </c>
      <c r="BI291" s="81" t="s">
        <v>2087</v>
      </c>
      <c r="BJ291" s="9" t="s">
        <v>2088</v>
      </c>
      <c r="BK291" s="9"/>
      <c r="BL291" s="8"/>
      <c r="BM291" s="8"/>
      <c r="BN291" s="8"/>
      <c r="BO291" s="8"/>
      <c r="BP291" s="8"/>
      <c r="BQ291" s="9"/>
      <c r="BR291" s="9"/>
      <c r="BS291" s="8"/>
      <c r="BT291" s="81" t="s">
        <v>3174</v>
      </c>
      <c r="BU291" s="81" t="s">
        <v>118</v>
      </c>
      <c r="BV291" s="8" t="s">
        <v>3175</v>
      </c>
      <c r="BW291" s="81" t="s">
        <v>242</v>
      </c>
      <c r="BX291" s="81" t="s">
        <v>337</v>
      </c>
      <c r="BY291" s="9">
        <v>45505</v>
      </c>
      <c r="BZ291" s="9">
        <v>46599</v>
      </c>
      <c r="CA291" s="8" t="s">
        <v>58</v>
      </c>
    </row>
    <row r="292" spans="1:79" ht="157.19999999999999" x14ac:dyDescent="0.25">
      <c r="A292" s="81" t="s">
        <v>3176</v>
      </c>
      <c r="B292" s="8"/>
      <c r="C292" s="81" t="s">
        <v>352</v>
      </c>
      <c r="D292" s="8" t="s">
        <v>8064</v>
      </c>
      <c r="E292" s="8"/>
      <c r="F292" s="9">
        <v>30881</v>
      </c>
      <c r="G292" s="8" t="s">
        <v>1746</v>
      </c>
      <c r="H292" s="81" t="s">
        <v>250</v>
      </c>
      <c r="I292" s="81" t="s">
        <v>27</v>
      </c>
      <c r="J292" s="81" t="s">
        <v>252</v>
      </c>
      <c r="K292" s="81" t="s">
        <v>668</v>
      </c>
      <c r="L292" s="81" t="s">
        <v>3177</v>
      </c>
      <c r="M292" s="81" t="s">
        <v>8678</v>
      </c>
      <c r="N292" s="81" t="s">
        <v>28</v>
      </c>
      <c r="O292" s="81" t="s">
        <v>29</v>
      </c>
      <c r="P292" s="9"/>
      <c r="Q292" s="8"/>
      <c r="R292" s="8"/>
      <c r="S292" s="8"/>
      <c r="T292" s="81" t="s">
        <v>8145</v>
      </c>
      <c r="U292" s="81" t="s">
        <v>8188</v>
      </c>
      <c r="V292" s="8"/>
      <c r="W292" s="8"/>
      <c r="X292" s="8" t="s">
        <v>3178</v>
      </c>
      <c r="Y292" s="81" t="s">
        <v>33</v>
      </c>
      <c r="Z292" s="8"/>
      <c r="AA292" s="81" t="s">
        <v>1526</v>
      </c>
      <c r="AB292" s="8"/>
      <c r="AC292" s="8"/>
      <c r="AD292" s="81" t="s">
        <v>655</v>
      </c>
      <c r="AE292" s="81" t="s">
        <v>8178</v>
      </c>
      <c r="AF292" s="81" t="s">
        <v>242</v>
      </c>
      <c r="AG292" s="81" t="s">
        <v>655</v>
      </c>
      <c r="AH292" s="8"/>
      <c r="AI292" s="8"/>
      <c r="AJ292" s="8"/>
      <c r="AK292" s="8"/>
      <c r="AL292" s="8"/>
      <c r="AM292" s="81" t="s">
        <v>243</v>
      </c>
      <c r="AN292" s="8"/>
      <c r="AO292" s="8"/>
      <c r="AP292" s="8"/>
      <c r="AQ292" s="8"/>
      <c r="AR292" s="9">
        <v>40037</v>
      </c>
      <c r="AS292" s="8" t="s">
        <v>8679</v>
      </c>
      <c r="AT292" s="8" t="s">
        <v>348</v>
      </c>
      <c r="AU292" s="9"/>
      <c r="AV292" s="81" t="s">
        <v>322</v>
      </c>
      <c r="AW292" s="81" t="s">
        <v>242</v>
      </c>
      <c r="AX292" s="8" t="s">
        <v>3180</v>
      </c>
      <c r="AY292" s="8"/>
      <c r="AZ292" s="8" t="s">
        <v>8680</v>
      </c>
      <c r="BA292" s="81" t="s">
        <v>399</v>
      </c>
      <c r="BB292" s="8"/>
      <c r="BC292" s="8"/>
      <c r="BD292" s="8"/>
      <c r="BE292" s="81" t="s">
        <v>261</v>
      </c>
      <c r="BF292" s="8" t="s">
        <v>3181</v>
      </c>
      <c r="BG292" s="9">
        <v>51071</v>
      </c>
      <c r="BH292" s="81" t="s">
        <v>81</v>
      </c>
      <c r="BI292" s="81" t="s">
        <v>1032</v>
      </c>
      <c r="BJ292" s="9">
        <v>38231</v>
      </c>
      <c r="BK292" s="9">
        <v>39630</v>
      </c>
      <c r="BL292" s="81" t="s">
        <v>1239</v>
      </c>
      <c r="BM292" s="81" t="s">
        <v>82</v>
      </c>
      <c r="BN292" s="8"/>
      <c r="BO292" s="8"/>
      <c r="BP292" s="8"/>
      <c r="BQ292" s="9"/>
      <c r="BR292" s="9"/>
      <c r="BS292" s="8"/>
      <c r="BT292" s="81" t="s">
        <v>3183</v>
      </c>
      <c r="BU292" s="81" t="s">
        <v>118</v>
      </c>
      <c r="BV292" s="8" t="s">
        <v>3184</v>
      </c>
      <c r="BW292" s="81" t="s">
        <v>242</v>
      </c>
      <c r="BX292" s="81" t="s">
        <v>1556</v>
      </c>
      <c r="BY292" s="9">
        <v>40037</v>
      </c>
      <c r="BZ292" s="9"/>
      <c r="CA292" s="8" t="s">
        <v>58</v>
      </c>
    </row>
    <row r="293" spans="1:79" ht="205.2" x14ac:dyDescent="0.25">
      <c r="A293" s="81" t="s">
        <v>3185</v>
      </c>
      <c r="B293" s="8"/>
      <c r="C293" s="81" t="s">
        <v>26</v>
      </c>
      <c r="D293" s="8" t="s">
        <v>8065</v>
      </c>
      <c r="E293" s="8"/>
      <c r="F293" s="9">
        <v>28437</v>
      </c>
      <c r="G293" s="8" t="s">
        <v>3057</v>
      </c>
      <c r="H293" s="81" t="s">
        <v>250</v>
      </c>
      <c r="I293" s="81" t="s">
        <v>27</v>
      </c>
      <c r="J293" s="81" t="s">
        <v>252</v>
      </c>
      <c r="K293" s="81" t="s">
        <v>1246</v>
      </c>
      <c r="L293" s="81" t="s">
        <v>102</v>
      </c>
      <c r="M293" s="81" t="s">
        <v>8681</v>
      </c>
      <c r="N293" s="81" t="s">
        <v>119</v>
      </c>
      <c r="O293" s="81" t="s">
        <v>29</v>
      </c>
      <c r="P293" s="9"/>
      <c r="Q293" s="8"/>
      <c r="R293" s="8"/>
      <c r="S293" s="8"/>
      <c r="T293" s="8"/>
      <c r="U293" s="8"/>
      <c r="V293" s="8"/>
      <c r="W293" s="8"/>
      <c r="X293" s="8" t="s">
        <v>3186</v>
      </c>
      <c r="Y293" s="81" t="s">
        <v>33</v>
      </c>
      <c r="Z293" s="8"/>
      <c r="AA293" s="81" t="s">
        <v>1248</v>
      </c>
      <c r="AB293" s="8"/>
      <c r="AC293" s="8"/>
      <c r="AD293" s="81" t="s">
        <v>344</v>
      </c>
      <c r="AE293" s="81" t="s">
        <v>8129</v>
      </c>
      <c r="AF293" s="81" t="s">
        <v>242</v>
      </c>
      <c r="AG293" s="81" t="s">
        <v>345</v>
      </c>
      <c r="AH293" s="81" t="s">
        <v>346</v>
      </c>
      <c r="AI293" s="81" t="s">
        <v>344</v>
      </c>
      <c r="AJ293" s="8"/>
      <c r="AK293" s="8"/>
      <c r="AL293" s="8"/>
      <c r="AM293" s="81" t="s">
        <v>243</v>
      </c>
      <c r="AN293" s="8"/>
      <c r="AO293" s="8"/>
      <c r="AP293" s="8"/>
      <c r="AQ293" s="8"/>
      <c r="AR293" s="9">
        <v>40031</v>
      </c>
      <c r="AS293" s="8" t="s">
        <v>8682</v>
      </c>
      <c r="AT293" s="8" t="s">
        <v>348</v>
      </c>
      <c r="AU293" s="9"/>
      <c r="AV293" s="81" t="s">
        <v>322</v>
      </c>
      <c r="AW293" s="81" t="s">
        <v>242</v>
      </c>
      <c r="AX293" s="8" t="s">
        <v>3187</v>
      </c>
      <c r="AY293" s="8"/>
      <c r="AZ293" s="8" t="s">
        <v>8683</v>
      </c>
      <c r="BA293" s="81" t="s">
        <v>556</v>
      </c>
      <c r="BB293" s="8"/>
      <c r="BC293" s="8"/>
      <c r="BD293" s="8"/>
      <c r="BE293" s="81" t="s">
        <v>261</v>
      </c>
      <c r="BF293" s="8" t="s">
        <v>3188</v>
      </c>
      <c r="BG293" s="9">
        <v>50740</v>
      </c>
      <c r="BH293" s="81" t="s">
        <v>713</v>
      </c>
      <c r="BI293" s="81" t="s">
        <v>3190</v>
      </c>
      <c r="BJ293" s="9">
        <v>34578</v>
      </c>
      <c r="BK293" s="9">
        <v>35612</v>
      </c>
      <c r="BL293" s="8"/>
      <c r="BM293" s="8"/>
      <c r="BN293" s="8"/>
      <c r="BO293" s="8"/>
      <c r="BP293" s="8"/>
      <c r="BQ293" s="9"/>
      <c r="BR293" s="9"/>
      <c r="BS293" s="8"/>
      <c r="BT293" s="81" t="s">
        <v>3193</v>
      </c>
      <c r="BU293" s="81" t="s">
        <v>118</v>
      </c>
      <c r="BV293" s="8" t="s">
        <v>3194</v>
      </c>
      <c r="BW293" s="81" t="s">
        <v>242</v>
      </c>
      <c r="BX293" s="81" t="s">
        <v>337</v>
      </c>
      <c r="BY293" s="9">
        <v>45870</v>
      </c>
      <c r="BZ293" s="9">
        <v>47603</v>
      </c>
      <c r="CA293" s="8" t="s">
        <v>245</v>
      </c>
    </row>
    <row r="294" spans="1:79" ht="205.2" x14ac:dyDescent="0.25">
      <c r="A294" s="81" t="s">
        <v>3195</v>
      </c>
      <c r="B294" s="8"/>
      <c r="C294" s="81" t="s">
        <v>26</v>
      </c>
      <c r="D294" s="8" t="s">
        <v>8066</v>
      </c>
      <c r="E294" s="8"/>
      <c r="F294" s="9">
        <v>31706</v>
      </c>
      <c r="G294" s="8" t="s">
        <v>2135</v>
      </c>
      <c r="H294" s="81" t="s">
        <v>250</v>
      </c>
      <c r="I294" s="81" t="s">
        <v>27</v>
      </c>
      <c r="J294" s="81" t="s">
        <v>293</v>
      </c>
      <c r="K294" s="81" t="s">
        <v>621</v>
      </c>
      <c r="L294" s="81" t="s">
        <v>102</v>
      </c>
      <c r="M294" s="81" t="s">
        <v>8675</v>
      </c>
      <c r="N294" s="81" t="s">
        <v>119</v>
      </c>
      <c r="O294" s="81" t="s">
        <v>29</v>
      </c>
      <c r="P294" s="9"/>
      <c r="Q294" s="8"/>
      <c r="R294" s="8"/>
      <c r="S294" s="8"/>
      <c r="T294" s="8"/>
      <c r="U294" s="8"/>
      <c r="V294" s="8"/>
      <c r="W294" s="8"/>
      <c r="X294" s="8" t="s">
        <v>3196</v>
      </c>
      <c r="Y294" s="81" t="s">
        <v>33</v>
      </c>
      <c r="Z294" s="8"/>
      <c r="AA294" s="81" t="s">
        <v>3122</v>
      </c>
      <c r="AB294" s="8"/>
      <c r="AC294" s="8"/>
      <c r="AD294" s="81" t="s">
        <v>344</v>
      </c>
      <c r="AE294" s="81" t="s">
        <v>8129</v>
      </c>
      <c r="AF294" s="81" t="s">
        <v>242</v>
      </c>
      <c r="AG294" s="81" t="s">
        <v>345</v>
      </c>
      <c r="AH294" s="81" t="s">
        <v>346</v>
      </c>
      <c r="AI294" s="81" t="s">
        <v>344</v>
      </c>
      <c r="AJ294" s="8"/>
      <c r="AK294" s="8"/>
      <c r="AL294" s="8"/>
      <c r="AM294" s="81" t="s">
        <v>243</v>
      </c>
      <c r="AN294" s="8"/>
      <c r="AO294" s="8"/>
      <c r="AP294" s="8"/>
      <c r="AQ294" s="8"/>
      <c r="AR294" s="9">
        <v>39995</v>
      </c>
      <c r="AS294" s="8" t="s">
        <v>8684</v>
      </c>
      <c r="AT294" s="8" t="s">
        <v>348</v>
      </c>
      <c r="AU294" s="9"/>
      <c r="AV294" s="81" t="s">
        <v>322</v>
      </c>
      <c r="AW294" s="81" t="s">
        <v>242</v>
      </c>
      <c r="AX294" s="8" t="s">
        <v>3197</v>
      </c>
      <c r="AY294" s="8"/>
      <c r="AZ294" s="8" t="s">
        <v>8685</v>
      </c>
      <c r="BA294" s="81" t="s">
        <v>556</v>
      </c>
      <c r="BB294" s="8"/>
      <c r="BC294" s="8"/>
      <c r="BD294" s="8"/>
      <c r="BE294" s="81" t="s">
        <v>261</v>
      </c>
      <c r="BF294" s="8" t="s">
        <v>3198</v>
      </c>
      <c r="BG294" s="9">
        <v>49931</v>
      </c>
      <c r="BH294" s="81" t="s">
        <v>713</v>
      </c>
      <c r="BI294" s="81" t="s">
        <v>1761</v>
      </c>
      <c r="BJ294" s="9">
        <v>37865</v>
      </c>
      <c r="BK294" s="9">
        <v>38899</v>
      </c>
      <c r="BL294" s="81" t="s">
        <v>3199</v>
      </c>
      <c r="BM294" s="8"/>
      <c r="BN294" s="8"/>
      <c r="BO294" s="8"/>
      <c r="BP294" s="8"/>
      <c r="BQ294" s="9"/>
      <c r="BR294" s="9"/>
      <c r="BS294" s="8"/>
      <c r="BT294" s="81" t="s">
        <v>3200</v>
      </c>
      <c r="BU294" s="81" t="s">
        <v>266</v>
      </c>
      <c r="BV294" s="8" t="s">
        <v>3201</v>
      </c>
      <c r="BW294" s="81" t="s">
        <v>242</v>
      </c>
      <c r="BX294" s="81" t="s">
        <v>1556</v>
      </c>
      <c r="BY294" s="9">
        <v>45870</v>
      </c>
      <c r="BZ294" s="9"/>
      <c r="CA294" s="8" t="s">
        <v>245</v>
      </c>
    </row>
    <row r="295" spans="1:79" ht="205.2" x14ac:dyDescent="0.25">
      <c r="A295" s="81" t="s">
        <v>3202</v>
      </c>
      <c r="B295" s="8"/>
      <c r="C295" s="81" t="s">
        <v>26</v>
      </c>
      <c r="D295" s="8" t="s">
        <v>8067</v>
      </c>
      <c r="E295" s="8"/>
      <c r="F295" s="9">
        <v>25972</v>
      </c>
      <c r="G295" s="8" t="s">
        <v>3129</v>
      </c>
      <c r="H295" s="81" t="s">
        <v>250</v>
      </c>
      <c r="I295" s="81" t="s">
        <v>27</v>
      </c>
      <c r="J295" s="81" t="s">
        <v>252</v>
      </c>
      <c r="K295" s="81" t="s">
        <v>294</v>
      </c>
      <c r="L295" s="81" t="s">
        <v>102</v>
      </c>
      <c r="M295" s="81" t="s">
        <v>8686</v>
      </c>
      <c r="N295" s="81" t="s">
        <v>119</v>
      </c>
      <c r="O295" s="81" t="s">
        <v>29</v>
      </c>
      <c r="P295" s="9"/>
      <c r="Q295" s="8"/>
      <c r="R295" s="8"/>
      <c r="S295" s="8"/>
      <c r="T295" s="8"/>
      <c r="U295" s="8"/>
      <c r="V295" s="8"/>
      <c r="W295" s="8"/>
      <c r="X295" s="8" t="s">
        <v>3203</v>
      </c>
      <c r="Y295" s="81" t="s">
        <v>33</v>
      </c>
      <c r="Z295" s="8"/>
      <c r="AA295" s="81" t="s">
        <v>2827</v>
      </c>
      <c r="AB295" s="8"/>
      <c r="AC295" s="8"/>
      <c r="AD295" s="81" t="s">
        <v>344</v>
      </c>
      <c r="AE295" s="81" t="s">
        <v>8129</v>
      </c>
      <c r="AF295" s="81" t="s">
        <v>242</v>
      </c>
      <c r="AG295" s="81" t="s">
        <v>345</v>
      </c>
      <c r="AH295" s="81" t="s">
        <v>346</v>
      </c>
      <c r="AI295" s="81" t="s">
        <v>344</v>
      </c>
      <c r="AJ295" s="8"/>
      <c r="AK295" s="8"/>
      <c r="AL295" s="8"/>
      <c r="AM295" s="81" t="s">
        <v>243</v>
      </c>
      <c r="AN295" s="8"/>
      <c r="AO295" s="8"/>
      <c r="AP295" s="8"/>
      <c r="AQ295" s="8"/>
      <c r="AR295" s="9">
        <v>39958</v>
      </c>
      <c r="AS295" s="8" t="s">
        <v>8687</v>
      </c>
      <c r="AT295" s="8" t="s">
        <v>348</v>
      </c>
      <c r="AU295" s="9"/>
      <c r="AV295" s="81" t="s">
        <v>322</v>
      </c>
      <c r="AW295" s="81" t="s">
        <v>242</v>
      </c>
      <c r="AX295" s="8" t="s">
        <v>3204</v>
      </c>
      <c r="AY295" s="8"/>
      <c r="AZ295" s="8" t="s">
        <v>8570</v>
      </c>
      <c r="BA295" s="81" t="s">
        <v>556</v>
      </c>
      <c r="BB295" s="8"/>
      <c r="BC295" s="8"/>
      <c r="BD295" s="8"/>
      <c r="BE295" s="81" t="s">
        <v>261</v>
      </c>
      <c r="BF295" s="8" t="s">
        <v>3205</v>
      </c>
      <c r="BG295" s="9">
        <v>48099</v>
      </c>
      <c r="BH295" s="81" t="s">
        <v>1705</v>
      </c>
      <c r="BI295" s="81" t="s">
        <v>3207</v>
      </c>
      <c r="BJ295" s="9">
        <v>30926</v>
      </c>
      <c r="BK295" s="9">
        <v>31594</v>
      </c>
      <c r="BL295" s="8"/>
      <c r="BM295" s="8"/>
      <c r="BN295" s="8"/>
      <c r="BO295" s="8"/>
      <c r="BP295" s="8"/>
      <c r="BQ295" s="9"/>
      <c r="BR295" s="9"/>
      <c r="BS295" s="8"/>
      <c r="BT295" s="8"/>
      <c r="BU295" s="8"/>
      <c r="BV295" s="8"/>
      <c r="BW295" s="81" t="s">
        <v>242</v>
      </c>
      <c r="BX295" s="81" t="s">
        <v>1556</v>
      </c>
      <c r="BY295" s="9">
        <v>45870</v>
      </c>
      <c r="BZ295" s="9"/>
      <c r="CA295" s="8" t="s">
        <v>245</v>
      </c>
    </row>
    <row r="296" spans="1:79" ht="141.6" x14ac:dyDescent="0.25">
      <c r="A296" s="81" t="s">
        <v>3209</v>
      </c>
      <c r="B296" s="8"/>
      <c r="C296" s="81" t="s">
        <v>26</v>
      </c>
      <c r="D296" s="8" t="s">
        <v>8068</v>
      </c>
      <c r="E296" s="8"/>
      <c r="F296" s="9">
        <v>28026</v>
      </c>
      <c r="G296" s="8" t="s">
        <v>1441</v>
      </c>
      <c r="H296" s="81" t="s">
        <v>250</v>
      </c>
      <c r="I296" s="81" t="s">
        <v>27</v>
      </c>
      <c r="J296" s="81" t="s">
        <v>293</v>
      </c>
      <c r="K296" s="81" t="s">
        <v>294</v>
      </c>
      <c r="L296" s="81" t="s">
        <v>102</v>
      </c>
      <c r="M296" s="81" t="s">
        <v>8688</v>
      </c>
      <c r="N296" s="81" t="s">
        <v>119</v>
      </c>
      <c r="O296" s="81" t="s">
        <v>29</v>
      </c>
      <c r="P296" s="9"/>
      <c r="Q296" s="8"/>
      <c r="R296" s="8"/>
      <c r="S296" s="8"/>
      <c r="T296" s="8"/>
      <c r="U296" s="8"/>
      <c r="V296" s="8"/>
      <c r="W296" s="8"/>
      <c r="X296" s="8" t="s">
        <v>3210</v>
      </c>
      <c r="Y296" s="81" t="s">
        <v>33</v>
      </c>
      <c r="Z296" s="8"/>
      <c r="AA296" s="81" t="s">
        <v>3211</v>
      </c>
      <c r="AB296" s="8"/>
      <c r="AC296" s="8"/>
      <c r="AD296" s="81" t="s">
        <v>553</v>
      </c>
      <c r="AE296" s="81" t="s">
        <v>8194</v>
      </c>
      <c r="AF296" s="81" t="s">
        <v>492</v>
      </c>
      <c r="AG296" s="81" t="s">
        <v>553</v>
      </c>
      <c r="AH296" s="8"/>
      <c r="AI296" s="8"/>
      <c r="AJ296" s="8"/>
      <c r="AK296" s="8"/>
      <c r="AL296" s="8"/>
      <c r="AM296" s="81" t="s">
        <v>243</v>
      </c>
      <c r="AN296" s="8"/>
      <c r="AO296" s="8"/>
      <c r="AP296" s="8"/>
      <c r="AQ296" s="8"/>
      <c r="AR296" s="9">
        <v>39944</v>
      </c>
      <c r="AS296" s="8" t="s">
        <v>8689</v>
      </c>
      <c r="AT296" s="8" t="s">
        <v>348</v>
      </c>
      <c r="AU296" s="9"/>
      <c r="AV296" s="81" t="s">
        <v>322</v>
      </c>
      <c r="AW296" s="81" t="s">
        <v>492</v>
      </c>
      <c r="AX296" s="8" t="s">
        <v>3212</v>
      </c>
      <c r="AY296" s="8"/>
      <c r="AZ296" s="8" t="s">
        <v>8570</v>
      </c>
      <c r="BA296" s="81" t="s">
        <v>556</v>
      </c>
      <c r="BB296" s="8"/>
      <c r="BC296" s="8"/>
      <c r="BD296" s="8"/>
      <c r="BE296" s="81" t="s">
        <v>261</v>
      </c>
      <c r="BF296" s="8" t="s">
        <v>3213</v>
      </c>
      <c r="BG296" s="9">
        <v>46340</v>
      </c>
      <c r="BH296" s="81" t="s">
        <v>1705</v>
      </c>
      <c r="BI296" s="81" t="s">
        <v>3215</v>
      </c>
      <c r="BJ296" s="9">
        <v>32752</v>
      </c>
      <c r="BK296" s="9">
        <v>33786</v>
      </c>
      <c r="BL296" s="8"/>
      <c r="BM296" s="8"/>
      <c r="BN296" s="8"/>
      <c r="BO296" s="8"/>
      <c r="BP296" s="8"/>
      <c r="BQ296" s="9"/>
      <c r="BR296" s="9"/>
      <c r="BS296" s="8"/>
      <c r="BT296" s="8"/>
      <c r="BU296" s="8"/>
      <c r="BV296" s="8"/>
      <c r="BW296" s="81" t="s">
        <v>492</v>
      </c>
      <c r="BX296" s="81" t="s">
        <v>1556</v>
      </c>
      <c r="BY296" s="9">
        <v>43836</v>
      </c>
      <c r="BZ296" s="9"/>
      <c r="CA296" s="8" t="s">
        <v>257</v>
      </c>
    </row>
    <row r="297" spans="1:79" ht="141.6" x14ac:dyDescent="0.25">
      <c r="A297" s="81" t="s">
        <v>3218</v>
      </c>
      <c r="B297" s="8"/>
      <c r="C297" s="81" t="s">
        <v>352</v>
      </c>
      <c r="D297" s="8" t="s">
        <v>8069</v>
      </c>
      <c r="E297" s="8"/>
      <c r="F297" s="9">
        <v>30175</v>
      </c>
      <c r="G297" s="8" t="s">
        <v>1245</v>
      </c>
      <c r="H297" s="81" t="s">
        <v>250</v>
      </c>
      <c r="I297" s="81" t="s">
        <v>27</v>
      </c>
      <c r="J297" s="81" t="s">
        <v>252</v>
      </c>
      <c r="K297" s="81" t="s">
        <v>415</v>
      </c>
      <c r="L297" s="81" t="s">
        <v>1653</v>
      </c>
      <c r="M297" s="81" t="s">
        <v>8690</v>
      </c>
      <c r="N297" s="81" t="s">
        <v>28</v>
      </c>
      <c r="O297" s="81" t="s">
        <v>29</v>
      </c>
      <c r="P297" s="9"/>
      <c r="Q297" s="8"/>
      <c r="R297" s="8"/>
      <c r="S297" s="8"/>
      <c r="T297" s="8"/>
      <c r="U297" s="8"/>
      <c r="V297" s="81" t="s">
        <v>8247</v>
      </c>
      <c r="W297" s="81" t="s">
        <v>3219</v>
      </c>
      <c r="X297" s="8" t="s">
        <v>3220</v>
      </c>
      <c r="Y297" s="81" t="s">
        <v>33</v>
      </c>
      <c r="Z297" s="8"/>
      <c r="AA297" s="81" t="s">
        <v>3221</v>
      </c>
      <c r="AB297" s="8"/>
      <c r="AC297" s="8"/>
      <c r="AD297" s="81" t="s">
        <v>358</v>
      </c>
      <c r="AE297" s="81" t="s">
        <v>8131</v>
      </c>
      <c r="AF297" s="81" t="s">
        <v>256</v>
      </c>
      <c r="AG297" s="81" t="s">
        <v>358</v>
      </c>
      <c r="AH297" s="8"/>
      <c r="AI297" s="8"/>
      <c r="AJ297" s="8"/>
      <c r="AK297" s="8"/>
      <c r="AL297" s="8"/>
      <c r="AM297" s="81" t="s">
        <v>243</v>
      </c>
      <c r="AN297" s="8"/>
      <c r="AO297" s="8"/>
      <c r="AP297" s="8"/>
      <c r="AQ297" s="8"/>
      <c r="AR297" s="9">
        <v>39757</v>
      </c>
      <c r="AS297" s="8" t="s">
        <v>8691</v>
      </c>
      <c r="AT297" s="8" t="s">
        <v>348</v>
      </c>
      <c r="AU297" s="9"/>
      <c r="AV297" s="81" t="s">
        <v>322</v>
      </c>
      <c r="AW297" s="81" t="s">
        <v>256</v>
      </c>
      <c r="AX297" s="8" t="s">
        <v>3222</v>
      </c>
      <c r="AY297" s="8"/>
      <c r="AZ297" s="8" t="s">
        <v>8692</v>
      </c>
      <c r="BA297" s="81" t="s">
        <v>676</v>
      </c>
      <c r="BB297" s="8"/>
      <c r="BC297" s="8"/>
      <c r="BD297" s="8"/>
      <c r="BE297" s="81" t="s">
        <v>261</v>
      </c>
      <c r="BF297" s="8" t="s">
        <v>3223</v>
      </c>
      <c r="BG297" s="9">
        <v>47020</v>
      </c>
      <c r="BH297" s="81" t="s">
        <v>81</v>
      </c>
      <c r="BI297" s="81" t="s">
        <v>327</v>
      </c>
      <c r="BJ297" s="9">
        <v>37500</v>
      </c>
      <c r="BK297" s="9">
        <v>38899</v>
      </c>
      <c r="BL297" s="81" t="s">
        <v>3225</v>
      </c>
      <c r="BM297" s="81" t="s">
        <v>82</v>
      </c>
      <c r="BN297" s="8"/>
      <c r="BO297" s="8"/>
      <c r="BP297" s="8"/>
      <c r="BQ297" s="9"/>
      <c r="BR297" s="9"/>
      <c r="BS297" s="8"/>
      <c r="BT297" s="81" t="s">
        <v>3226</v>
      </c>
      <c r="BU297" s="81" t="s">
        <v>266</v>
      </c>
      <c r="BV297" s="8" t="s">
        <v>3227</v>
      </c>
      <c r="BW297" s="81" t="s">
        <v>256</v>
      </c>
      <c r="BX297" s="81" t="s">
        <v>1556</v>
      </c>
      <c r="BY297" s="9">
        <v>43880</v>
      </c>
      <c r="BZ297" s="9"/>
      <c r="CA297" s="8" t="s">
        <v>245</v>
      </c>
    </row>
    <row r="298" spans="1:79" ht="141.6" x14ac:dyDescent="0.25">
      <c r="A298" s="81" t="s">
        <v>3229</v>
      </c>
      <c r="B298" s="8"/>
      <c r="C298" s="81" t="s">
        <v>26</v>
      </c>
      <c r="D298" s="8" t="s">
        <v>8070</v>
      </c>
      <c r="E298" s="8"/>
      <c r="F298" s="9">
        <v>30296</v>
      </c>
      <c r="G298" s="8" t="s">
        <v>1245</v>
      </c>
      <c r="H298" s="81" t="s">
        <v>250</v>
      </c>
      <c r="I298" s="81" t="s">
        <v>27</v>
      </c>
      <c r="J298" s="81" t="s">
        <v>252</v>
      </c>
      <c r="K298" s="81" t="s">
        <v>415</v>
      </c>
      <c r="L298" s="81" t="s">
        <v>102</v>
      </c>
      <c r="M298" s="81" t="s">
        <v>8693</v>
      </c>
      <c r="N298" s="81" t="s">
        <v>119</v>
      </c>
      <c r="O298" s="81" t="s">
        <v>29</v>
      </c>
      <c r="P298" s="9"/>
      <c r="Q298" s="8"/>
      <c r="R298" s="8"/>
      <c r="S298" s="8"/>
      <c r="T298" s="8"/>
      <c r="U298" s="8"/>
      <c r="V298" s="8"/>
      <c r="W298" s="8"/>
      <c r="X298" s="8" t="s">
        <v>3231</v>
      </c>
      <c r="Y298" s="81" t="s">
        <v>33</v>
      </c>
      <c r="Z298" s="8"/>
      <c r="AA298" s="81" t="s">
        <v>3232</v>
      </c>
      <c r="AB298" s="8"/>
      <c r="AC298" s="8"/>
      <c r="AD298" s="81" t="s">
        <v>1967</v>
      </c>
      <c r="AE298" s="81" t="s">
        <v>8436</v>
      </c>
      <c r="AF298" s="81" t="s">
        <v>242</v>
      </c>
      <c r="AG298" s="81" t="s">
        <v>1967</v>
      </c>
      <c r="AH298" s="8"/>
      <c r="AI298" s="8"/>
      <c r="AJ298" s="8"/>
      <c r="AK298" s="8"/>
      <c r="AL298" s="8"/>
      <c r="AM298" s="81" t="s">
        <v>243</v>
      </c>
      <c r="AN298" s="8"/>
      <c r="AO298" s="8"/>
      <c r="AP298" s="8"/>
      <c r="AQ298" s="8"/>
      <c r="AR298" s="9">
        <v>39734</v>
      </c>
      <c r="AS298" s="8" t="s">
        <v>8691</v>
      </c>
      <c r="AT298" s="8" t="s">
        <v>348</v>
      </c>
      <c r="AU298" s="9"/>
      <c r="AV298" s="81" t="s">
        <v>322</v>
      </c>
      <c r="AW298" s="81" t="s">
        <v>242</v>
      </c>
      <c r="AX298" s="8" t="s">
        <v>3233</v>
      </c>
      <c r="AY298" s="8"/>
      <c r="AZ298" s="8" t="s">
        <v>8692</v>
      </c>
      <c r="BA298" s="81" t="s">
        <v>676</v>
      </c>
      <c r="BB298" s="8"/>
      <c r="BC298" s="8"/>
      <c r="BD298" s="8"/>
      <c r="BE298" s="81" t="s">
        <v>261</v>
      </c>
      <c r="BF298" s="8" t="s">
        <v>3234</v>
      </c>
      <c r="BG298" s="9">
        <v>50492</v>
      </c>
      <c r="BH298" s="81" t="s">
        <v>81</v>
      </c>
      <c r="BI298" s="81" t="s">
        <v>83</v>
      </c>
      <c r="BJ298" s="9">
        <v>37135</v>
      </c>
      <c r="BK298" s="9">
        <v>38534</v>
      </c>
      <c r="BL298" s="81" t="s">
        <v>1986</v>
      </c>
      <c r="BM298" s="81" t="s">
        <v>82</v>
      </c>
      <c r="BN298" s="8"/>
      <c r="BO298" s="8"/>
      <c r="BP298" s="8"/>
      <c r="BQ298" s="9"/>
      <c r="BR298" s="9"/>
      <c r="BS298" s="8"/>
      <c r="BT298" s="81" t="s">
        <v>3236</v>
      </c>
      <c r="BU298" s="81" t="s">
        <v>118</v>
      </c>
      <c r="BV298" s="8" t="s">
        <v>3237</v>
      </c>
      <c r="BW298" s="81" t="s">
        <v>242</v>
      </c>
      <c r="BX298" s="81" t="s">
        <v>1556</v>
      </c>
      <c r="BY298" s="9">
        <v>41640</v>
      </c>
      <c r="BZ298" s="9"/>
      <c r="CA298" s="8" t="s">
        <v>245</v>
      </c>
    </row>
    <row r="299" spans="1:79" ht="205.2" x14ac:dyDescent="0.25">
      <c r="A299" s="81" t="s">
        <v>3238</v>
      </c>
      <c r="B299" s="8"/>
      <c r="C299" s="81" t="s">
        <v>352</v>
      </c>
      <c r="D299" s="8" t="s">
        <v>8071</v>
      </c>
      <c r="E299" s="8"/>
      <c r="F299" s="9">
        <v>29831</v>
      </c>
      <c r="G299" s="8" t="s">
        <v>2646</v>
      </c>
      <c r="H299" s="81" t="s">
        <v>250</v>
      </c>
      <c r="I299" s="81" t="s">
        <v>27</v>
      </c>
      <c r="J299" s="81" t="s">
        <v>293</v>
      </c>
      <c r="K299" s="81" t="s">
        <v>1246</v>
      </c>
      <c r="L299" s="81" t="s">
        <v>102</v>
      </c>
      <c r="M299" s="81" t="s">
        <v>8694</v>
      </c>
      <c r="N299" s="81" t="s">
        <v>119</v>
      </c>
      <c r="O299" s="81" t="s">
        <v>29</v>
      </c>
      <c r="P299" s="9"/>
      <c r="Q299" s="8"/>
      <c r="R299" s="8"/>
      <c r="S299" s="8"/>
      <c r="T299" s="8"/>
      <c r="U299" s="8"/>
      <c r="V299" s="8"/>
      <c r="W299" s="8"/>
      <c r="X299" s="8" t="s">
        <v>3239</v>
      </c>
      <c r="Y299" s="81" t="s">
        <v>33</v>
      </c>
      <c r="Z299" s="8"/>
      <c r="AA299" s="81" t="s">
        <v>1248</v>
      </c>
      <c r="AB299" s="8"/>
      <c r="AC299" s="8"/>
      <c r="AD299" s="81" t="s">
        <v>344</v>
      </c>
      <c r="AE299" s="81" t="s">
        <v>8129</v>
      </c>
      <c r="AF299" s="81" t="s">
        <v>242</v>
      </c>
      <c r="AG299" s="81" t="s">
        <v>345</v>
      </c>
      <c r="AH299" s="81" t="s">
        <v>346</v>
      </c>
      <c r="AI299" s="81" t="s">
        <v>344</v>
      </c>
      <c r="AJ299" s="8"/>
      <c r="AK299" s="8"/>
      <c r="AL299" s="8"/>
      <c r="AM299" s="81" t="s">
        <v>243</v>
      </c>
      <c r="AN299" s="8"/>
      <c r="AO299" s="8"/>
      <c r="AP299" s="8"/>
      <c r="AQ299" s="8"/>
      <c r="AR299" s="9">
        <v>39611</v>
      </c>
      <c r="AS299" s="8" t="s">
        <v>8695</v>
      </c>
      <c r="AT299" s="8" t="s">
        <v>348</v>
      </c>
      <c r="AU299" s="9"/>
      <c r="AV299" s="81" t="s">
        <v>322</v>
      </c>
      <c r="AW299" s="81" t="s">
        <v>242</v>
      </c>
      <c r="AX299" s="8" t="s">
        <v>3240</v>
      </c>
      <c r="AY299" s="8"/>
      <c r="AZ299" s="8" t="s">
        <v>8696</v>
      </c>
      <c r="BA299" s="81" t="s">
        <v>556</v>
      </c>
      <c r="BB299" s="8"/>
      <c r="BC299" s="8"/>
      <c r="BD299" s="8"/>
      <c r="BE299" s="81" t="s">
        <v>261</v>
      </c>
      <c r="BF299" s="8" t="s">
        <v>3241</v>
      </c>
      <c r="BG299" s="9">
        <v>48814</v>
      </c>
      <c r="BH299" s="81" t="s">
        <v>1705</v>
      </c>
      <c r="BI299" s="81" t="s">
        <v>2087</v>
      </c>
      <c r="BJ299" s="9" t="s">
        <v>2088</v>
      </c>
      <c r="BK299" s="9"/>
      <c r="BL299" s="8"/>
      <c r="BM299" s="8"/>
      <c r="BN299" s="8"/>
      <c r="BO299" s="8"/>
      <c r="BP299" s="8"/>
      <c r="BQ299" s="9"/>
      <c r="BR299" s="9"/>
      <c r="BS299" s="8"/>
      <c r="BT299" s="81" t="s">
        <v>3243</v>
      </c>
      <c r="BU299" s="81" t="s">
        <v>2806</v>
      </c>
      <c r="BV299" s="8" t="s">
        <v>3244</v>
      </c>
      <c r="BW299" s="81" t="s">
        <v>242</v>
      </c>
      <c r="BX299" s="81" t="s">
        <v>337</v>
      </c>
      <c r="BY299" s="9">
        <v>45870</v>
      </c>
      <c r="BZ299" s="9">
        <v>47603</v>
      </c>
      <c r="CA299" s="8" t="s">
        <v>245</v>
      </c>
    </row>
    <row r="300" spans="1:79" ht="173.4" x14ac:dyDescent="0.25">
      <c r="A300" s="81" t="s">
        <v>3245</v>
      </c>
      <c r="B300" s="8"/>
      <c r="C300" s="81" t="s">
        <v>26</v>
      </c>
      <c r="D300" s="8" t="s">
        <v>8072</v>
      </c>
      <c r="E300" s="8"/>
      <c r="F300" s="9">
        <v>27172</v>
      </c>
      <c r="G300" s="8" t="s">
        <v>2791</v>
      </c>
      <c r="H300" s="81" t="s">
        <v>250</v>
      </c>
      <c r="I300" s="81" t="s">
        <v>973</v>
      </c>
      <c r="J300" s="81" t="s">
        <v>252</v>
      </c>
      <c r="K300" s="81" t="s">
        <v>436</v>
      </c>
      <c r="L300" s="81" t="s">
        <v>1584</v>
      </c>
      <c r="M300" s="81" t="s">
        <v>8697</v>
      </c>
      <c r="N300" s="81" t="s">
        <v>119</v>
      </c>
      <c r="O300" s="81" t="s">
        <v>29</v>
      </c>
      <c r="P300" s="9"/>
      <c r="Q300" s="8"/>
      <c r="R300" s="8"/>
      <c r="S300" s="8"/>
      <c r="T300" s="8"/>
      <c r="U300" s="8"/>
      <c r="V300" s="8"/>
      <c r="W300" s="8"/>
      <c r="X300" s="8" t="s">
        <v>3247</v>
      </c>
      <c r="Y300" s="81" t="s">
        <v>33</v>
      </c>
      <c r="Z300" s="8"/>
      <c r="AA300" s="81" t="s">
        <v>1444</v>
      </c>
      <c r="AB300" s="8"/>
      <c r="AC300" s="8"/>
      <c r="AD300" s="81" t="s">
        <v>320</v>
      </c>
      <c r="AE300" s="81" t="s">
        <v>8125</v>
      </c>
      <c r="AF300" s="81" t="s">
        <v>242</v>
      </c>
      <c r="AG300" s="81" t="s">
        <v>298</v>
      </c>
      <c r="AH300" s="81" t="s">
        <v>320</v>
      </c>
      <c r="AI300" s="8"/>
      <c r="AJ300" s="8"/>
      <c r="AK300" s="8"/>
      <c r="AL300" s="8"/>
      <c r="AM300" s="81" t="s">
        <v>243</v>
      </c>
      <c r="AN300" s="8"/>
      <c r="AO300" s="8"/>
      <c r="AP300" s="8"/>
      <c r="AQ300" s="8"/>
      <c r="AR300" s="9">
        <v>39601</v>
      </c>
      <c r="AS300" s="8" t="s">
        <v>8698</v>
      </c>
      <c r="AT300" s="8" t="s">
        <v>348</v>
      </c>
      <c r="AU300" s="9"/>
      <c r="AV300" s="81" t="s">
        <v>322</v>
      </c>
      <c r="AW300" s="81" t="s">
        <v>242</v>
      </c>
      <c r="AX300" s="8" t="s">
        <v>3248</v>
      </c>
      <c r="AY300" s="8"/>
      <c r="AZ300" s="8" t="s">
        <v>8423</v>
      </c>
      <c r="BA300" s="81" t="s">
        <v>361</v>
      </c>
      <c r="BB300" s="8"/>
      <c r="BC300" s="8"/>
      <c r="BD300" s="8"/>
      <c r="BE300" s="81" t="s">
        <v>261</v>
      </c>
      <c r="BF300" s="8" t="s">
        <v>3249</v>
      </c>
      <c r="BG300" s="9">
        <v>48968</v>
      </c>
      <c r="BH300" s="81" t="s">
        <v>1252</v>
      </c>
      <c r="BI300" s="81" t="s">
        <v>3251</v>
      </c>
      <c r="BJ300" s="9">
        <v>33117</v>
      </c>
      <c r="BK300" s="9"/>
      <c r="BL300" s="8"/>
      <c r="BM300" s="8"/>
      <c r="BN300" s="8"/>
      <c r="BO300" s="8"/>
      <c r="BP300" s="8"/>
      <c r="BQ300" s="9"/>
      <c r="BR300" s="9"/>
      <c r="BS300" s="8"/>
      <c r="BT300" s="81" t="s">
        <v>3253</v>
      </c>
      <c r="BU300" s="81" t="s">
        <v>118</v>
      </c>
      <c r="BV300" s="8" t="s">
        <v>3254</v>
      </c>
      <c r="BW300" s="81" t="s">
        <v>242</v>
      </c>
      <c r="BX300" s="81" t="s">
        <v>1556</v>
      </c>
      <c r="BY300" s="9">
        <v>39753</v>
      </c>
      <c r="BZ300" s="9"/>
      <c r="CA300" s="8" t="s">
        <v>63</v>
      </c>
    </row>
    <row r="301" spans="1:79" ht="205.2" x14ac:dyDescent="0.25">
      <c r="A301" s="81" t="s">
        <v>3256</v>
      </c>
      <c r="B301" s="8"/>
      <c r="C301" s="81" t="s">
        <v>26</v>
      </c>
      <c r="D301" s="8" t="s">
        <v>8073</v>
      </c>
      <c r="E301" s="8"/>
      <c r="F301" s="9">
        <v>28277</v>
      </c>
      <c r="G301" s="8" t="s">
        <v>3057</v>
      </c>
      <c r="H301" s="81" t="s">
        <v>250</v>
      </c>
      <c r="I301" s="81" t="s">
        <v>27</v>
      </c>
      <c r="J301" s="81" t="s">
        <v>270</v>
      </c>
      <c r="K301" s="81" t="s">
        <v>808</v>
      </c>
      <c r="L301" s="81" t="s">
        <v>102</v>
      </c>
      <c r="M301" s="81" t="s">
        <v>8699</v>
      </c>
      <c r="N301" s="81" t="s">
        <v>119</v>
      </c>
      <c r="O301" s="81" t="s">
        <v>29</v>
      </c>
      <c r="P301" s="9"/>
      <c r="Q301" s="8"/>
      <c r="R301" s="8"/>
      <c r="S301" s="8"/>
      <c r="T301" s="8"/>
      <c r="U301" s="8"/>
      <c r="V301" s="8"/>
      <c r="W301" s="8"/>
      <c r="X301" s="8" t="s">
        <v>3258</v>
      </c>
      <c r="Y301" s="81" t="s">
        <v>33</v>
      </c>
      <c r="Z301" s="8"/>
      <c r="AA301" s="81" t="s">
        <v>3259</v>
      </c>
      <c r="AB301" s="8"/>
      <c r="AC301" s="8"/>
      <c r="AD301" s="81" t="s">
        <v>344</v>
      </c>
      <c r="AE301" s="81" t="s">
        <v>8129</v>
      </c>
      <c r="AF301" s="81" t="s">
        <v>242</v>
      </c>
      <c r="AG301" s="81" t="s">
        <v>345</v>
      </c>
      <c r="AH301" s="81" t="s">
        <v>346</v>
      </c>
      <c r="AI301" s="81" t="s">
        <v>344</v>
      </c>
      <c r="AJ301" s="8"/>
      <c r="AK301" s="8"/>
      <c r="AL301" s="8"/>
      <c r="AM301" s="81" t="s">
        <v>243</v>
      </c>
      <c r="AN301" s="8"/>
      <c r="AO301" s="8"/>
      <c r="AP301" s="8"/>
      <c r="AQ301" s="8"/>
      <c r="AR301" s="9">
        <v>39514</v>
      </c>
      <c r="AS301" s="8" t="s">
        <v>8700</v>
      </c>
      <c r="AT301" s="8" t="s">
        <v>348</v>
      </c>
      <c r="AU301" s="9"/>
      <c r="AV301" s="81" t="s">
        <v>322</v>
      </c>
      <c r="AW301" s="81" t="s">
        <v>242</v>
      </c>
      <c r="AX301" s="8" t="s">
        <v>3261</v>
      </c>
      <c r="AY301" s="8"/>
      <c r="AZ301" s="8" t="s">
        <v>8701</v>
      </c>
      <c r="BA301" s="81" t="s">
        <v>556</v>
      </c>
      <c r="BB301" s="8"/>
      <c r="BC301" s="8"/>
      <c r="BD301" s="8"/>
      <c r="BE301" s="81" t="s">
        <v>261</v>
      </c>
      <c r="BF301" s="8" t="s">
        <v>3262</v>
      </c>
      <c r="BG301" s="9">
        <v>46197</v>
      </c>
      <c r="BH301" s="81" t="s">
        <v>1705</v>
      </c>
      <c r="BI301" s="81" t="s">
        <v>2087</v>
      </c>
      <c r="BJ301" s="9" t="s">
        <v>2088</v>
      </c>
      <c r="BK301" s="9"/>
      <c r="BL301" s="8"/>
      <c r="BM301" s="8"/>
      <c r="BN301" s="8"/>
      <c r="BO301" s="8"/>
      <c r="BP301" s="8"/>
      <c r="BQ301" s="9"/>
      <c r="BR301" s="9"/>
      <c r="BS301" s="8"/>
      <c r="BT301" s="81" t="s">
        <v>3264</v>
      </c>
      <c r="BU301" s="81" t="s">
        <v>118</v>
      </c>
      <c r="BV301" s="8" t="s">
        <v>3265</v>
      </c>
      <c r="BW301" s="81" t="s">
        <v>242</v>
      </c>
      <c r="BX301" s="81" t="s">
        <v>337</v>
      </c>
      <c r="BY301" s="9">
        <v>45870</v>
      </c>
      <c r="BZ301" s="9">
        <v>46142</v>
      </c>
      <c r="CA301" s="8" t="s">
        <v>245</v>
      </c>
    </row>
    <row r="302" spans="1:79" ht="205.2" x14ac:dyDescent="0.25">
      <c r="A302" s="81" t="s">
        <v>1521</v>
      </c>
      <c r="B302" s="8"/>
      <c r="C302" s="81" t="s">
        <v>26</v>
      </c>
      <c r="D302" s="8" t="s">
        <v>8074</v>
      </c>
      <c r="E302" s="8"/>
      <c r="F302" s="9">
        <v>27692</v>
      </c>
      <c r="G302" s="8" t="s">
        <v>2633</v>
      </c>
      <c r="H302" s="81" t="s">
        <v>250</v>
      </c>
      <c r="I302" s="81" t="s">
        <v>27</v>
      </c>
      <c r="J302" s="81" t="s">
        <v>252</v>
      </c>
      <c r="K302" s="81" t="s">
        <v>668</v>
      </c>
      <c r="L302" s="81" t="s">
        <v>102</v>
      </c>
      <c r="M302" s="81" t="s">
        <v>8702</v>
      </c>
      <c r="N302" s="81" t="s">
        <v>119</v>
      </c>
      <c r="O302" s="81" t="s">
        <v>29</v>
      </c>
      <c r="P302" s="9"/>
      <c r="Q302" s="8"/>
      <c r="R302" s="8"/>
      <c r="S302" s="8"/>
      <c r="T302" s="8"/>
      <c r="U302" s="8"/>
      <c r="V302" s="8"/>
      <c r="W302" s="8"/>
      <c r="X302" s="8" t="s">
        <v>3267</v>
      </c>
      <c r="Y302" s="81" t="s">
        <v>33</v>
      </c>
      <c r="Z302" s="8"/>
      <c r="AA302" s="81" t="s">
        <v>3268</v>
      </c>
      <c r="AB302" s="8"/>
      <c r="AC302" s="8"/>
      <c r="AD302" s="81" t="s">
        <v>344</v>
      </c>
      <c r="AE302" s="81" t="s">
        <v>8129</v>
      </c>
      <c r="AF302" s="81" t="s">
        <v>242</v>
      </c>
      <c r="AG302" s="81" t="s">
        <v>345</v>
      </c>
      <c r="AH302" s="81" t="s">
        <v>346</v>
      </c>
      <c r="AI302" s="81" t="s">
        <v>344</v>
      </c>
      <c r="AJ302" s="8"/>
      <c r="AK302" s="8"/>
      <c r="AL302" s="8"/>
      <c r="AM302" s="81" t="s">
        <v>243</v>
      </c>
      <c r="AN302" s="8"/>
      <c r="AO302" s="8"/>
      <c r="AP302" s="8"/>
      <c r="AQ302" s="8"/>
      <c r="AR302" s="9">
        <v>39511</v>
      </c>
      <c r="AS302" s="8" t="s">
        <v>8700</v>
      </c>
      <c r="AT302" s="8" t="s">
        <v>348</v>
      </c>
      <c r="AU302" s="9"/>
      <c r="AV302" s="81" t="s">
        <v>322</v>
      </c>
      <c r="AW302" s="81" t="s">
        <v>242</v>
      </c>
      <c r="AX302" s="8" t="s">
        <v>3269</v>
      </c>
      <c r="AY302" s="8"/>
      <c r="AZ302" s="8" t="s">
        <v>8610</v>
      </c>
      <c r="BA302" s="81" t="s">
        <v>556</v>
      </c>
      <c r="BB302" s="8"/>
      <c r="BC302" s="8"/>
      <c r="BD302" s="8"/>
      <c r="BE302" s="81" t="s">
        <v>261</v>
      </c>
      <c r="BF302" s="8" t="s">
        <v>3270</v>
      </c>
      <c r="BG302" s="9">
        <v>46651</v>
      </c>
      <c r="BH302" s="81" t="s">
        <v>713</v>
      </c>
      <c r="BI302" s="81" t="s">
        <v>3272</v>
      </c>
      <c r="BJ302" s="9">
        <v>33848</v>
      </c>
      <c r="BK302" s="9">
        <v>34881</v>
      </c>
      <c r="BL302" s="81" t="s">
        <v>3273</v>
      </c>
      <c r="BM302" s="8"/>
      <c r="BN302" s="8"/>
      <c r="BO302" s="8"/>
      <c r="BP302" s="8"/>
      <c r="BQ302" s="9"/>
      <c r="BR302" s="9"/>
      <c r="BS302" s="8"/>
      <c r="BT302" s="81" t="s">
        <v>3274</v>
      </c>
      <c r="BU302" s="81" t="s">
        <v>118</v>
      </c>
      <c r="BV302" s="8" t="s">
        <v>3275</v>
      </c>
      <c r="BW302" s="81" t="s">
        <v>242</v>
      </c>
      <c r="BX302" s="81" t="s">
        <v>1556</v>
      </c>
      <c r="BY302" s="9">
        <v>45870</v>
      </c>
      <c r="BZ302" s="9"/>
      <c r="CA302" s="8" t="s">
        <v>245</v>
      </c>
    </row>
    <row r="303" spans="1:79" ht="141.6" x14ac:dyDescent="0.25">
      <c r="A303" s="81" t="s">
        <v>3276</v>
      </c>
      <c r="B303" s="8"/>
      <c r="C303" s="81" t="s">
        <v>26</v>
      </c>
      <c r="D303" s="8" t="s">
        <v>8075</v>
      </c>
      <c r="E303" s="8"/>
      <c r="F303" s="9">
        <v>28928</v>
      </c>
      <c r="G303" s="8" t="s">
        <v>1313</v>
      </c>
      <c r="H303" s="81" t="s">
        <v>250</v>
      </c>
      <c r="I303" s="81" t="s">
        <v>27</v>
      </c>
      <c r="J303" s="81" t="s">
        <v>474</v>
      </c>
      <c r="K303" s="81" t="s">
        <v>3277</v>
      </c>
      <c r="L303" s="81" t="s">
        <v>669</v>
      </c>
      <c r="M303" s="81" t="s">
        <v>8703</v>
      </c>
      <c r="N303" s="81" t="s">
        <v>119</v>
      </c>
      <c r="O303" s="81" t="s">
        <v>29</v>
      </c>
      <c r="P303" s="9"/>
      <c r="Q303" s="8"/>
      <c r="R303" s="8"/>
      <c r="S303" s="8"/>
      <c r="T303" s="8"/>
      <c r="U303" s="8"/>
      <c r="V303" s="8"/>
      <c r="W303" s="8"/>
      <c r="X303" s="8" t="s">
        <v>3279</v>
      </c>
      <c r="Y303" s="81" t="s">
        <v>33</v>
      </c>
      <c r="Z303" s="8"/>
      <c r="AA303" s="81" t="s">
        <v>997</v>
      </c>
      <c r="AB303" s="8"/>
      <c r="AC303" s="8"/>
      <c r="AD303" s="81" t="s">
        <v>376</v>
      </c>
      <c r="AE303" s="81" t="s">
        <v>8135</v>
      </c>
      <c r="AF303" s="81" t="s">
        <v>242</v>
      </c>
      <c r="AG303" s="81" t="s">
        <v>376</v>
      </c>
      <c r="AH303" s="8"/>
      <c r="AI303" s="8"/>
      <c r="AJ303" s="8"/>
      <c r="AK303" s="8"/>
      <c r="AL303" s="8"/>
      <c r="AM303" s="81" t="s">
        <v>243</v>
      </c>
      <c r="AN303" s="8"/>
      <c r="AO303" s="8"/>
      <c r="AP303" s="8"/>
      <c r="AQ303" s="8"/>
      <c r="AR303" s="9">
        <v>39441</v>
      </c>
      <c r="AS303" s="8" t="s">
        <v>8704</v>
      </c>
      <c r="AT303" s="8" t="s">
        <v>348</v>
      </c>
      <c r="AU303" s="9"/>
      <c r="AV303" s="81" t="s">
        <v>322</v>
      </c>
      <c r="AW303" s="81" t="s">
        <v>242</v>
      </c>
      <c r="AX303" s="8" t="s">
        <v>3280</v>
      </c>
      <c r="AY303" s="8"/>
      <c r="AZ303" s="8" t="s">
        <v>8705</v>
      </c>
      <c r="BA303" s="81" t="s">
        <v>361</v>
      </c>
      <c r="BB303" s="8"/>
      <c r="BC303" s="8"/>
      <c r="BD303" s="8"/>
      <c r="BE303" s="81" t="s">
        <v>261</v>
      </c>
      <c r="BF303" s="8" t="s">
        <v>3281</v>
      </c>
      <c r="BG303" s="9"/>
      <c r="BH303" s="81" t="s">
        <v>81</v>
      </c>
      <c r="BI303" s="81" t="s">
        <v>3282</v>
      </c>
      <c r="BJ303" s="9">
        <v>36770</v>
      </c>
      <c r="BK303" s="9">
        <v>38168</v>
      </c>
      <c r="BL303" s="81" t="s">
        <v>717</v>
      </c>
      <c r="BM303" s="81" t="s">
        <v>82</v>
      </c>
      <c r="BN303" s="8"/>
      <c r="BO303" s="8"/>
      <c r="BP303" s="8"/>
      <c r="BQ303" s="9"/>
      <c r="BR303" s="9"/>
      <c r="BS303" s="8"/>
      <c r="BT303" s="8"/>
      <c r="BU303" s="8"/>
      <c r="BV303" s="8"/>
      <c r="BW303" s="81" t="s">
        <v>242</v>
      </c>
      <c r="BX303" s="81" t="s">
        <v>1556</v>
      </c>
      <c r="BY303" s="9">
        <v>39539</v>
      </c>
      <c r="BZ303" s="9"/>
      <c r="CA303" s="8" t="s">
        <v>245</v>
      </c>
    </row>
    <row r="304" spans="1:79" ht="157.80000000000001" x14ac:dyDescent="0.25">
      <c r="A304" s="81" t="s">
        <v>3285</v>
      </c>
      <c r="B304" s="8"/>
      <c r="C304" s="81" t="s">
        <v>352</v>
      </c>
      <c r="D304" s="8" t="s">
        <v>8076</v>
      </c>
      <c r="E304" s="8"/>
      <c r="F304" s="9">
        <v>29567</v>
      </c>
      <c r="G304" s="8" t="s">
        <v>3048</v>
      </c>
      <c r="H304" s="81" t="s">
        <v>250</v>
      </c>
      <c r="I304" s="81" t="s">
        <v>27</v>
      </c>
      <c r="J304" s="81" t="s">
        <v>293</v>
      </c>
      <c r="K304" s="81" t="s">
        <v>1246</v>
      </c>
      <c r="L304" s="81" t="s">
        <v>102</v>
      </c>
      <c r="M304" s="81" t="s">
        <v>8706</v>
      </c>
      <c r="N304" s="81" t="s">
        <v>119</v>
      </c>
      <c r="O304" s="81" t="s">
        <v>29</v>
      </c>
      <c r="P304" s="9"/>
      <c r="Q304" s="8"/>
      <c r="R304" s="8"/>
      <c r="S304" s="8"/>
      <c r="T304" s="8"/>
      <c r="U304" s="8"/>
      <c r="V304" s="8"/>
      <c r="W304" s="8"/>
      <c r="X304" s="8" t="s">
        <v>3286</v>
      </c>
      <c r="Y304" s="81" t="s">
        <v>33</v>
      </c>
      <c r="Z304" s="8"/>
      <c r="AA304" s="81" t="s">
        <v>2556</v>
      </c>
      <c r="AB304" s="8"/>
      <c r="AC304" s="8"/>
      <c r="AD304" s="81" t="s">
        <v>2557</v>
      </c>
      <c r="AE304" s="81" t="s">
        <v>8549</v>
      </c>
      <c r="AF304" s="81" t="s">
        <v>242</v>
      </c>
      <c r="AG304" s="81" t="s">
        <v>298</v>
      </c>
      <c r="AH304" s="81" t="s">
        <v>2557</v>
      </c>
      <c r="AI304" s="8"/>
      <c r="AJ304" s="8"/>
      <c r="AK304" s="8"/>
      <c r="AL304" s="8"/>
      <c r="AM304" s="81" t="s">
        <v>243</v>
      </c>
      <c r="AN304" s="8"/>
      <c r="AO304" s="8"/>
      <c r="AP304" s="8"/>
      <c r="AQ304" s="8"/>
      <c r="AR304" s="9">
        <v>39413</v>
      </c>
      <c r="AS304" s="8" t="s">
        <v>8707</v>
      </c>
      <c r="AT304" s="8" t="s">
        <v>348</v>
      </c>
      <c r="AU304" s="9"/>
      <c r="AV304" s="81" t="s">
        <v>322</v>
      </c>
      <c r="AW304" s="81" t="s">
        <v>242</v>
      </c>
      <c r="AX304" s="8" t="s">
        <v>3287</v>
      </c>
      <c r="AY304" s="8"/>
      <c r="AZ304" s="8" t="s">
        <v>8708</v>
      </c>
      <c r="BA304" s="81" t="s">
        <v>361</v>
      </c>
      <c r="BB304" s="8"/>
      <c r="BC304" s="8"/>
      <c r="BD304" s="8"/>
      <c r="BE304" s="81" t="s">
        <v>261</v>
      </c>
      <c r="BF304" s="8" t="s">
        <v>3288</v>
      </c>
      <c r="BG304" s="9">
        <v>50417</v>
      </c>
      <c r="BH304" s="81" t="s">
        <v>3290</v>
      </c>
      <c r="BI304" s="81" t="s">
        <v>2087</v>
      </c>
      <c r="BJ304" s="9" t="s">
        <v>2088</v>
      </c>
      <c r="BK304" s="9"/>
      <c r="BL304" s="8"/>
      <c r="BM304" s="8"/>
      <c r="BN304" s="8"/>
      <c r="BO304" s="8"/>
      <c r="BP304" s="8"/>
      <c r="BQ304" s="9"/>
      <c r="BR304" s="9"/>
      <c r="BS304" s="8"/>
      <c r="BT304" s="81" t="s">
        <v>3291</v>
      </c>
      <c r="BU304" s="81" t="s">
        <v>118</v>
      </c>
      <c r="BV304" s="8" t="s">
        <v>3292</v>
      </c>
      <c r="BW304" s="81" t="s">
        <v>242</v>
      </c>
      <c r="BX304" s="81" t="s">
        <v>337</v>
      </c>
      <c r="BY304" s="9">
        <v>39946</v>
      </c>
      <c r="BZ304" s="9">
        <v>46599</v>
      </c>
      <c r="CA304" s="8" t="s">
        <v>58</v>
      </c>
    </row>
    <row r="305" spans="1:79" ht="205.2" x14ac:dyDescent="0.25">
      <c r="A305" s="81" t="s">
        <v>3294</v>
      </c>
      <c r="B305" s="8"/>
      <c r="C305" s="81" t="s">
        <v>26</v>
      </c>
      <c r="D305" s="8" t="s">
        <v>8077</v>
      </c>
      <c r="E305" s="8"/>
      <c r="F305" s="9">
        <v>27796</v>
      </c>
      <c r="G305" s="8" t="s">
        <v>2633</v>
      </c>
      <c r="H305" s="81" t="s">
        <v>250</v>
      </c>
      <c r="I305" s="81" t="s">
        <v>27</v>
      </c>
      <c r="J305" s="81" t="s">
        <v>293</v>
      </c>
      <c r="K305" s="81" t="s">
        <v>294</v>
      </c>
      <c r="L305" s="81" t="s">
        <v>102</v>
      </c>
      <c r="M305" s="81" t="s">
        <v>8709</v>
      </c>
      <c r="N305" s="81" t="s">
        <v>119</v>
      </c>
      <c r="O305" s="81" t="s">
        <v>29</v>
      </c>
      <c r="P305" s="9"/>
      <c r="Q305" s="8"/>
      <c r="R305" s="8"/>
      <c r="S305" s="8"/>
      <c r="T305" s="8"/>
      <c r="U305" s="8"/>
      <c r="V305" s="8"/>
      <c r="W305" s="8"/>
      <c r="X305" s="8" t="s">
        <v>3295</v>
      </c>
      <c r="Y305" s="81" t="s">
        <v>33</v>
      </c>
      <c r="Z305" s="8"/>
      <c r="AA305" s="81" t="s">
        <v>3296</v>
      </c>
      <c r="AB305" s="8"/>
      <c r="AC305" s="8"/>
      <c r="AD305" s="81" t="s">
        <v>344</v>
      </c>
      <c r="AE305" s="81" t="s">
        <v>8129</v>
      </c>
      <c r="AF305" s="81" t="s">
        <v>242</v>
      </c>
      <c r="AG305" s="81" t="s">
        <v>345</v>
      </c>
      <c r="AH305" s="81" t="s">
        <v>346</v>
      </c>
      <c r="AI305" s="81" t="s">
        <v>344</v>
      </c>
      <c r="AJ305" s="8"/>
      <c r="AK305" s="8"/>
      <c r="AL305" s="8"/>
      <c r="AM305" s="81" t="s">
        <v>243</v>
      </c>
      <c r="AN305" s="8"/>
      <c r="AO305" s="8"/>
      <c r="AP305" s="8"/>
      <c r="AQ305" s="8"/>
      <c r="AR305" s="9">
        <v>39360</v>
      </c>
      <c r="AS305" s="8" t="s">
        <v>8710</v>
      </c>
      <c r="AT305" s="8" t="s">
        <v>348</v>
      </c>
      <c r="AU305" s="9"/>
      <c r="AV305" s="81" t="s">
        <v>322</v>
      </c>
      <c r="AW305" s="81" t="s">
        <v>242</v>
      </c>
      <c r="AX305" s="8" t="s">
        <v>3297</v>
      </c>
      <c r="AY305" s="8"/>
      <c r="AZ305" s="8" t="s">
        <v>8711</v>
      </c>
      <c r="BA305" s="81" t="s">
        <v>556</v>
      </c>
      <c r="BB305" s="8"/>
      <c r="BC305" s="8"/>
      <c r="BD305" s="8"/>
      <c r="BE305" s="81" t="s">
        <v>261</v>
      </c>
      <c r="BF305" s="8" t="s">
        <v>3298</v>
      </c>
      <c r="BG305" s="9">
        <v>46320</v>
      </c>
      <c r="BH305" s="81" t="s">
        <v>1705</v>
      </c>
      <c r="BI305" s="81" t="s">
        <v>3300</v>
      </c>
      <c r="BJ305" s="9">
        <v>33117</v>
      </c>
      <c r="BK305" s="9">
        <v>34151</v>
      </c>
      <c r="BL305" s="8"/>
      <c r="BM305" s="8"/>
      <c r="BN305" s="8"/>
      <c r="BO305" s="8"/>
      <c r="BP305" s="8"/>
      <c r="BQ305" s="9"/>
      <c r="BR305" s="9"/>
      <c r="BS305" s="8"/>
      <c r="BT305" s="81" t="s">
        <v>3302</v>
      </c>
      <c r="BU305" s="81" t="s">
        <v>118</v>
      </c>
      <c r="BV305" s="8" t="s">
        <v>3303</v>
      </c>
      <c r="BW305" s="81" t="s">
        <v>242</v>
      </c>
      <c r="BX305" s="81" t="s">
        <v>337</v>
      </c>
      <c r="BY305" s="9">
        <v>45870</v>
      </c>
      <c r="BZ305" s="9">
        <v>47603</v>
      </c>
      <c r="CA305" s="8" t="s">
        <v>245</v>
      </c>
    </row>
    <row r="306" spans="1:79" ht="205.2" x14ac:dyDescent="0.25">
      <c r="A306" s="81" t="s">
        <v>3304</v>
      </c>
      <c r="B306" s="8"/>
      <c r="C306" s="81" t="s">
        <v>26</v>
      </c>
      <c r="D306" s="8" t="s">
        <v>8078</v>
      </c>
      <c r="E306" s="8"/>
      <c r="F306" s="9">
        <v>30302</v>
      </c>
      <c r="G306" s="8" t="s">
        <v>1245</v>
      </c>
      <c r="H306" s="81" t="s">
        <v>250</v>
      </c>
      <c r="I306" s="81" t="s">
        <v>27</v>
      </c>
      <c r="J306" s="81" t="s">
        <v>293</v>
      </c>
      <c r="K306" s="81" t="s">
        <v>1246</v>
      </c>
      <c r="L306" s="81" t="s">
        <v>102</v>
      </c>
      <c r="M306" s="81" t="s">
        <v>8712</v>
      </c>
      <c r="N306" s="81" t="s">
        <v>28</v>
      </c>
      <c r="O306" s="81" t="s">
        <v>29</v>
      </c>
      <c r="P306" s="9"/>
      <c r="Q306" s="8"/>
      <c r="R306" s="8"/>
      <c r="S306" s="8"/>
      <c r="T306" s="8"/>
      <c r="U306" s="8"/>
      <c r="V306" s="8"/>
      <c r="W306" s="8"/>
      <c r="X306" s="8" t="s">
        <v>3305</v>
      </c>
      <c r="Y306" s="81" t="s">
        <v>33</v>
      </c>
      <c r="Z306" s="8"/>
      <c r="AA306" s="81" t="s">
        <v>3306</v>
      </c>
      <c r="AB306" s="8"/>
      <c r="AC306" s="8"/>
      <c r="AD306" s="81" t="s">
        <v>344</v>
      </c>
      <c r="AE306" s="81" t="s">
        <v>8129</v>
      </c>
      <c r="AF306" s="81" t="s">
        <v>242</v>
      </c>
      <c r="AG306" s="81" t="s">
        <v>345</v>
      </c>
      <c r="AH306" s="81" t="s">
        <v>346</v>
      </c>
      <c r="AI306" s="81" t="s">
        <v>344</v>
      </c>
      <c r="AJ306" s="8"/>
      <c r="AK306" s="8"/>
      <c r="AL306" s="8"/>
      <c r="AM306" s="81" t="s">
        <v>243</v>
      </c>
      <c r="AN306" s="8"/>
      <c r="AO306" s="8"/>
      <c r="AP306" s="8"/>
      <c r="AQ306" s="8"/>
      <c r="AR306" s="9">
        <v>39351</v>
      </c>
      <c r="AS306" s="8" t="s">
        <v>8710</v>
      </c>
      <c r="AT306" s="8" t="s">
        <v>348</v>
      </c>
      <c r="AU306" s="9"/>
      <c r="AV306" s="81" t="s">
        <v>322</v>
      </c>
      <c r="AW306" s="81" t="s">
        <v>242</v>
      </c>
      <c r="AX306" s="8" t="s">
        <v>3307</v>
      </c>
      <c r="AY306" s="8"/>
      <c r="AZ306" s="8" t="s">
        <v>8345</v>
      </c>
      <c r="BA306" s="81" t="s">
        <v>556</v>
      </c>
      <c r="BB306" s="8"/>
      <c r="BC306" s="8"/>
      <c r="BD306" s="8"/>
      <c r="BE306" s="81" t="s">
        <v>261</v>
      </c>
      <c r="BF306" s="8" t="s">
        <v>3308</v>
      </c>
      <c r="BG306" s="9">
        <v>49898</v>
      </c>
      <c r="BH306" s="81" t="s">
        <v>1705</v>
      </c>
      <c r="BI306" s="81" t="s">
        <v>2087</v>
      </c>
      <c r="BJ306" s="9" t="s">
        <v>2088</v>
      </c>
      <c r="BK306" s="9"/>
      <c r="BL306" s="8"/>
      <c r="BM306" s="8"/>
      <c r="BN306" s="8"/>
      <c r="BO306" s="8"/>
      <c r="BP306" s="8"/>
      <c r="BQ306" s="9"/>
      <c r="BR306" s="9"/>
      <c r="BS306" s="8"/>
      <c r="BT306" s="81" t="s">
        <v>3310</v>
      </c>
      <c r="BU306" s="81" t="s">
        <v>118</v>
      </c>
      <c r="BV306" s="8" t="s">
        <v>3311</v>
      </c>
      <c r="BW306" s="81" t="s">
        <v>242</v>
      </c>
      <c r="BX306" s="81" t="s">
        <v>1556</v>
      </c>
      <c r="BY306" s="9">
        <v>45870</v>
      </c>
      <c r="BZ306" s="9"/>
      <c r="CA306" s="8" t="s">
        <v>245</v>
      </c>
    </row>
    <row r="307" spans="1:79" ht="205.2" x14ac:dyDescent="0.25">
      <c r="A307" s="81" t="s">
        <v>3312</v>
      </c>
      <c r="B307" s="8"/>
      <c r="C307" s="81" t="s">
        <v>26</v>
      </c>
      <c r="D307" s="8" t="s">
        <v>8079</v>
      </c>
      <c r="E307" s="8"/>
      <c r="F307" s="9">
        <v>26571</v>
      </c>
      <c r="G307" s="8" t="s">
        <v>3313</v>
      </c>
      <c r="H307" s="81" t="s">
        <v>250</v>
      </c>
      <c r="I307" s="81" t="s">
        <v>27</v>
      </c>
      <c r="J307" s="81" t="s">
        <v>293</v>
      </c>
      <c r="K307" s="81" t="s">
        <v>294</v>
      </c>
      <c r="L307" s="81" t="s">
        <v>102</v>
      </c>
      <c r="M307" s="81" t="s">
        <v>8713</v>
      </c>
      <c r="N307" s="81" t="s">
        <v>119</v>
      </c>
      <c r="O307" s="81" t="s">
        <v>1349</v>
      </c>
      <c r="P307" s="9"/>
      <c r="Q307" s="8"/>
      <c r="R307" s="8"/>
      <c r="S307" s="8"/>
      <c r="T307" s="8"/>
      <c r="U307" s="8"/>
      <c r="V307" s="8"/>
      <c r="W307" s="8"/>
      <c r="X307" s="8" t="s">
        <v>3314</v>
      </c>
      <c r="Y307" s="81" t="s">
        <v>33</v>
      </c>
      <c r="Z307" s="8"/>
      <c r="AA307" s="81" t="s">
        <v>1285</v>
      </c>
      <c r="AB307" s="8"/>
      <c r="AC307" s="8"/>
      <c r="AD307" s="81" t="s">
        <v>344</v>
      </c>
      <c r="AE307" s="81" t="s">
        <v>8129</v>
      </c>
      <c r="AF307" s="81" t="s">
        <v>242</v>
      </c>
      <c r="AG307" s="81" t="s">
        <v>345</v>
      </c>
      <c r="AH307" s="81" t="s">
        <v>346</v>
      </c>
      <c r="AI307" s="81" t="s">
        <v>344</v>
      </c>
      <c r="AJ307" s="8"/>
      <c r="AK307" s="8"/>
      <c r="AL307" s="8"/>
      <c r="AM307" s="81" t="s">
        <v>243</v>
      </c>
      <c r="AN307" s="8"/>
      <c r="AO307" s="8"/>
      <c r="AP307" s="8"/>
      <c r="AQ307" s="8"/>
      <c r="AR307" s="9">
        <v>39349</v>
      </c>
      <c r="AS307" s="8" t="s">
        <v>8710</v>
      </c>
      <c r="AT307" s="8" t="s">
        <v>348</v>
      </c>
      <c r="AU307" s="9"/>
      <c r="AV307" s="81" t="s">
        <v>322</v>
      </c>
      <c r="AW307" s="81" t="s">
        <v>242</v>
      </c>
      <c r="AX307" s="8" t="s">
        <v>3315</v>
      </c>
      <c r="AY307" s="8"/>
      <c r="AZ307" s="8" t="s">
        <v>8711</v>
      </c>
      <c r="BA307" s="81" t="s">
        <v>556</v>
      </c>
      <c r="BB307" s="8"/>
      <c r="BC307" s="8"/>
      <c r="BD307" s="8"/>
      <c r="BE307" s="81" t="s">
        <v>261</v>
      </c>
      <c r="BF307" s="8" t="s">
        <v>3316</v>
      </c>
      <c r="BG307" s="9">
        <v>50184</v>
      </c>
      <c r="BH307" s="81" t="s">
        <v>120</v>
      </c>
      <c r="BI307" s="81" t="s">
        <v>3317</v>
      </c>
      <c r="BJ307" s="9">
        <v>33117</v>
      </c>
      <c r="BK307" s="9">
        <v>34151</v>
      </c>
      <c r="BL307" s="8"/>
      <c r="BM307" s="8"/>
      <c r="BN307" s="8"/>
      <c r="BO307" s="8"/>
      <c r="BP307" s="8"/>
      <c r="BQ307" s="9"/>
      <c r="BR307" s="9"/>
      <c r="BS307" s="8"/>
      <c r="BT307" s="8"/>
      <c r="BU307" s="8"/>
      <c r="BV307" s="8"/>
      <c r="BW307" s="81" t="s">
        <v>242</v>
      </c>
      <c r="BX307" s="81" t="s">
        <v>1556</v>
      </c>
      <c r="BY307" s="9">
        <v>45870</v>
      </c>
      <c r="BZ307" s="9"/>
      <c r="CA307" s="8" t="s">
        <v>245</v>
      </c>
    </row>
    <row r="308" spans="1:79" ht="205.2" x14ac:dyDescent="0.25">
      <c r="A308" s="81" t="s">
        <v>3318</v>
      </c>
      <c r="B308" s="8"/>
      <c r="C308" s="81" t="s">
        <v>26</v>
      </c>
      <c r="D308" s="8" t="s">
        <v>8080</v>
      </c>
      <c r="E308" s="8"/>
      <c r="F308" s="9">
        <v>32418</v>
      </c>
      <c r="G308" s="8" t="s">
        <v>1571</v>
      </c>
      <c r="H308" s="81" t="s">
        <v>250</v>
      </c>
      <c r="I308" s="81" t="s">
        <v>27</v>
      </c>
      <c r="J308" s="81" t="s">
        <v>293</v>
      </c>
      <c r="K308" s="81" t="s">
        <v>294</v>
      </c>
      <c r="L308" s="81" t="s">
        <v>102</v>
      </c>
      <c r="M308" s="81" t="s">
        <v>8714</v>
      </c>
      <c r="N308" s="81" t="s">
        <v>119</v>
      </c>
      <c r="O308" s="81" t="s">
        <v>29</v>
      </c>
      <c r="P308" s="9"/>
      <c r="Q308" s="8"/>
      <c r="R308" s="8"/>
      <c r="S308" s="8"/>
      <c r="T308" s="8"/>
      <c r="U308" s="8"/>
      <c r="V308" s="8"/>
      <c r="W308" s="8"/>
      <c r="X308" s="8" t="s">
        <v>3319</v>
      </c>
      <c r="Y308" s="81" t="s">
        <v>33</v>
      </c>
      <c r="Z308" s="8"/>
      <c r="AA308" s="81" t="s">
        <v>574</v>
      </c>
      <c r="AB308" s="8"/>
      <c r="AC308" s="8"/>
      <c r="AD308" s="81" t="s">
        <v>344</v>
      </c>
      <c r="AE308" s="81" t="s">
        <v>8129</v>
      </c>
      <c r="AF308" s="81" t="s">
        <v>242</v>
      </c>
      <c r="AG308" s="81" t="s">
        <v>345</v>
      </c>
      <c r="AH308" s="81" t="s">
        <v>346</v>
      </c>
      <c r="AI308" s="81" t="s">
        <v>344</v>
      </c>
      <c r="AJ308" s="8"/>
      <c r="AK308" s="8"/>
      <c r="AL308" s="8"/>
      <c r="AM308" s="81" t="s">
        <v>243</v>
      </c>
      <c r="AN308" s="8"/>
      <c r="AO308" s="8"/>
      <c r="AP308" s="8"/>
      <c r="AQ308" s="8"/>
      <c r="AR308" s="9">
        <v>39328</v>
      </c>
      <c r="AS308" s="8" t="s">
        <v>8715</v>
      </c>
      <c r="AT308" s="8" t="s">
        <v>348</v>
      </c>
      <c r="AU308" s="9"/>
      <c r="AV308" s="81" t="s">
        <v>322</v>
      </c>
      <c r="AW308" s="81" t="s">
        <v>242</v>
      </c>
      <c r="AX308" s="8" t="s">
        <v>3320</v>
      </c>
      <c r="AY308" s="8"/>
      <c r="AZ308" s="8" t="s">
        <v>8716</v>
      </c>
      <c r="BA308" s="81" t="s">
        <v>556</v>
      </c>
      <c r="BB308" s="8"/>
      <c r="BC308" s="8"/>
      <c r="BD308" s="8"/>
      <c r="BE308" s="81" t="s">
        <v>261</v>
      </c>
      <c r="BF308" s="8" t="s">
        <v>3321</v>
      </c>
      <c r="BG308" s="9">
        <v>49902</v>
      </c>
      <c r="BH308" s="81" t="s">
        <v>305</v>
      </c>
      <c r="BI308" s="81" t="s">
        <v>1297</v>
      </c>
      <c r="BJ308" s="9">
        <v>38156</v>
      </c>
      <c r="BK308" s="9">
        <v>39251</v>
      </c>
      <c r="BL308" s="81" t="s">
        <v>1906</v>
      </c>
      <c r="BM308" s="8"/>
      <c r="BN308" s="8"/>
      <c r="BO308" s="8"/>
      <c r="BP308" s="8"/>
      <c r="BQ308" s="9"/>
      <c r="BR308" s="9"/>
      <c r="BS308" s="8"/>
      <c r="BT308" s="81" t="s">
        <v>2844</v>
      </c>
      <c r="BU308" s="81" t="s">
        <v>266</v>
      </c>
      <c r="BV308" s="8" t="s">
        <v>3325</v>
      </c>
      <c r="BW308" s="81" t="s">
        <v>242</v>
      </c>
      <c r="BX308" s="81" t="s">
        <v>1556</v>
      </c>
      <c r="BY308" s="9">
        <v>45870</v>
      </c>
      <c r="BZ308" s="9"/>
      <c r="CA308" s="8" t="s">
        <v>245</v>
      </c>
    </row>
    <row r="309" spans="1:79" ht="141.6" x14ac:dyDescent="0.25">
      <c r="A309" s="81" t="s">
        <v>3326</v>
      </c>
      <c r="B309" s="8"/>
      <c r="C309" s="81" t="s">
        <v>352</v>
      </c>
      <c r="D309" s="8" t="s">
        <v>8081</v>
      </c>
      <c r="E309" s="8"/>
      <c r="F309" s="9">
        <v>32116</v>
      </c>
      <c r="G309" s="8" t="s">
        <v>434</v>
      </c>
      <c r="H309" s="81" t="s">
        <v>250</v>
      </c>
      <c r="I309" s="81" t="s">
        <v>3327</v>
      </c>
      <c r="J309" s="81" t="s">
        <v>293</v>
      </c>
      <c r="K309" s="81" t="s">
        <v>294</v>
      </c>
      <c r="L309" s="81" t="s">
        <v>102</v>
      </c>
      <c r="M309" s="81" t="s">
        <v>8717</v>
      </c>
      <c r="N309" s="81" t="s">
        <v>119</v>
      </c>
      <c r="O309" s="81" t="s">
        <v>29</v>
      </c>
      <c r="P309" s="9"/>
      <c r="Q309" s="8"/>
      <c r="R309" s="8"/>
      <c r="S309" s="8"/>
      <c r="T309" s="8"/>
      <c r="U309" s="8"/>
      <c r="V309" s="8"/>
      <c r="W309" s="8"/>
      <c r="X309" s="8" t="s">
        <v>3328</v>
      </c>
      <c r="Y309" s="81" t="s">
        <v>33</v>
      </c>
      <c r="Z309" s="8"/>
      <c r="AA309" s="81" t="s">
        <v>3329</v>
      </c>
      <c r="AB309" s="8"/>
      <c r="AC309" s="8"/>
      <c r="AD309" s="81" t="s">
        <v>420</v>
      </c>
      <c r="AE309" s="81" t="s">
        <v>8142</v>
      </c>
      <c r="AF309" s="81" t="s">
        <v>242</v>
      </c>
      <c r="AG309" s="81" t="s">
        <v>420</v>
      </c>
      <c r="AH309" s="8"/>
      <c r="AI309" s="8"/>
      <c r="AJ309" s="8"/>
      <c r="AK309" s="8"/>
      <c r="AL309" s="8"/>
      <c r="AM309" s="81" t="s">
        <v>243</v>
      </c>
      <c r="AN309" s="8"/>
      <c r="AO309" s="8"/>
      <c r="AP309" s="8"/>
      <c r="AQ309" s="8"/>
      <c r="AR309" s="9">
        <v>39326</v>
      </c>
      <c r="AS309" s="8" t="s">
        <v>8715</v>
      </c>
      <c r="AT309" s="8" t="s">
        <v>348</v>
      </c>
      <c r="AU309" s="9"/>
      <c r="AV309" s="81" t="s">
        <v>322</v>
      </c>
      <c r="AW309" s="81" t="s">
        <v>242</v>
      </c>
      <c r="AX309" s="8" t="s">
        <v>3330</v>
      </c>
      <c r="AY309" s="8"/>
      <c r="AZ309" s="8" t="s">
        <v>8716</v>
      </c>
      <c r="BA309" s="81" t="s">
        <v>361</v>
      </c>
      <c r="BB309" s="8"/>
      <c r="BC309" s="8"/>
      <c r="BD309" s="8"/>
      <c r="BE309" s="81" t="s">
        <v>261</v>
      </c>
      <c r="BF309" s="8" t="s">
        <v>3331</v>
      </c>
      <c r="BG309" s="9">
        <v>52928</v>
      </c>
      <c r="BH309" s="81" t="s">
        <v>305</v>
      </c>
      <c r="BI309" s="81" t="s">
        <v>365</v>
      </c>
      <c r="BJ309" s="9">
        <v>40261</v>
      </c>
      <c r="BK309" s="9">
        <v>41298</v>
      </c>
      <c r="BL309" s="81" t="s">
        <v>1350</v>
      </c>
      <c r="BM309" s="8"/>
      <c r="BN309" s="8"/>
      <c r="BO309" s="8"/>
      <c r="BP309" s="8"/>
      <c r="BQ309" s="9"/>
      <c r="BR309" s="9"/>
      <c r="BS309" s="8"/>
      <c r="BT309" s="8"/>
      <c r="BU309" s="8"/>
      <c r="BV309" s="8"/>
      <c r="BW309" s="81" t="s">
        <v>242</v>
      </c>
      <c r="BX309" s="81" t="s">
        <v>1556</v>
      </c>
      <c r="BY309" s="9">
        <v>39387</v>
      </c>
      <c r="BZ309" s="9"/>
      <c r="CA309" s="8" t="s">
        <v>63</v>
      </c>
    </row>
    <row r="310" spans="1:79" ht="157.19999999999999" x14ac:dyDescent="0.25">
      <c r="A310" s="81" t="s">
        <v>3335</v>
      </c>
      <c r="B310" s="8"/>
      <c r="C310" s="81" t="s">
        <v>26</v>
      </c>
      <c r="D310" s="8" t="s">
        <v>8082</v>
      </c>
      <c r="E310" s="8"/>
      <c r="F310" s="9">
        <v>29576</v>
      </c>
      <c r="G310" s="8" t="s">
        <v>3048</v>
      </c>
      <c r="H310" s="81" t="s">
        <v>250</v>
      </c>
      <c r="I310" s="81" t="s">
        <v>435</v>
      </c>
      <c r="J310" s="81" t="s">
        <v>252</v>
      </c>
      <c r="K310" s="81" t="s">
        <v>415</v>
      </c>
      <c r="L310" s="81" t="s">
        <v>102</v>
      </c>
      <c r="M310" s="81" t="s">
        <v>8718</v>
      </c>
      <c r="N310" s="81" t="s">
        <v>119</v>
      </c>
      <c r="O310" s="81" t="s">
        <v>29</v>
      </c>
      <c r="P310" s="9"/>
      <c r="Q310" s="8"/>
      <c r="R310" s="8"/>
      <c r="S310" s="8"/>
      <c r="T310" s="81" t="s">
        <v>8145</v>
      </c>
      <c r="U310" s="81" t="s">
        <v>1095</v>
      </c>
      <c r="V310" s="8"/>
      <c r="W310" s="8"/>
      <c r="X310" s="8" t="s">
        <v>3337</v>
      </c>
      <c r="Y310" s="81" t="s">
        <v>33</v>
      </c>
      <c r="Z310" s="8"/>
      <c r="AA310" s="81" t="s">
        <v>3338</v>
      </c>
      <c r="AB310" s="8"/>
      <c r="AC310" s="8"/>
      <c r="AD310" s="81" t="s">
        <v>241</v>
      </c>
      <c r="AE310" s="81" t="s">
        <v>8114</v>
      </c>
      <c r="AF310" s="81" t="s">
        <v>242</v>
      </c>
      <c r="AG310" s="81" t="s">
        <v>241</v>
      </c>
      <c r="AH310" s="8"/>
      <c r="AI310" s="8"/>
      <c r="AJ310" s="8"/>
      <c r="AK310" s="8"/>
      <c r="AL310" s="8"/>
      <c r="AM310" s="81" t="s">
        <v>243</v>
      </c>
      <c r="AN310" s="8"/>
      <c r="AO310" s="8"/>
      <c r="AP310" s="8"/>
      <c r="AQ310" s="8"/>
      <c r="AR310" s="9">
        <v>39314</v>
      </c>
      <c r="AS310" s="8" t="s">
        <v>8715</v>
      </c>
      <c r="AT310" s="8" t="s">
        <v>348</v>
      </c>
      <c r="AU310" s="9"/>
      <c r="AV310" s="81" t="s">
        <v>322</v>
      </c>
      <c r="AW310" s="81" t="s">
        <v>242</v>
      </c>
      <c r="AX310" s="8" t="s">
        <v>3339</v>
      </c>
      <c r="AY310" s="8"/>
      <c r="AZ310" s="8" t="s">
        <v>8719</v>
      </c>
      <c r="BA310" s="81" t="s">
        <v>676</v>
      </c>
      <c r="BB310" s="8"/>
      <c r="BC310" s="8"/>
      <c r="BD310" s="8"/>
      <c r="BE310" s="81" t="s">
        <v>261</v>
      </c>
      <c r="BF310" s="8" t="s">
        <v>3340</v>
      </c>
      <c r="BG310" s="9">
        <v>51375</v>
      </c>
      <c r="BH310" s="81" t="s">
        <v>81</v>
      </c>
      <c r="BI310" s="81" t="s">
        <v>640</v>
      </c>
      <c r="BJ310" s="9">
        <v>36404</v>
      </c>
      <c r="BK310" s="9">
        <v>37803</v>
      </c>
      <c r="BL310" s="81" t="s">
        <v>3342</v>
      </c>
      <c r="BM310" s="81" t="s">
        <v>82</v>
      </c>
      <c r="BN310" s="8"/>
      <c r="BO310" s="8"/>
      <c r="BP310" s="8"/>
      <c r="BQ310" s="9"/>
      <c r="BR310" s="9"/>
      <c r="BS310" s="8"/>
      <c r="BT310" s="81" t="s">
        <v>3343</v>
      </c>
      <c r="BU310" s="81" t="s">
        <v>118</v>
      </c>
      <c r="BV310" s="8" t="s">
        <v>3344</v>
      </c>
      <c r="BW310" s="81" t="s">
        <v>242</v>
      </c>
      <c r="BX310" s="81" t="s">
        <v>1556</v>
      </c>
      <c r="BY310" s="9">
        <v>40072</v>
      </c>
      <c r="BZ310" s="9"/>
      <c r="CA310" s="8" t="s">
        <v>245</v>
      </c>
    </row>
    <row r="311" spans="1:79" ht="125.4" x14ac:dyDescent="0.25">
      <c r="A311" s="81" t="s">
        <v>3346</v>
      </c>
      <c r="B311" s="8"/>
      <c r="C311" s="81" t="s">
        <v>26</v>
      </c>
      <c r="D311" s="8" t="s">
        <v>8083</v>
      </c>
      <c r="E311" s="8"/>
      <c r="F311" s="9">
        <v>29239</v>
      </c>
      <c r="G311" s="8" t="s">
        <v>2621</v>
      </c>
      <c r="H311" s="81" t="s">
        <v>250</v>
      </c>
      <c r="I311" s="81" t="s">
        <v>27</v>
      </c>
      <c r="J311" s="81" t="s">
        <v>252</v>
      </c>
      <c r="K311" s="81" t="s">
        <v>415</v>
      </c>
      <c r="L311" s="81" t="s">
        <v>102</v>
      </c>
      <c r="M311" s="81" t="s">
        <v>8720</v>
      </c>
      <c r="N311" s="81" t="s">
        <v>28</v>
      </c>
      <c r="O311" s="81" t="s">
        <v>29</v>
      </c>
      <c r="P311" s="9"/>
      <c r="Q311" s="8"/>
      <c r="R311" s="8"/>
      <c r="S311" s="8"/>
      <c r="T311" s="81" t="s">
        <v>8247</v>
      </c>
      <c r="U311" s="81" t="s">
        <v>1095</v>
      </c>
      <c r="V311" s="8"/>
      <c r="W311" s="8"/>
      <c r="X311" s="8" t="s">
        <v>3348</v>
      </c>
      <c r="Y311" s="81" t="s">
        <v>33</v>
      </c>
      <c r="Z311" s="8"/>
      <c r="AA311" s="81" t="s">
        <v>3349</v>
      </c>
      <c r="AB311" s="8"/>
      <c r="AC311" s="8"/>
      <c r="AD311" s="81" t="s">
        <v>492</v>
      </c>
      <c r="AE311" s="81" t="s">
        <v>8266</v>
      </c>
      <c r="AF311" s="81" t="s">
        <v>492</v>
      </c>
      <c r="AG311" s="8"/>
      <c r="AH311" s="8"/>
      <c r="AI311" s="8"/>
      <c r="AJ311" s="8"/>
      <c r="AK311" s="8"/>
      <c r="AL311" s="8"/>
      <c r="AM311" s="81" t="s">
        <v>243</v>
      </c>
      <c r="AN311" s="8"/>
      <c r="AO311" s="8"/>
      <c r="AP311" s="8"/>
      <c r="AQ311" s="8"/>
      <c r="AR311" s="9">
        <v>39314</v>
      </c>
      <c r="AS311" s="8" t="s">
        <v>8715</v>
      </c>
      <c r="AT311" s="8" t="s">
        <v>348</v>
      </c>
      <c r="AU311" s="9"/>
      <c r="AV311" s="81" t="s">
        <v>322</v>
      </c>
      <c r="AW311" s="81" t="s">
        <v>492</v>
      </c>
      <c r="AX311" s="8" t="s">
        <v>3350</v>
      </c>
      <c r="AY311" s="8"/>
      <c r="AZ311" s="8" t="s">
        <v>8716</v>
      </c>
      <c r="BA311" s="81" t="s">
        <v>676</v>
      </c>
      <c r="BB311" s="8"/>
      <c r="BC311" s="8"/>
      <c r="BD311" s="8"/>
      <c r="BE311" s="81" t="s">
        <v>261</v>
      </c>
      <c r="BF311" s="8" t="s">
        <v>3351</v>
      </c>
      <c r="BG311" s="9">
        <v>46846</v>
      </c>
      <c r="BH311" s="81" t="s">
        <v>87</v>
      </c>
      <c r="BI311" s="81" t="s">
        <v>1032</v>
      </c>
      <c r="BJ311" s="9">
        <v>38231</v>
      </c>
      <c r="BK311" s="9">
        <v>39263</v>
      </c>
      <c r="BL311" s="81" t="s">
        <v>3354</v>
      </c>
      <c r="BM311" s="81" t="s">
        <v>87</v>
      </c>
      <c r="BN311" s="8"/>
      <c r="BO311" s="8"/>
      <c r="BP311" s="8"/>
      <c r="BQ311" s="9"/>
      <c r="BR311" s="9"/>
      <c r="BS311" s="8"/>
      <c r="BT311" s="81" t="s">
        <v>3355</v>
      </c>
      <c r="BU311" s="81" t="s">
        <v>335</v>
      </c>
      <c r="BV311" s="8" t="s">
        <v>3356</v>
      </c>
      <c r="BW311" s="81" t="s">
        <v>492</v>
      </c>
      <c r="BX311" s="81" t="s">
        <v>1556</v>
      </c>
      <c r="BY311" s="9">
        <v>43836</v>
      </c>
      <c r="BZ311" s="9"/>
      <c r="CA311" s="8" t="s">
        <v>245</v>
      </c>
    </row>
    <row r="312" spans="1:79" ht="157.19999999999999" x14ac:dyDescent="0.25">
      <c r="A312" s="81" t="s">
        <v>3357</v>
      </c>
      <c r="B312" s="8"/>
      <c r="C312" s="81" t="s">
        <v>26</v>
      </c>
      <c r="D312" s="8" t="s">
        <v>8084</v>
      </c>
      <c r="E312" s="8"/>
      <c r="F312" s="9">
        <v>30991</v>
      </c>
      <c r="G312" s="8" t="s">
        <v>1746</v>
      </c>
      <c r="H312" s="81" t="s">
        <v>250</v>
      </c>
      <c r="I312" s="81" t="s">
        <v>27</v>
      </c>
      <c r="J312" s="81" t="s">
        <v>252</v>
      </c>
      <c r="K312" s="81" t="s">
        <v>2269</v>
      </c>
      <c r="L312" s="81" t="s">
        <v>102</v>
      </c>
      <c r="M312" s="81" t="s">
        <v>8721</v>
      </c>
      <c r="N312" s="81" t="s">
        <v>119</v>
      </c>
      <c r="O312" s="81" t="s">
        <v>29</v>
      </c>
      <c r="P312" s="9"/>
      <c r="Q312" s="8"/>
      <c r="R312" s="8"/>
      <c r="S312" s="8"/>
      <c r="T312" s="81" t="s">
        <v>8145</v>
      </c>
      <c r="U312" s="81" t="s">
        <v>8379</v>
      </c>
      <c r="V312" s="8"/>
      <c r="W312" s="8"/>
      <c r="X312" s="8" t="s">
        <v>3358</v>
      </c>
      <c r="Y312" s="81" t="s">
        <v>33</v>
      </c>
      <c r="Z312" s="8"/>
      <c r="AA312" s="81" t="s">
        <v>506</v>
      </c>
      <c r="AB312" s="8"/>
      <c r="AC312" s="8"/>
      <c r="AD312" s="81" t="s">
        <v>241</v>
      </c>
      <c r="AE312" s="81" t="s">
        <v>8114</v>
      </c>
      <c r="AF312" s="81" t="s">
        <v>242</v>
      </c>
      <c r="AG312" s="81" t="s">
        <v>241</v>
      </c>
      <c r="AH312" s="8"/>
      <c r="AI312" s="8"/>
      <c r="AJ312" s="8"/>
      <c r="AK312" s="8"/>
      <c r="AL312" s="8"/>
      <c r="AM312" s="81" t="s">
        <v>243</v>
      </c>
      <c r="AN312" s="8"/>
      <c r="AO312" s="8"/>
      <c r="AP312" s="8"/>
      <c r="AQ312" s="8"/>
      <c r="AR312" s="9">
        <v>39295</v>
      </c>
      <c r="AS312" s="8" t="s">
        <v>8722</v>
      </c>
      <c r="AT312" s="8" t="s">
        <v>348</v>
      </c>
      <c r="AU312" s="9"/>
      <c r="AV312" s="81" t="s">
        <v>322</v>
      </c>
      <c r="AW312" s="81" t="s">
        <v>242</v>
      </c>
      <c r="AX312" s="8" t="s">
        <v>3359</v>
      </c>
      <c r="AY312" s="8"/>
      <c r="AZ312" s="8" t="s">
        <v>8565</v>
      </c>
      <c r="BA312" s="81" t="s">
        <v>399</v>
      </c>
      <c r="BB312" s="8"/>
      <c r="BC312" s="8"/>
      <c r="BD312" s="8"/>
      <c r="BE312" s="81" t="s">
        <v>261</v>
      </c>
      <c r="BF312" s="8" t="s">
        <v>3360</v>
      </c>
      <c r="BG312" s="9">
        <v>49888</v>
      </c>
      <c r="BH312" s="81" t="s">
        <v>81</v>
      </c>
      <c r="BI312" s="81" t="s">
        <v>1032</v>
      </c>
      <c r="BJ312" s="9">
        <v>37865</v>
      </c>
      <c r="BK312" s="9">
        <v>39264</v>
      </c>
      <c r="BL312" s="81" t="s">
        <v>3362</v>
      </c>
      <c r="BM312" s="81" t="s">
        <v>82</v>
      </c>
      <c r="BN312" s="8"/>
      <c r="BO312" s="8"/>
      <c r="BP312" s="8"/>
      <c r="BQ312" s="9"/>
      <c r="BR312" s="9"/>
      <c r="BS312" s="8"/>
      <c r="BT312" s="81" t="s">
        <v>3363</v>
      </c>
      <c r="BU312" s="81" t="s">
        <v>118</v>
      </c>
      <c r="BV312" s="8" t="s">
        <v>3364</v>
      </c>
      <c r="BW312" s="81" t="s">
        <v>242</v>
      </c>
      <c r="BX312" s="81" t="s">
        <v>1556</v>
      </c>
      <c r="BY312" s="9">
        <v>41640</v>
      </c>
      <c r="BZ312" s="9"/>
      <c r="CA312" s="8" t="s">
        <v>245</v>
      </c>
    </row>
    <row r="313" spans="1:79" ht="205.2" x14ac:dyDescent="0.25">
      <c r="A313" s="81" t="s">
        <v>3365</v>
      </c>
      <c r="B313" s="8"/>
      <c r="C313" s="81" t="s">
        <v>26</v>
      </c>
      <c r="D313" s="8" t="s">
        <v>8085</v>
      </c>
      <c r="E313" s="8"/>
      <c r="F313" s="9">
        <v>33013</v>
      </c>
      <c r="G313" s="8" t="s">
        <v>292</v>
      </c>
      <c r="H313" s="81" t="s">
        <v>250</v>
      </c>
      <c r="I313" s="81" t="s">
        <v>27</v>
      </c>
      <c r="J313" s="81" t="s">
        <v>293</v>
      </c>
      <c r="K313" s="81" t="s">
        <v>294</v>
      </c>
      <c r="L313" s="81" t="s">
        <v>102</v>
      </c>
      <c r="M313" s="81" t="s">
        <v>8723</v>
      </c>
      <c r="N313" s="81" t="s">
        <v>119</v>
      </c>
      <c r="O313" s="81" t="s">
        <v>29</v>
      </c>
      <c r="P313" s="9"/>
      <c r="Q313" s="8"/>
      <c r="R313" s="8"/>
      <c r="S313" s="8"/>
      <c r="T313" s="8"/>
      <c r="U313" s="8"/>
      <c r="V313" s="8"/>
      <c r="W313" s="8"/>
      <c r="X313" s="8" t="s">
        <v>3366</v>
      </c>
      <c r="Y313" s="81" t="s">
        <v>33</v>
      </c>
      <c r="Z313" s="8"/>
      <c r="AA313" s="81" t="s">
        <v>574</v>
      </c>
      <c r="AB313" s="8"/>
      <c r="AC313" s="8"/>
      <c r="AD313" s="81" t="s">
        <v>344</v>
      </c>
      <c r="AE313" s="81" t="s">
        <v>8129</v>
      </c>
      <c r="AF313" s="81" t="s">
        <v>242</v>
      </c>
      <c r="AG313" s="81" t="s">
        <v>345</v>
      </c>
      <c r="AH313" s="81" t="s">
        <v>346</v>
      </c>
      <c r="AI313" s="81" t="s">
        <v>344</v>
      </c>
      <c r="AJ313" s="8"/>
      <c r="AK313" s="8"/>
      <c r="AL313" s="8"/>
      <c r="AM313" s="81" t="s">
        <v>243</v>
      </c>
      <c r="AN313" s="8"/>
      <c r="AO313" s="8"/>
      <c r="AP313" s="8"/>
      <c r="AQ313" s="8"/>
      <c r="AR313" s="9">
        <v>39272</v>
      </c>
      <c r="AS313" s="8" t="s">
        <v>8724</v>
      </c>
      <c r="AT313" s="8" t="s">
        <v>348</v>
      </c>
      <c r="AU313" s="9"/>
      <c r="AV313" s="81" t="s">
        <v>322</v>
      </c>
      <c r="AW313" s="81" t="s">
        <v>242</v>
      </c>
      <c r="AX313" s="8" t="s">
        <v>3367</v>
      </c>
      <c r="AY313" s="8"/>
      <c r="AZ313" s="8" t="s">
        <v>8565</v>
      </c>
      <c r="BA313" s="81" t="s">
        <v>556</v>
      </c>
      <c r="BB313" s="8"/>
      <c r="BC313" s="8"/>
      <c r="BD313" s="8"/>
      <c r="BE313" s="81" t="s">
        <v>261</v>
      </c>
      <c r="BF313" s="8" t="s">
        <v>3368</v>
      </c>
      <c r="BG313" s="9">
        <v>51257</v>
      </c>
      <c r="BH313" s="81" t="s">
        <v>713</v>
      </c>
      <c r="BI313" s="81" t="s">
        <v>1761</v>
      </c>
      <c r="BJ313" s="9">
        <v>38596</v>
      </c>
      <c r="BK313" s="9">
        <v>39271</v>
      </c>
      <c r="BL313" s="81" t="s">
        <v>2969</v>
      </c>
      <c r="BM313" s="8"/>
      <c r="BN313" s="8"/>
      <c r="BO313" s="8"/>
      <c r="BP313" s="8"/>
      <c r="BQ313" s="9"/>
      <c r="BR313" s="9"/>
      <c r="BS313" s="8"/>
      <c r="BT313" s="8"/>
      <c r="BU313" s="8"/>
      <c r="BV313" s="8"/>
      <c r="BW313" s="81" t="s">
        <v>242</v>
      </c>
      <c r="BX313" s="81" t="s">
        <v>1556</v>
      </c>
      <c r="BY313" s="9">
        <v>45870</v>
      </c>
      <c r="BZ313" s="9"/>
      <c r="CA313" s="8" t="s">
        <v>245</v>
      </c>
    </row>
    <row r="314" spans="1:79" ht="205.2" x14ac:dyDescent="0.25">
      <c r="A314" s="81" t="s">
        <v>3370</v>
      </c>
      <c r="B314" s="8"/>
      <c r="C314" s="81" t="s">
        <v>26</v>
      </c>
      <c r="D314" s="8" t="s">
        <v>8086</v>
      </c>
      <c r="E314" s="8"/>
      <c r="F314" s="9">
        <v>33032</v>
      </c>
      <c r="G314" s="8" t="s">
        <v>292</v>
      </c>
      <c r="H314" s="81" t="s">
        <v>250</v>
      </c>
      <c r="I314" s="81" t="s">
        <v>27</v>
      </c>
      <c r="J314" s="81" t="s">
        <v>252</v>
      </c>
      <c r="K314" s="81" t="s">
        <v>294</v>
      </c>
      <c r="L314" s="81" t="s">
        <v>102</v>
      </c>
      <c r="M314" s="81" t="s">
        <v>8725</v>
      </c>
      <c r="N314" s="81" t="s">
        <v>119</v>
      </c>
      <c r="O314" s="81" t="s">
        <v>29</v>
      </c>
      <c r="P314" s="9"/>
      <c r="Q314" s="8"/>
      <c r="R314" s="8"/>
      <c r="S314" s="8"/>
      <c r="T314" s="8"/>
      <c r="U314" s="8"/>
      <c r="V314" s="8"/>
      <c r="W314" s="8"/>
      <c r="X314" s="8" t="s">
        <v>3371</v>
      </c>
      <c r="Y314" s="81" t="s">
        <v>33</v>
      </c>
      <c r="Z314" s="8"/>
      <c r="AA314" s="81" t="s">
        <v>3372</v>
      </c>
      <c r="AB314" s="8"/>
      <c r="AC314" s="8"/>
      <c r="AD314" s="81" t="s">
        <v>344</v>
      </c>
      <c r="AE314" s="81" t="s">
        <v>8129</v>
      </c>
      <c r="AF314" s="81" t="s">
        <v>242</v>
      </c>
      <c r="AG314" s="81" t="s">
        <v>345</v>
      </c>
      <c r="AH314" s="81" t="s">
        <v>346</v>
      </c>
      <c r="AI314" s="81" t="s">
        <v>344</v>
      </c>
      <c r="AJ314" s="8"/>
      <c r="AK314" s="8"/>
      <c r="AL314" s="8"/>
      <c r="AM314" s="81" t="s">
        <v>243</v>
      </c>
      <c r="AN314" s="8"/>
      <c r="AO314" s="8"/>
      <c r="AP314" s="8"/>
      <c r="AQ314" s="8"/>
      <c r="AR314" s="9">
        <v>39237</v>
      </c>
      <c r="AS314" s="8" t="s">
        <v>8726</v>
      </c>
      <c r="AT314" s="8" t="s">
        <v>348</v>
      </c>
      <c r="AU314" s="9"/>
      <c r="AV314" s="81" t="s">
        <v>322</v>
      </c>
      <c r="AW314" s="81" t="s">
        <v>242</v>
      </c>
      <c r="AX314" s="8" t="s">
        <v>3373</v>
      </c>
      <c r="AY314" s="8"/>
      <c r="AZ314" s="8" t="s">
        <v>8727</v>
      </c>
      <c r="BA314" s="81" t="s">
        <v>556</v>
      </c>
      <c r="BB314" s="8"/>
      <c r="BC314" s="8"/>
      <c r="BD314" s="8"/>
      <c r="BE314" s="81" t="s">
        <v>261</v>
      </c>
      <c r="BF314" s="8" t="s">
        <v>3374</v>
      </c>
      <c r="BG314" s="9">
        <v>49925</v>
      </c>
      <c r="BH314" s="81" t="s">
        <v>713</v>
      </c>
      <c r="BI314" s="81" t="s">
        <v>3376</v>
      </c>
      <c r="BJ314" s="9">
        <v>38596</v>
      </c>
      <c r="BK314" s="9">
        <v>39630</v>
      </c>
      <c r="BL314" s="81" t="s">
        <v>3377</v>
      </c>
      <c r="BM314" s="8"/>
      <c r="BN314" s="8"/>
      <c r="BO314" s="8"/>
      <c r="BP314" s="8"/>
      <c r="BQ314" s="9"/>
      <c r="BR314" s="9"/>
      <c r="BS314" s="8"/>
      <c r="BT314" s="81" t="s">
        <v>3378</v>
      </c>
      <c r="BU314" s="81" t="s">
        <v>266</v>
      </c>
      <c r="BV314" s="8" t="s">
        <v>3379</v>
      </c>
      <c r="BW314" s="81" t="s">
        <v>242</v>
      </c>
      <c r="BX314" s="81" t="s">
        <v>337</v>
      </c>
      <c r="BY314" s="9">
        <v>45870</v>
      </c>
      <c r="BZ314" s="9">
        <v>46142</v>
      </c>
      <c r="CA314" s="8" t="s">
        <v>245</v>
      </c>
    </row>
    <row r="315" spans="1:79" ht="205.2" x14ac:dyDescent="0.25">
      <c r="A315" s="81" t="s">
        <v>3380</v>
      </c>
      <c r="B315" s="8"/>
      <c r="C315" s="81" t="s">
        <v>26</v>
      </c>
      <c r="D315" s="8" t="s">
        <v>8087</v>
      </c>
      <c r="E315" s="8"/>
      <c r="F315" s="9">
        <v>27594</v>
      </c>
      <c r="G315" s="8" t="s">
        <v>2633</v>
      </c>
      <c r="H315" s="81" t="s">
        <v>250</v>
      </c>
      <c r="I315" s="81" t="s">
        <v>27</v>
      </c>
      <c r="J315" s="81" t="s">
        <v>270</v>
      </c>
      <c r="K315" s="81" t="s">
        <v>808</v>
      </c>
      <c r="L315" s="81" t="s">
        <v>102</v>
      </c>
      <c r="M315" s="81" t="s">
        <v>8728</v>
      </c>
      <c r="N315" s="81" t="s">
        <v>119</v>
      </c>
      <c r="O315" s="81" t="s">
        <v>29</v>
      </c>
      <c r="P315" s="9"/>
      <c r="Q315" s="8"/>
      <c r="R315" s="8"/>
      <c r="S315" s="8"/>
      <c r="T315" s="8"/>
      <c r="U315" s="8"/>
      <c r="V315" s="8"/>
      <c r="W315" s="8"/>
      <c r="X315" s="8" t="s">
        <v>3382</v>
      </c>
      <c r="Y315" s="81" t="s">
        <v>33</v>
      </c>
      <c r="Z315" s="8"/>
      <c r="AA315" s="81" t="s">
        <v>2900</v>
      </c>
      <c r="AB315" s="8"/>
      <c r="AC315" s="8"/>
      <c r="AD315" s="81" t="s">
        <v>344</v>
      </c>
      <c r="AE315" s="81" t="s">
        <v>8129</v>
      </c>
      <c r="AF315" s="81" t="s">
        <v>242</v>
      </c>
      <c r="AG315" s="81" t="s">
        <v>345</v>
      </c>
      <c r="AH315" s="81" t="s">
        <v>346</v>
      </c>
      <c r="AI315" s="81" t="s">
        <v>344</v>
      </c>
      <c r="AJ315" s="8"/>
      <c r="AK315" s="8"/>
      <c r="AL315" s="8"/>
      <c r="AM315" s="81" t="s">
        <v>243</v>
      </c>
      <c r="AN315" s="8"/>
      <c r="AO315" s="8"/>
      <c r="AP315" s="8"/>
      <c r="AQ315" s="8"/>
      <c r="AR315" s="9">
        <v>39235</v>
      </c>
      <c r="AS315" s="8" t="s">
        <v>8726</v>
      </c>
      <c r="AT315" s="8" t="s">
        <v>348</v>
      </c>
      <c r="AU315" s="9"/>
      <c r="AV315" s="81" t="s">
        <v>322</v>
      </c>
      <c r="AW315" s="81" t="s">
        <v>242</v>
      </c>
      <c r="AX315" s="8" t="s">
        <v>3383</v>
      </c>
      <c r="AY315" s="8"/>
      <c r="AZ315" s="8" t="s">
        <v>8727</v>
      </c>
      <c r="BA315" s="81" t="s">
        <v>556</v>
      </c>
      <c r="BB315" s="8"/>
      <c r="BC315" s="8"/>
      <c r="BD315" s="8"/>
      <c r="BE315" s="81" t="s">
        <v>261</v>
      </c>
      <c r="BF315" s="8" t="s">
        <v>3384</v>
      </c>
      <c r="BG315" s="9">
        <v>46209</v>
      </c>
      <c r="BH315" s="81" t="s">
        <v>1705</v>
      </c>
      <c r="BI315" s="81" t="s">
        <v>2087</v>
      </c>
      <c r="BJ315" s="9" t="s">
        <v>2088</v>
      </c>
      <c r="BK315" s="9"/>
      <c r="BL315" s="8"/>
      <c r="BM315" s="8"/>
      <c r="BN315" s="8"/>
      <c r="BO315" s="8"/>
      <c r="BP315" s="8"/>
      <c r="BQ315" s="9"/>
      <c r="BR315" s="9"/>
      <c r="BS315" s="8"/>
      <c r="BT315" s="81" t="s">
        <v>3385</v>
      </c>
      <c r="BU315" s="81" t="s">
        <v>118</v>
      </c>
      <c r="BV315" s="8" t="s">
        <v>3386</v>
      </c>
      <c r="BW315" s="81" t="s">
        <v>242</v>
      </c>
      <c r="BX315" s="81" t="s">
        <v>1556</v>
      </c>
      <c r="BY315" s="9">
        <v>44044</v>
      </c>
      <c r="BZ315" s="9"/>
      <c r="CA315" s="8" t="s">
        <v>245</v>
      </c>
    </row>
    <row r="316" spans="1:79" ht="141.6" x14ac:dyDescent="0.25">
      <c r="A316" s="81" t="s">
        <v>3387</v>
      </c>
      <c r="B316" s="8"/>
      <c r="C316" s="81" t="s">
        <v>26</v>
      </c>
      <c r="D316" s="8" t="s">
        <v>8088</v>
      </c>
      <c r="E316" s="8"/>
      <c r="F316" s="9">
        <v>26204</v>
      </c>
      <c r="G316" s="8" t="s">
        <v>2518</v>
      </c>
      <c r="H316" s="81" t="s">
        <v>250</v>
      </c>
      <c r="I316" s="81" t="s">
        <v>27</v>
      </c>
      <c r="J316" s="81" t="s">
        <v>252</v>
      </c>
      <c r="K316" s="81" t="s">
        <v>415</v>
      </c>
      <c r="L316" s="81" t="s">
        <v>102</v>
      </c>
      <c r="M316" s="81" t="s">
        <v>8729</v>
      </c>
      <c r="N316" s="81" t="s">
        <v>119</v>
      </c>
      <c r="O316" s="81" t="s">
        <v>29</v>
      </c>
      <c r="P316" s="9"/>
      <c r="Q316" s="8"/>
      <c r="R316" s="8"/>
      <c r="S316" s="8"/>
      <c r="T316" s="8"/>
      <c r="U316" s="8"/>
      <c r="V316" s="8"/>
      <c r="W316" s="8"/>
      <c r="X316" s="8" t="s">
        <v>3389</v>
      </c>
      <c r="Y316" s="81" t="s">
        <v>33</v>
      </c>
      <c r="Z316" s="8"/>
      <c r="AA316" s="81" t="s">
        <v>3211</v>
      </c>
      <c r="AB316" s="8"/>
      <c r="AC316" s="8"/>
      <c r="AD316" s="81" t="s">
        <v>553</v>
      </c>
      <c r="AE316" s="81" t="s">
        <v>8194</v>
      </c>
      <c r="AF316" s="81" t="s">
        <v>492</v>
      </c>
      <c r="AG316" s="81" t="s">
        <v>553</v>
      </c>
      <c r="AH316" s="8"/>
      <c r="AI316" s="8"/>
      <c r="AJ316" s="8"/>
      <c r="AK316" s="8"/>
      <c r="AL316" s="8"/>
      <c r="AM316" s="81" t="s">
        <v>243</v>
      </c>
      <c r="AN316" s="8"/>
      <c r="AO316" s="8"/>
      <c r="AP316" s="8"/>
      <c r="AQ316" s="8"/>
      <c r="AR316" s="9">
        <v>39234</v>
      </c>
      <c r="AS316" s="8" t="s">
        <v>8726</v>
      </c>
      <c r="AT316" s="8" t="s">
        <v>348</v>
      </c>
      <c r="AU316" s="9"/>
      <c r="AV316" s="81" t="s">
        <v>322</v>
      </c>
      <c r="AW316" s="81" t="s">
        <v>492</v>
      </c>
      <c r="AX316" s="8" t="s">
        <v>3391</v>
      </c>
      <c r="AY316" s="8"/>
      <c r="AZ316" s="8" t="s">
        <v>8610</v>
      </c>
      <c r="BA316" s="81" t="s">
        <v>556</v>
      </c>
      <c r="BB316" s="8"/>
      <c r="BC316" s="8"/>
      <c r="BD316" s="8"/>
      <c r="BE316" s="81" t="s">
        <v>261</v>
      </c>
      <c r="BF316" s="8" t="s">
        <v>3392</v>
      </c>
      <c r="BG316" s="9">
        <v>46139</v>
      </c>
      <c r="BH316" s="81" t="s">
        <v>713</v>
      </c>
      <c r="BI316" s="81" t="s">
        <v>3393</v>
      </c>
      <c r="BJ316" s="9">
        <v>32752</v>
      </c>
      <c r="BK316" s="9">
        <v>33786</v>
      </c>
      <c r="BL316" s="81" t="s">
        <v>3394</v>
      </c>
      <c r="BM316" s="8"/>
      <c r="BN316" s="8"/>
      <c r="BO316" s="8"/>
      <c r="BP316" s="8"/>
      <c r="BQ316" s="9"/>
      <c r="BR316" s="9"/>
      <c r="BS316" s="8"/>
      <c r="BT316" s="8"/>
      <c r="BU316" s="8"/>
      <c r="BV316" s="8"/>
      <c r="BW316" s="81" t="s">
        <v>492</v>
      </c>
      <c r="BX316" s="81" t="s">
        <v>1556</v>
      </c>
      <c r="BY316" s="9">
        <v>43836</v>
      </c>
      <c r="BZ316" s="9"/>
      <c r="CA316" s="8" t="s">
        <v>245</v>
      </c>
    </row>
    <row r="317" spans="1:79" ht="141.6" x14ac:dyDescent="0.25">
      <c r="A317" s="81" t="s">
        <v>3395</v>
      </c>
      <c r="B317" s="8"/>
      <c r="C317" s="81" t="s">
        <v>26</v>
      </c>
      <c r="D317" s="8" t="s">
        <v>8089</v>
      </c>
      <c r="E317" s="8"/>
      <c r="F317" s="9">
        <v>26567</v>
      </c>
      <c r="G317" s="8" t="s">
        <v>3313</v>
      </c>
      <c r="H317" s="81" t="s">
        <v>250</v>
      </c>
      <c r="I317" s="81" t="s">
        <v>27</v>
      </c>
      <c r="J317" s="81" t="s">
        <v>474</v>
      </c>
      <c r="K317" s="81" t="s">
        <v>394</v>
      </c>
      <c r="L317" s="81" t="s">
        <v>102</v>
      </c>
      <c r="M317" s="81" t="s">
        <v>8730</v>
      </c>
      <c r="N317" s="81" t="s">
        <v>119</v>
      </c>
      <c r="O317" s="81" t="s">
        <v>29</v>
      </c>
      <c r="P317" s="9"/>
      <c r="Q317" s="8"/>
      <c r="R317" s="8"/>
      <c r="S317" s="8"/>
      <c r="T317" s="8"/>
      <c r="U317" s="8"/>
      <c r="V317" s="8"/>
      <c r="W317" s="8"/>
      <c r="X317" s="8" t="s">
        <v>3396</v>
      </c>
      <c r="Y317" s="81" t="s">
        <v>33</v>
      </c>
      <c r="Z317" s="8"/>
      <c r="AA317" s="81" t="s">
        <v>551</v>
      </c>
      <c r="AB317" s="8"/>
      <c r="AC317" s="8"/>
      <c r="AD317" s="81" t="s">
        <v>553</v>
      </c>
      <c r="AE317" s="81" t="s">
        <v>8194</v>
      </c>
      <c r="AF317" s="81" t="s">
        <v>492</v>
      </c>
      <c r="AG317" s="81" t="s">
        <v>553</v>
      </c>
      <c r="AH317" s="8"/>
      <c r="AI317" s="8"/>
      <c r="AJ317" s="8"/>
      <c r="AK317" s="8"/>
      <c r="AL317" s="8"/>
      <c r="AM317" s="81" t="s">
        <v>243</v>
      </c>
      <c r="AN317" s="8"/>
      <c r="AO317" s="8"/>
      <c r="AP317" s="8"/>
      <c r="AQ317" s="8"/>
      <c r="AR317" s="9">
        <v>39234</v>
      </c>
      <c r="AS317" s="8" t="s">
        <v>8726</v>
      </c>
      <c r="AT317" s="8" t="s">
        <v>348</v>
      </c>
      <c r="AU317" s="9"/>
      <c r="AV317" s="81" t="s">
        <v>322</v>
      </c>
      <c r="AW317" s="81" t="s">
        <v>492</v>
      </c>
      <c r="AX317" s="8" t="s">
        <v>3397</v>
      </c>
      <c r="AY317" s="8"/>
      <c r="AZ317" s="8" t="s">
        <v>8727</v>
      </c>
      <c r="BA317" s="81" t="s">
        <v>556</v>
      </c>
      <c r="BB317" s="8"/>
      <c r="BC317" s="8"/>
      <c r="BD317" s="8"/>
      <c r="BE317" s="81" t="s">
        <v>261</v>
      </c>
      <c r="BF317" s="8" t="s">
        <v>3398</v>
      </c>
      <c r="BG317" s="9">
        <v>50287</v>
      </c>
      <c r="BH317" s="81" t="s">
        <v>713</v>
      </c>
      <c r="BI317" s="81" t="s">
        <v>3400</v>
      </c>
      <c r="BJ317" s="9">
        <v>32387</v>
      </c>
      <c r="BK317" s="9">
        <v>33420</v>
      </c>
      <c r="BL317" s="8"/>
      <c r="BM317" s="8"/>
      <c r="BN317" s="8"/>
      <c r="BO317" s="8"/>
      <c r="BP317" s="8"/>
      <c r="BQ317" s="9"/>
      <c r="BR317" s="9"/>
      <c r="BS317" s="8"/>
      <c r="BT317" s="81" t="s">
        <v>3402</v>
      </c>
      <c r="BU317" s="81" t="s">
        <v>118</v>
      </c>
      <c r="BV317" s="8" t="s">
        <v>3403</v>
      </c>
      <c r="BW317" s="81" t="s">
        <v>492</v>
      </c>
      <c r="BX317" s="81" t="s">
        <v>1556</v>
      </c>
      <c r="BY317" s="9">
        <v>43836</v>
      </c>
      <c r="BZ317" s="9"/>
      <c r="CA317" s="8" t="s">
        <v>245</v>
      </c>
    </row>
    <row r="318" spans="1:79" ht="189.6" x14ac:dyDescent="0.25">
      <c r="A318" s="81" t="s">
        <v>3404</v>
      </c>
      <c r="B318" s="8"/>
      <c r="C318" s="81" t="s">
        <v>26</v>
      </c>
      <c r="D318" s="8" t="s">
        <v>8090</v>
      </c>
      <c r="E318" s="8"/>
      <c r="F318" s="9">
        <v>26215</v>
      </c>
      <c r="G318" s="8" t="s">
        <v>2518</v>
      </c>
      <c r="H318" s="81" t="s">
        <v>250</v>
      </c>
      <c r="I318" s="81" t="s">
        <v>27</v>
      </c>
      <c r="J318" s="81" t="s">
        <v>252</v>
      </c>
      <c r="K318" s="81" t="s">
        <v>668</v>
      </c>
      <c r="L318" s="81" t="s">
        <v>102</v>
      </c>
      <c r="M318" s="81" t="s">
        <v>8731</v>
      </c>
      <c r="N318" s="81" t="s">
        <v>28</v>
      </c>
      <c r="O318" s="81" t="s">
        <v>29</v>
      </c>
      <c r="P318" s="9"/>
      <c r="Q318" s="8"/>
      <c r="R318" s="8"/>
      <c r="S318" s="8"/>
      <c r="T318" s="8"/>
      <c r="U318" s="8"/>
      <c r="V318" s="81" t="s">
        <v>8239</v>
      </c>
      <c r="W318" s="81" t="s">
        <v>965</v>
      </c>
      <c r="X318" s="8" t="s">
        <v>3406</v>
      </c>
      <c r="Y318" s="81" t="s">
        <v>33</v>
      </c>
      <c r="Z318" s="8"/>
      <c r="AA318" s="81" t="s">
        <v>3407</v>
      </c>
      <c r="AB318" s="8"/>
      <c r="AC318" s="8"/>
      <c r="AD318" s="81" t="s">
        <v>1740</v>
      </c>
      <c r="AE318" s="81" t="s">
        <v>8385</v>
      </c>
      <c r="AF318" s="81" t="s">
        <v>242</v>
      </c>
      <c r="AG318" s="81" t="s">
        <v>345</v>
      </c>
      <c r="AH318" s="81" t="s">
        <v>346</v>
      </c>
      <c r="AI318" s="81" t="s">
        <v>1740</v>
      </c>
      <c r="AJ318" s="8"/>
      <c r="AK318" s="8"/>
      <c r="AL318" s="8"/>
      <c r="AM318" s="81" t="s">
        <v>243</v>
      </c>
      <c r="AN318" s="8"/>
      <c r="AO318" s="8"/>
      <c r="AP318" s="8"/>
      <c r="AQ318" s="8"/>
      <c r="AR318" s="9">
        <v>39230</v>
      </c>
      <c r="AS318" s="8" t="s">
        <v>8726</v>
      </c>
      <c r="AT318" s="8" t="s">
        <v>348</v>
      </c>
      <c r="AU318" s="9"/>
      <c r="AV318" s="81" t="s">
        <v>322</v>
      </c>
      <c r="AW318" s="81" t="s">
        <v>242</v>
      </c>
      <c r="AX318" s="8" t="s">
        <v>3408</v>
      </c>
      <c r="AY318" s="8"/>
      <c r="AZ318" s="8" t="s">
        <v>8727</v>
      </c>
      <c r="BA318" s="81" t="s">
        <v>676</v>
      </c>
      <c r="BB318" s="8"/>
      <c r="BC318" s="8"/>
      <c r="BD318" s="8"/>
      <c r="BE318" s="81" t="s">
        <v>261</v>
      </c>
      <c r="BF318" s="8" t="s">
        <v>3409</v>
      </c>
      <c r="BG318" s="9">
        <v>46218</v>
      </c>
      <c r="BH318" s="81" t="s">
        <v>1705</v>
      </c>
      <c r="BI318" s="81" t="s">
        <v>2087</v>
      </c>
      <c r="BJ318" s="9" t="s">
        <v>2088</v>
      </c>
      <c r="BK318" s="9"/>
      <c r="BL318" s="8"/>
      <c r="BM318" s="8"/>
      <c r="BN318" s="8"/>
      <c r="BO318" s="8"/>
      <c r="BP318" s="8"/>
      <c r="BQ318" s="9"/>
      <c r="BR318" s="9"/>
      <c r="BS318" s="8"/>
      <c r="BT318" s="81" t="s">
        <v>3411</v>
      </c>
      <c r="BU318" s="81" t="s">
        <v>118</v>
      </c>
      <c r="BV318" s="8" t="s">
        <v>3412</v>
      </c>
      <c r="BW318" s="81" t="s">
        <v>242</v>
      </c>
      <c r="BX318" s="81" t="s">
        <v>1556</v>
      </c>
      <c r="BY318" s="9">
        <v>45870</v>
      </c>
      <c r="BZ318" s="9"/>
      <c r="CA318" s="8" t="s">
        <v>245</v>
      </c>
    </row>
    <row r="319" spans="1:79" ht="205.2" x14ac:dyDescent="0.25">
      <c r="A319" s="81" t="s">
        <v>3413</v>
      </c>
      <c r="B319" s="8"/>
      <c r="C319" s="81" t="s">
        <v>26</v>
      </c>
      <c r="D319" s="8" t="s">
        <v>8091</v>
      </c>
      <c r="E319" s="8"/>
      <c r="F319" s="9">
        <v>30099</v>
      </c>
      <c r="G319" s="8" t="s">
        <v>1245</v>
      </c>
      <c r="H319" s="81" t="s">
        <v>250</v>
      </c>
      <c r="I319" s="81" t="s">
        <v>27</v>
      </c>
      <c r="J319" s="81" t="s">
        <v>293</v>
      </c>
      <c r="K319" s="81" t="s">
        <v>455</v>
      </c>
      <c r="L319" s="81" t="s">
        <v>102</v>
      </c>
      <c r="M319" s="81" t="s">
        <v>8732</v>
      </c>
      <c r="N319" s="81" t="s">
        <v>119</v>
      </c>
      <c r="O319" s="81" t="s">
        <v>29</v>
      </c>
      <c r="P319" s="9"/>
      <c r="Q319" s="8"/>
      <c r="R319" s="8"/>
      <c r="S319" s="8"/>
      <c r="T319" s="8"/>
      <c r="U319" s="8"/>
      <c r="V319" s="81" t="s">
        <v>8239</v>
      </c>
      <c r="W319" s="81" t="s">
        <v>2827</v>
      </c>
      <c r="X319" s="8" t="s">
        <v>3415</v>
      </c>
      <c r="Y319" s="81" t="s">
        <v>33</v>
      </c>
      <c r="Z319" s="8"/>
      <c r="AA319" s="81" t="s">
        <v>574</v>
      </c>
      <c r="AB319" s="8"/>
      <c r="AC319" s="8"/>
      <c r="AD319" s="81" t="s">
        <v>344</v>
      </c>
      <c r="AE319" s="81" t="s">
        <v>8129</v>
      </c>
      <c r="AF319" s="81" t="s">
        <v>242</v>
      </c>
      <c r="AG319" s="81" t="s">
        <v>345</v>
      </c>
      <c r="AH319" s="81" t="s">
        <v>346</v>
      </c>
      <c r="AI319" s="81" t="s">
        <v>344</v>
      </c>
      <c r="AJ319" s="8"/>
      <c r="AK319" s="8"/>
      <c r="AL319" s="8"/>
      <c r="AM319" s="81" t="s">
        <v>243</v>
      </c>
      <c r="AN319" s="8"/>
      <c r="AO319" s="8"/>
      <c r="AP319" s="8"/>
      <c r="AQ319" s="8"/>
      <c r="AR319" s="9">
        <v>39206</v>
      </c>
      <c r="AS319" s="8" t="s">
        <v>8733</v>
      </c>
      <c r="AT319" s="8" t="s">
        <v>348</v>
      </c>
      <c r="AU319" s="9"/>
      <c r="AV319" s="81" t="s">
        <v>322</v>
      </c>
      <c r="AW319" s="81" t="s">
        <v>242</v>
      </c>
      <c r="AX319" s="8" t="s">
        <v>3416</v>
      </c>
      <c r="AY319" s="8"/>
      <c r="AZ319" s="8" t="s">
        <v>8734</v>
      </c>
      <c r="BA319" s="81" t="s">
        <v>556</v>
      </c>
      <c r="BB319" s="8"/>
      <c r="BC319" s="8"/>
      <c r="BD319" s="8"/>
      <c r="BE319" s="81" t="s">
        <v>261</v>
      </c>
      <c r="BF319" s="8" t="s">
        <v>3417</v>
      </c>
      <c r="BG319" s="9">
        <v>47543</v>
      </c>
      <c r="BH319" s="81" t="s">
        <v>713</v>
      </c>
      <c r="BI319" s="81" t="s">
        <v>3419</v>
      </c>
      <c r="BJ319" s="9">
        <v>36039</v>
      </c>
      <c r="BK319" s="9">
        <v>37082</v>
      </c>
      <c r="BL319" s="81" t="s">
        <v>3420</v>
      </c>
      <c r="BM319" s="8"/>
      <c r="BN319" s="8"/>
      <c r="BO319" s="8"/>
      <c r="BP319" s="8"/>
      <c r="BQ319" s="9"/>
      <c r="BR319" s="9"/>
      <c r="BS319" s="8"/>
      <c r="BT319" s="81" t="s">
        <v>3421</v>
      </c>
      <c r="BU319" s="81" t="s">
        <v>266</v>
      </c>
      <c r="BV319" s="8" t="s">
        <v>3422</v>
      </c>
      <c r="BW319" s="81" t="s">
        <v>242</v>
      </c>
      <c r="BX319" s="81" t="s">
        <v>1556</v>
      </c>
      <c r="BY319" s="9">
        <v>44470</v>
      </c>
      <c r="BZ319" s="9"/>
      <c r="CA319" s="8" t="s">
        <v>245</v>
      </c>
    </row>
    <row r="320" spans="1:79" ht="141.6" x14ac:dyDescent="0.25">
      <c r="A320" s="81" t="s">
        <v>2608</v>
      </c>
      <c r="B320" s="8"/>
      <c r="C320" s="81" t="s">
        <v>26</v>
      </c>
      <c r="D320" s="8" t="s">
        <v>8092</v>
      </c>
      <c r="E320" s="8"/>
      <c r="F320" s="9">
        <v>30446</v>
      </c>
      <c r="G320" s="8" t="s">
        <v>1678</v>
      </c>
      <c r="H320" s="81" t="s">
        <v>250</v>
      </c>
      <c r="I320" s="81" t="s">
        <v>27</v>
      </c>
      <c r="J320" s="81" t="s">
        <v>293</v>
      </c>
      <c r="K320" s="81" t="s">
        <v>3423</v>
      </c>
      <c r="L320" s="81" t="s">
        <v>102</v>
      </c>
      <c r="M320" s="81" t="s">
        <v>8735</v>
      </c>
      <c r="N320" s="81" t="s">
        <v>119</v>
      </c>
      <c r="O320" s="81" t="s">
        <v>29</v>
      </c>
      <c r="P320" s="9"/>
      <c r="Q320" s="8"/>
      <c r="R320" s="8"/>
      <c r="S320" s="8"/>
      <c r="T320" s="81" t="s">
        <v>8145</v>
      </c>
      <c r="U320" s="81" t="s">
        <v>8188</v>
      </c>
      <c r="V320" s="8"/>
      <c r="W320" s="8"/>
      <c r="X320" s="8" t="s">
        <v>3425</v>
      </c>
      <c r="Y320" s="81" t="s">
        <v>33</v>
      </c>
      <c r="Z320" s="8"/>
      <c r="AA320" s="81" t="s">
        <v>2024</v>
      </c>
      <c r="AB320" s="8"/>
      <c r="AC320" s="8"/>
      <c r="AD320" s="81" t="s">
        <v>1967</v>
      </c>
      <c r="AE320" s="81" t="s">
        <v>8436</v>
      </c>
      <c r="AF320" s="81" t="s">
        <v>242</v>
      </c>
      <c r="AG320" s="81" t="s">
        <v>1967</v>
      </c>
      <c r="AH320" s="8"/>
      <c r="AI320" s="8"/>
      <c r="AJ320" s="8"/>
      <c r="AK320" s="8"/>
      <c r="AL320" s="8"/>
      <c r="AM320" s="81" t="s">
        <v>243</v>
      </c>
      <c r="AN320" s="8"/>
      <c r="AO320" s="8"/>
      <c r="AP320" s="8"/>
      <c r="AQ320" s="8"/>
      <c r="AR320" s="9">
        <v>39178</v>
      </c>
      <c r="AS320" s="8" t="s">
        <v>8736</v>
      </c>
      <c r="AT320" s="8" t="s">
        <v>348</v>
      </c>
      <c r="AU320" s="9"/>
      <c r="AV320" s="81" t="s">
        <v>322</v>
      </c>
      <c r="AW320" s="81" t="s">
        <v>242</v>
      </c>
      <c r="AX320" s="8" t="s">
        <v>3426</v>
      </c>
      <c r="AY320" s="8"/>
      <c r="AZ320" s="8" t="s">
        <v>8737</v>
      </c>
      <c r="BA320" s="81" t="s">
        <v>399</v>
      </c>
      <c r="BB320" s="8"/>
      <c r="BC320" s="8"/>
      <c r="BD320" s="8"/>
      <c r="BE320" s="81" t="s">
        <v>261</v>
      </c>
      <c r="BF320" s="8" t="s">
        <v>3427</v>
      </c>
      <c r="BG320" s="9">
        <v>50065</v>
      </c>
      <c r="BH320" s="81" t="s">
        <v>305</v>
      </c>
      <c r="BI320" s="81" t="s">
        <v>83</v>
      </c>
      <c r="BJ320" s="9">
        <v>38412</v>
      </c>
      <c r="BK320" s="9">
        <v>39466</v>
      </c>
      <c r="BL320" s="81" t="s">
        <v>1400</v>
      </c>
      <c r="BM320" s="8"/>
      <c r="BN320" s="8"/>
      <c r="BO320" s="8"/>
      <c r="BP320" s="8"/>
      <c r="BQ320" s="9"/>
      <c r="BR320" s="9"/>
      <c r="BS320" s="8"/>
      <c r="BT320" s="81" t="s">
        <v>3431</v>
      </c>
      <c r="BU320" s="81" t="s">
        <v>266</v>
      </c>
      <c r="BV320" s="8" t="s">
        <v>3432</v>
      </c>
      <c r="BW320" s="81" t="s">
        <v>242</v>
      </c>
      <c r="BX320" s="81" t="s">
        <v>1556</v>
      </c>
      <c r="BY320" s="9">
        <v>39234</v>
      </c>
      <c r="BZ320" s="9"/>
      <c r="CA320" s="8" t="s">
        <v>905</v>
      </c>
    </row>
    <row r="321" spans="1:79" ht="205.2" x14ac:dyDescent="0.25">
      <c r="A321" s="81" t="s">
        <v>3433</v>
      </c>
      <c r="B321" s="8"/>
      <c r="C321" s="81" t="s">
        <v>26</v>
      </c>
      <c r="D321" s="8" t="s">
        <v>8093</v>
      </c>
      <c r="E321" s="8"/>
      <c r="F321" s="9">
        <v>29858</v>
      </c>
      <c r="G321" s="8" t="s">
        <v>2646</v>
      </c>
      <c r="H321" s="81" t="s">
        <v>250</v>
      </c>
      <c r="I321" s="81" t="s">
        <v>435</v>
      </c>
      <c r="J321" s="81" t="s">
        <v>252</v>
      </c>
      <c r="K321" s="81" t="s">
        <v>436</v>
      </c>
      <c r="L321" s="81" t="s">
        <v>102</v>
      </c>
      <c r="M321" s="81" t="s">
        <v>8738</v>
      </c>
      <c r="N321" s="81" t="s">
        <v>119</v>
      </c>
      <c r="O321" s="81" t="s">
        <v>29</v>
      </c>
      <c r="P321" s="9"/>
      <c r="Q321" s="8"/>
      <c r="R321" s="8"/>
      <c r="S321" s="8"/>
      <c r="T321" s="8"/>
      <c r="U321" s="8"/>
      <c r="V321" s="81" t="s">
        <v>8239</v>
      </c>
      <c r="W321" s="81" t="s">
        <v>3435</v>
      </c>
      <c r="X321" s="8" t="s">
        <v>3436</v>
      </c>
      <c r="Y321" s="81" t="s">
        <v>33</v>
      </c>
      <c r="Z321" s="8"/>
      <c r="AA321" s="81" t="s">
        <v>3122</v>
      </c>
      <c r="AB321" s="8"/>
      <c r="AC321" s="8"/>
      <c r="AD321" s="81" t="s">
        <v>344</v>
      </c>
      <c r="AE321" s="81" t="s">
        <v>8129</v>
      </c>
      <c r="AF321" s="81" t="s">
        <v>242</v>
      </c>
      <c r="AG321" s="81" t="s">
        <v>345</v>
      </c>
      <c r="AH321" s="81" t="s">
        <v>346</v>
      </c>
      <c r="AI321" s="81" t="s">
        <v>344</v>
      </c>
      <c r="AJ321" s="8"/>
      <c r="AK321" s="8"/>
      <c r="AL321" s="8"/>
      <c r="AM321" s="81" t="s">
        <v>243</v>
      </c>
      <c r="AN321" s="8"/>
      <c r="AO321" s="8"/>
      <c r="AP321" s="8"/>
      <c r="AQ321" s="8"/>
      <c r="AR321" s="9">
        <v>39174</v>
      </c>
      <c r="AS321" s="8" t="s">
        <v>8736</v>
      </c>
      <c r="AT321" s="8" t="s">
        <v>348</v>
      </c>
      <c r="AU321" s="9"/>
      <c r="AV321" s="81" t="s">
        <v>322</v>
      </c>
      <c r="AW321" s="81" t="s">
        <v>242</v>
      </c>
      <c r="AX321" s="8" t="s">
        <v>3437</v>
      </c>
      <c r="AY321" s="8"/>
      <c r="AZ321" s="8" t="s">
        <v>8739</v>
      </c>
      <c r="BA321" s="81" t="s">
        <v>556</v>
      </c>
      <c r="BB321" s="8"/>
      <c r="BC321" s="8"/>
      <c r="BD321" s="8"/>
      <c r="BE321" s="81" t="s">
        <v>261</v>
      </c>
      <c r="BF321" s="8" t="s">
        <v>3438</v>
      </c>
      <c r="BG321" s="9">
        <v>51356</v>
      </c>
      <c r="BH321" s="81" t="s">
        <v>713</v>
      </c>
      <c r="BI321" s="81" t="s">
        <v>3440</v>
      </c>
      <c r="BJ321" s="9">
        <v>35674</v>
      </c>
      <c r="BK321" s="9">
        <v>37072</v>
      </c>
      <c r="BL321" s="81" t="s">
        <v>3442</v>
      </c>
      <c r="BM321" s="8"/>
      <c r="BN321" s="8"/>
      <c r="BO321" s="8"/>
      <c r="BP321" s="8"/>
      <c r="BQ321" s="9"/>
      <c r="BR321" s="9"/>
      <c r="BS321" s="8"/>
      <c r="BT321" s="81" t="s">
        <v>3443</v>
      </c>
      <c r="BU321" s="81" t="s">
        <v>118</v>
      </c>
      <c r="BV321" s="8" t="s">
        <v>3444</v>
      </c>
      <c r="BW321" s="81" t="s">
        <v>242</v>
      </c>
      <c r="BX321" s="81" t="s">
        <v>337</v>
      </c>
      <c r="BY321" s="9">
        <v>44470</v>
      </c>
      <c r="BZ321" s="9">
        <v>46142</v>
      </c>
      <c r="CA321" s="8" t="s">
        <v>245</v>
      </c>
    </row>
    <row r="322" spans="1:79" ht="157.80000000000001" x14ac:dyDescent="0.25">
      <c r="A322" s="81" t="s">
        <v>3445</v>
      </c>
      <c r="B322" s="8"/>
      <c r="C322" s="81" t="s">
        <v>352</v>
      </c>
      <c r="D322" s="8" t="s">
        <v>8094</v>
      </c>
      <c r="E322" s="8"/>
      <c r="F322" s="9">
        <v>29224</v>
      </c>
      <c r="G322" s="8" t="s">
        <v>2621</v>
      </c>
      <c r="H322" s="81" t="s">
        <v>250</v>
      </c>
      <c r="I322" s="81" t="s">
        <v>251</v>
      </c>
      <c r="J322" s="81" t="s">
        <v>293</v>
      </c>
      <c r="K322" s="81" t="s">
        <v>1246</v>
      </c>
      <c r="L322" s="81" t="s">
        <v>102</v>
      </c>
      <c r="M322" s="81" t="s">
        <v>8740</v>
      </c>
      <c r="N322" s="81" t="s">
        <v>28</v>
      </c>
      <c r="O322" s="81" t="s">
        <v>29</v>
      </c>
      <c r="P322" s="9"/>
      <c r="Q322" s="8"/>
      <c r="R322" s="8"/>
      <c r="S322" s="8"/>
      <c r="T322" s="8"/>
      <c r="U322" s="8"/>
      <c r="V322" s="8"/>
      <c r="W322" s="8"/>
      <c r="X322" s="8" t="s">
        <v>3446</v>
      </c>
      <c r="Y322" s="81" t="s">
        <v>33</v>
      </c>
      <c r="Z322" s="8"/>
      <c r="AA322" s="81" t="s">
        <v>2155</v>
      </c>
      <c r="AB322" s="8"/>
      <c r="AC322" s="8"/>
      <c r="AD322" s="81" t="s">
        <v>709</v>
      </c>
      <c r="AE322" s="81" t="s">
        <v>8192</v>
      </c>
      <c r="AF322" s="81" t="s">
        <v>242</v>
      </c>
      <c r="AG322" s="81" t="s">
        <v>298</v>
      </c>
      <c r="AH322" s="81" t="s">
        <v>709</v>
      </c>
      <c r="AI322" s="8"/>
      <c r="AJ322" s="8"/>
      <c r="AK322" s="8"/>
      <c r="AL322" s="8"/>
      <c r="AM322" s="81" t="s">
        <v>243</v>
      </c>
      <c r="AN322" s="8"/>
      <c r="AO322" s="8"/>
      <c r="AP322" s="8"/>
      <c r="AQ322" s="8"/>
      <c r="AR322" s="9">
        <v>39161</v>
      </c>
      <c r="AS322" s="8" t="s">
        <v>8736</v>
      </c>
      <c r="AT322" s="8" t="s">
        <v>348</v>
      </c>
      <c r="AU322" s="9"/>
      <c r="AV322" s="81" t="s">
        <v>322</v>
      </c>
      <c r="AW322" s="81" t="s">
        <v>242</v>
      </c>
      <c r="AX322" s="8" t="s">
        <v>3447</v>
      </c>
      <c r="AY322" s="8"/>
      <c r="AZ322" s="8" t="s">
        <v>8257</v>
      </c>
      <c r="BA322" s="81" t="s">
        <v>361</v>
      </c>
      <c r="BB322" s="8"/>
      <c r="BC322" s="8"/>
      <c r="BD322" s="8"/>
      <c r="BE322" s="81" t="s">
        <v>261</v>
      </c>
      <c r="BF322" s="8" t="s">
        <v>3448</v>
      </c>
      <c r="BG322" s="9">
        <v>46238</v>
      </c>
      <c r="BH322" s="81" t="s">
        <v>1705</v>
      </c>
      <c r="BI322" s="81" t="s">
        <v>2087</v>
      </c>
      <c r="BJ322" s="9" t="s">
        <v>2088</v>
      </c>
      <c r="BK322" s="9"/>
      <c r="BL322" s="8"/>
      <c r="BM322" s="8"/>
      <c r="BN322" s="8"/>
      <c r="BO322" s="8"/>
      <c r="BP322" s="8"/>
      <c r="BQ322" s="9"/>
      <c r="BR322" s="9"/>
      <c r="BS322" s="8"/>
      <c r="BT322" s="81" t="s">
        <v>3450</v>
      </c>
      <c r="BU322" s="81" t="s">
        <v>118</v>
      </c>
      <c r="BV322" s="8" t="s">
        <v>3451</v>
      </c>
      <c r="BW322" s="81" t="s">
        <v>242</v>
      </c>
      <c r="BX322" s="81" t="s">
        <v>337</v>
      </c>
      <c r="BY322" s="9">
        <v>39946</v>
      </c>
      <c r="BZ322" s="9">
        <v>46599</v>
      </c>
      <c r="CA322" s="8" t="s">
        <v>61</v>
      </c>
    </row>
    <row r="323" spans="1:79" ht="205.2" x14ac:dyDescent="0.25">
      <c r="A323" s="81" t="s">
        <v>3452</v>
      </c>
      <c r="B323" s="8"/>
      <c r="C323" s="81" t="s">
        <v>26</v>
      </c>
      <c r="D323" s="8" t="s">
        <v>8095</v>
      </c>
      <c r="E323" s="8"/>
      <c r="F323" s="9">
        <v>28931</v>
      </c>
      <c r="G323" s="8" t="s">
        <v>1313</v>
      </c>
      <c r="H323" s="81" t="s">
        <v>250</v>
      </c>
      <c r="I323" s="81" t="s">
        <v>838</v>
      </c>
      <c r="J323" s="81" t="s">
        <v>252</v>
      </c>
      <c r="K323" s="81" t="s">
        <v>668</v>
      </c>
      <c r="L323" s="81" t="s">
        <v>102</v>
      </c>
      <c r="M323" s="81" t="s">
        <v>3453</v>
      </c>
      <c r="N323" s="81" t="s">
        <v>119</v>
      </c>
      <c r="O323" s="81" t="s">
        <v>29</v>
      </c>
      <c r="P323" s="9"/>
      <c r="Q323" s="8"/>
      <c r="R323" s="8"/>
      <c r="S323" s="8"/>
      <c r="T323" s="8"/>
      <c r="U323" s="8"/>
      <c r="V323" s="81" t="s">
        <v>8239</v>
      </c>
      <c r="W323" s="81" t="s">
        <v>3153</v>
      </c>
      <c r="X323" s="8" t="s">
        <v>3454</v>
      </c>
      <c r="Y323" s="81" t="s">
        <v>33</v>
      </c>
      <c r="Z323" s="8"/>
      <c r="AA323" s="81" t="s">
        <v>1739</v>
      </c>
      <c r="AB323" s="8"/>
      <c r="AC323" s="8"/>
      <c r="AD323" s="81" t="s">
        <v>344</v>
      </c>
      <c r="AE323" s="81" t="s">
        <v>8129</v>
      </c>
      <c r="AF323" s="81" t="s">
        <v>242</v>
      </c>
      <c r="AG323" s="81" t="s">
        <v>345</v>
      </c>
      <c r="AH323" s="81" t="s">
        <v>346</v>
      </c>
      <c r="AI323" s="81" t="s">
        <v>344</v>
      </c>
      <c r="AJ323" s="8"/>
      <c r="AK323" s="8"/>
      <c r="AL323" s="8"/>
      <c r="AM323" s="81" t="s">
        <v>243</v>
      </c>
      <c r="AN323" s="8"/>
      <c r="AO323" s="8"/>
      <c r="AP323" s="8"/>
      <c r="AQ323" s="8"/>
      <c r="AR323" s="9">
        <v>39158</v>
      </c>
      <c r="AS323" s="8" t="s">
        <v>8736</v>
      </c>
      <c r="AT323" s="8" t="s">
        <v>348</v>
      </c>
      <c r="AU323" s="9"/>
      <c r="AV323" s="81" t="s">
        <v>322</v>
      </c>
      <c r="AW323" s="81" t="s">
        <v>242</v>
      </c>
      <c r="AX323" s="8" t="s">
        <v>3455</v>
      </c>
      <c r="AY323" s="8"/>
      <c r="AZ323" s="8" t="s">
        <v>8400</v>
      </c>
      <c r="BA323" s="81" t="s">
        <v>556</v>
      </c>
      <c r="BB323" s="8"/>
      <c r="BC323" s="8"/>
      <c r="BD323" s="8"/>
      <c r="BE323" s="81" t="s">
        <v>261</v>
      </c>
      <c r="BF323" s="8" t="s">
        <v>3456</v>
      </c>
      <c r="BG323" s="9">
        <v>50845</v>
      </c>
      <c r="BH323" s="81" t="s">
        <v>713</v>
      </c>
      <c r="BI323" s="81" t="s">
        <v>3458</v>
      </c>
      <c r="BJ323" s="9">
        <v>36404</v>
      </c>
      <c r="BK323" s="9">
        <v>37082</v>
      </c>
      <c r="BL323" s="81" t="s">
        <v>3459</v>
      </c>
      <c r="BM323" s="8"/>
      <c r="BN323" s="8"/>
      <c r="BO323" s="8"/>
      <c r="BP323" s="8"/>
      <c r="BQ323" s="9"/>
      <c r="BR323" s="9"/>
      <c r="BS323" s="8"/>
      <c r="BT323" s="81" t="s">
        <v>3460</v>
      </c>
      <c r="BU323" s="81" t="s">
        <v>118</v>
      </c>
      <c r="BV323" s="8" t="s">
        <v>3461</v>
      </c>
      <c r="BW323" s="81" t="s">
        <v>242</v>
      </c>
      <c r="BX323" s="81" t="s">
        <v>1556</v>
      </c>
      <c r="BY323" s="9">
        <v>44470</v>
      </c>
      <c r="BZ323" s="9"/>
      <c r="CA323" s="8" t="s">
        <v>245</v>
      </c>
    </row>
    <row r="324" spans="1:79" ht="141.6" x14ac:dyDescent="0.25">
      <c r="A324" s="81" t="s">
        <v>3462</v>
      </c>
      <c r="B324" s="8"/>
      <c r="C324" s="81" t="s">
        <v>352</v>
      </c>
      <c r="D324" s="8" t="s">
        <v>8096</v>
      </c>
      <c r="E324" s="8"/>
      <c r="F324" s="9">
        <v>25126</v>
      </c>
      <c r="G324" s="8" t="s">
        <v>2664</v>
      </c>
      <c r="H324" s="81" t="s">
        <v>250</v>
      </c>
      <c r="I324" s="81" t="s">
        <v>983</v>
      </c>
      <c r="J324" s="81" t="s">
        <v>252</v>
      </c>
      <c r="K324" s="81" t="s">
        <v>668</v>
      </c>
      <c r="L324" s="81" t="s">
        <v>102</v>
      </c>
      <c r="M324" s="81" t="s">
        <v>3463</v>
      </c>
      <c r="N324" s="81" t="s">
        <v>119</v>
      </c>
      <c r="O324" s="81" t="s">
        <v>29</v>
      </c>
      <c r="P324" s="9"/>
      <c r="Q324" s="8"/>
      <c r="R324" s="8"/>
      <c r="S324" s="8"/>
      <c r="T324" s="8"/>
      <c r="U324" s="8"/>
      <c r="V324" s="8"/>
      <c r="W324" s="8"/>
      <c r="X324" s="8" t="s">
        <v>3464</v>
      </c>
      <c r="Y324" s="81" t="s">
        <v>33</v>
      </c>
      <c r="Z324" s="8"/>
      <c r="AA324" s="81" t="s">
        <v>2361</v>
      </c>
      <c r="AB324" s="8"/>
      <c r="AC324" s="8"/>
      <c r="AD324" s="81" t="s">
        <v>1353</v>
      </c>
      <c r="AE324" s="81" t="s">
        <v>8303</v>
      </c>
      <c r="AF324" s="81" t="s">
        <v>242</v>
      </c>
      <c r="AG324" s="81" t="s">
        <v>1353</v>
      </c>
      <c r="AH324" s="8"/>
      <c r="AI324" s="8"/>
      <c r="AJ324" s="8"/>
      <c r="AK324" s="8"/>
      <c r="AL324" s="8"/>
      <c r="AM324" s="81" t="s">
        <v>243</v>
      </c>
      <c r="AN324" s="8"/>
      <c r="AO324" s="8"/>
      <c r="AP324" s="8"/>
      <c r="AQ324" s="8"/>
      <c r="AR324" s="9">
        <v>38933</v>
      </c>
      <c r="AS324" s="8" t="s">
        <v>8741</v>
      </c>
      <c r="AT324" s="8" t="s">
        <v>348</v>
      </c>
      <c r="AU324" s="9"/>
      <c r="AV324" s="81" t="s">
        <v>322</v>
      </c>
      <c r="AW324" s="81" t="s">
        <v>242</v>
      </c>
      <c r="AX324" s="8" t="s">
        <v>3466</v>
      </c>
      <c r="AY324" s="8"/>
      <c r="AZ324" s="8" t="s">
        <v>8742</v>
      </c>
      <c r="BA324" s="81" t="s">
        <v>361</v>
      </c>
      <c r="BB324" s="8"/>
      <c r="BC324" s="8"/>
      <c r="BD324" s="8"/>
      <c r="BE324" s="81" t="s">
        <v>261</v>
      </c>
      <c r="BF324" s="8" t="s">
        <v>3467</v>
      </c>
      <c r="BG324" s="9">
        <v>46352</v>
      </c>
      <c r="BH324" s="81" t="s">
        <v>305</v>
      </c>
      <c r="BI324" s="81" t="s">
        <v>3469</v>
      </c>
      <c r="BJ324" s="9">
        <v>36770</v>
      </c>
      <c r="BK324" s="9">
        <v>37803</v>
      </c>
      <c r="BL324" s="81" t="s">
        <v>3470</v>
      </c>
      <c r="BM324" s="8"/>
      <c r="BN324" s="8"/>
      <c r="BO324" s="8"/>
      <c r="BP324" s="8"/>
      <c r="BQ324" s="9"/>
      <c r="BR324" s="9"/>
      <c r="BS324" s="8"/>
      <c r="BT324" s="81" t="s">
        <v>3471</v>
      </c>
      <c r="BU324" s="81" t="s">
        <v>118</v>
      </c>
      <c r="BV324" s="8" t="s">
        <v>3472</v>
      </c>
      <c r="BW324" s="81" t="s">
        <v>242</v>
      </c>
      <c r="BX324" s="81" t="s">
        <v>1625</v>
      </c>
      <c r="BY324" s="9">
        <v>45962</v>
      </c>
      <c r="BZ324" s="9">
        <v>46326</v>
      </c>
      <c r="CA324" s="8"/>
    </row>
    <row r="325" spans="1:79" ht="141.6" x14ac:dyDescent="0.25">
      <c r="A325" s="81" t="s">
        <v>3473</v>
      </c>
      <c r="B325" s="8"/>
      <c r="C325" s="81" t="s">
        <v>26</v>
      </c>
      <c r="D325" s="8" t="s">
        <v>8097</v>
      </c>
      <c r="E325" s="8"/>
      <c r="F325" s="9">
        <v>26128</v>
      </c>
      <c r="G325" s="8" t="s">
        <v>2518</v>
      </c>
      <c r="H325" s="81" t="s">
        <v>250</v>
      </c>
      <c r="I325" s="81" t="s">
        <v>251</v>
      </c>
      <c r="J325" s="81" t="s">
        <v>252</v>
      </c>
      <c r="K325" s="81" t="s">
        <v>668</v>
      </c>
      <c r="L325" s="81" t="s">
        <v>102</v>
      </c>
      <c r="M325" s="81" t="s">
        <v>8743</v>
      </c>
      <c r="N325" s="81" t="s">
        <v>119</v>
      </c>
      <c r="O325" s="81" t="s">
        <v>29</v>
      </c>
      <c r="P325" s="9"/>
      <c r="Q325" s="8"/>
      <c r="R325" s="8"/>
      <c r="S325" s="8"/>
      <c r="T325" s="8"/>
      <c r="U325" s="8"/>
      <c r="V325" s="8"/>
      <c r="W325" s="8"/>
      <c r="X325" s="8" t="s">
        <v>3475</v>
      </c>
      <c r="Y325" s="81" t="s">
        <v>33</v>
      </c>
      <c r="Z325" s="8"/>
      <c r="AA325" s="81" t="s">
        <v>551</v>
      </c>
      <c r="AB325" s="8"/>
      <c r="AC325" s="8"/>
      <c r="AD325" s="81" t="s">
        <v>553</v>
      </c>
      <c r="AE325" s="81" t="s">
        <v>8194</v>
      </c>
      <c r="AF325" s="81" t="s">
        <v>492</v>
      </c>
      <c r="AG325" s="81" t="s">
        <v>553</v>
      </c>
      <c r="AH325" s="8"/>
      <c r="AI325" s="8"/>
      <c r="AJ325" s="8"/>
      <c r="AK325" s="8"/>
      <c r="AL325" s="8"/>
      <c r="AM325" s="81" t="s">
        <v>243</v>
      </c>
      <c r="AN325" s="8"/>
      <c r="AO325" s="8"/>
      <c r="AP325" s="8"/>
      <c r="AQ325" s="8"/>
      <c r="AR325" s="9">
        <v>38890</v>
      </c>
      <c r="AS325" s="8" t="s">
        <v>8744</v>
      </c>
      <c r="AT325" s="8" t="s">
        <v>348</v>
      </c>
      <c r="AU325" s="9"/>
      <c r="AV325" s="81" t="s">
        <v>322</v>
      </c>
      <c r="AW325" s="81" t="s">
        <v>492</v>
      </c>
      <c r="AX325" s="8" t="s">
        <v>3476</v>
      </c>
      <c r="AY325" s="8"/>
      <c r="AZ325" s="8" t="s">
        <v>8366</v>
      </c>
      <c r="BA325" s="81" t="s">
        <v>556</v>
      </c>
      <c r="BB325" s="8"/>
      <c r="BC325" s="8"/>
      <c r="BD325" s="8"/>
      <c r="BE325" s="81" t="s">
        <v>261</v>
      </c>
      <c r="BF325" s="8" t="s">
        <v>3477</v>
      </c>
      <c r="BG325" s="9">
        <v>46238</v>
      </c>
      <c r="BH325" s="81" t="s">
        <v>713</v>
      </c>
      <c r="BI325" s="81" t="s">
        <v>3478</v>
      </c>
      <c r="BJ325" s="9">
        <v>33848</v>
      </c>
      <c r="BK325" s="9">
        <v>34890</v>
      </c>
      <c r="BL325" s="81" t="s">
        <v>3479</v>
      </c>
      <c r="BM325" s="8"/>
      <c r="BN325" s="8"/>
      <c r="BO325" s="8"/>
      <c r="BP325" s="8"/>
      <c r="BQ325" s="9"/>
      <c r="BR325" s="9"/>
      <c r="BS325" s="8"/>
      <c r="BT325" s="81" t="s">
        <v>3480</v>
      </c>
      <c r="BU325" s="81" t="s">
        <v>118</v>
      </c>
      <c r="BV325" s="8" t="s">
        <v>3481</v>
      </c>
      <c r="BW325" s="81" t="s">
        <v>492</v>
      </c>
      <c r="BX325" s="81" t="s">
        <v>1556</v>
      </c>
      <c r="BY325" s="9">
        <v>43836</v>
      </c>
      <c r="BZ325" s="9"/>
      <c r="CA325" s="8" t="s">
        <v>245</v>
      </c>
    </row>
    <row r="326" spans="1:79" ht="141.6" x14ac:dyDescent="0.25">
      <c r="A326" s="81" t="s">
        <v>3482</v>
      </c>
      <c r="B326" s="8"/>
      <c r="C326" s="81" t="s">
        <v>26</v>
      </c>
      <c r="D326" s="8" t="s">
        <v>8098</v>
      </c>
      <c r="E326" s="8"/>
      <c r="F326" s="9">
        <v>30209</v>
      </c>
      <c r="G326" s="8" t="s">
        <v>1245</v>
      </c>
      <c r="H326" s="81" t="s">
        <v>250</v>
      </c>
      <c r="I326" s="81" t="s">
        <v>435</v>
      </c>
      <c r="J326" s="81" t="s">
        <v>474</v>
      </c>
      <c r="K326" s="81" t="s">
        <v>608</v>
      </c>
      <c r="L326" s="81" t="s">
        <v>102</v>
      </c>
      <c r="M326" s="81" t="s">
        <v>8745</v>
      </c>
      <c r="N326" s="81" t="s">
        <v>119</v>
      </c>
      <c r="O326" s="81" t="s">
        <v>29</v>
      </c>
      <c r="P326" s="9"/>
      <c r="Q326" s="8"/>
      <c r="R326" s="8"/>
      <c r="S326" s="8"/>
      <c r="T326" s="81" t="s">
        <v>8145</v>
      </c>
      <c r="U326" s="81" t="s">
        <v>1654</v>
      </c>
      <c r="V326" s="8"/>
      <c r="W326" s="8"/>
      <c r="X326" s="8" t="s">
        <v>3483</v>
      </c>
      <c r="Y326" s="81" t="s">
        <v>33</v>
      </c>
      <c r="Z326" s="8"/>
      <c r="AA326" s="81" t="s">
        <v>419</v>
      </c>
      <c r="AB326" s="8"/>
      <c r="AC326" s="8"/>
      <c r="AD326" s="81" t="s">
        <v>420</v>
      </c>
      <c r="AE326" s="81" t="s">
        <v>8142</v>
      </c>
      <c r="AF326" s="81" t="s">
        <v>242</v>
      </c>
      <c r="AG326" s="81" t="s">
        <v>420</v>
      </c>
      <c r="AH326" s="8"/>
      <c r="AI326" s="8"/>
      <c r="AJ326" s="8"/>
      <c r="AK326" s="8"/>
      <c r="AL326" s="8"/>
      <c r="AM326" s="81" t="s">
        <v>243</v>
      </c>
      <c r="AN326" s="8"/>
      <c r="AO326" s="8"/>
      <c r="AP326" s="8"/>
      <c r="AQ326" s="8"/>
      <c r="AR326" s="9">
        <v>38852</v>
      </c>
      <c r="AS326" s="8" t="s">
        <v>8746</v>
      </c>
      <c r="AT326" s="8" t="s">
        <v>348</v>
      </c>
      <c r="AU326" s="9"/>
      <c r="AV326" s="81" t="s">
        <v>322</v>
      </c>
      <c r="AW326" s="81" t="s">
        <v>242</v>
      </c>
      <c r="AX326" s="8" t="s">
        <v>3484</v>
      </c>
      <c r="AY326" s="8"/>
      <c r="AZ326" s="8" t="s">
        <v>8747</v>
      </c>
      <c r="BA326" s="81" t="s">
        <v>361</v>
      </c>
      <c r="BB326" s="8"/>
      <c r="BC326" s="8"/>
      <c r="BD326" s="8"/>
      <c r="BE326" s="81" t="s">
        <v>261</v>
      </c>
      <c r="BF326" s="8" t="s">
        <v>3485</v>
      </c>
      <c r="BG326" s="9">
        <v>50281</v>
      </c>
      <c r="BH326" s="81" t="s">
        <v>81</v>
      </c>
      <c r="BI326" s="81" t="s">
        <v>3487</v>
      </c>
      <c r="BJ326" s="9">
        <v>37135</v>
      </c>
      <c r="BK326" s="9">
        <v>38533</v>
      </c>
      <c r="BL326" s="81" t="s">
        <v>3489</v>
      </c>
      <c r="BM326" s="81" t="s">
        <v>82</v>
      </c>
      <c r="BN326" s="8"/>
      <c r="BO326" s="8"/>
      <c r="BP326" s="8"/>
      <c r="BQ326" s="9"/>
      <c r="BR326" s="9"/>
      <c r="BS326" s="8"/>
      <c r="BT326" s="8"/>
      <c r="BU326" s="8"/>
      <c r="BV326" s="8"/>
      <c r="BW326" s="81" t="s">
        <v>242</v>
      </c>
      <c r="BX326" s="81" t="s">
        <v>1556</v>
      </c>
      <c r="BY326" s="9">
        <v>39769</v>
      </c>
      <c r="BZ326" s="9"/>
      <c r="CA326" s="8" t="s">
        <v>245</v>
      </c>
    </row>
    <row r="327" spans="1:79" ht="141.6" x14ac:dyDescent="0.25">
      <c r="A327" s="81" t="s">
        <v>3491</v>
      </c>
      <c r="B327" s="8"/>
      <c r="C327" s="81" t="s">
        <v>26</v>
      </c>
      <c r="D327" s="8" t="s">
        <v>8099</v>
      </c>
      <c r="E327" s="8"/>
      <c r="F327" s="9">
        <v>25816</v>
      </c>
      <c r="G327" s="8" t="s">
        <v>3129</v>
      </c>
      <c r="H327" s="81" t="s">
        <v>250</v>
      </c>
      <c r="I327" s="81" t="s">
        <v>27</v>
      </c>
      <c r="J327" s="81" t="s">
        <v>252</v>
      </c>
      <c r="K327" s="81" t="s">
        <v>415</v>
      </c>
      <c r="L327" s="81" t="s">
        <v>102</v>
      </c>
      <c r="M327" s="81" t="s">
        <v>3492</v>
      </c>
      <c r="N327" s="81" t="s">
        <v>119</v>
      </c>
      <c r="O327" s="81" t="s">
        <v>29</v>
      </c>
      <c r="P327" s="9"/>
      <c r="Q327" s="8"/>
      <c r="R327" s="8"/>
      <c r="S327" s="8"/>
      <c r="T327" s="81" t="s">
        <v>8145</v>
      </c>
      <c r="U327" s="81" t="s">
        <v>1095</v>
      </c>
      <c r="V327" s="8"/>
      <c r="W327" s="8"/>
      <c r="X327" s="8" t="s">
        <v>3493</v>
      </c>
      <c r="Y327" s="81" t="s">
        <v>33</v>
      </c>
      <c r="Z327" s="8"/>
      <c r="AA327" s="81" t="s">
        <v>3494</v>
      </c>
      <c r="AB327" s="8"/>
      <c r="AC327" s="8"/>
      <c r="AD327" s="81" t="s">
        <v>672</v>
      </c>
      <c r="AE327" s="81" t="s">
        <v>8183</v>
      </c>
      <c r="AF327" s="81" t="s">
        <v>242</v>
      </c>
      <c r="AG327" s="81" t="s">
        <v>672</v>
      </c>
      <c r="AH327" s="8"/>
      <c r="AI327" s="8"/>
      <c r="AJ327" s="8"/>
      <c r="AK327" s="8"/>
      <c r="AL327" s="8"/>
      <c r="AM327" s="81" t="s">
        <v>243</v>
      </c>
      <c r="AN327" s="8"/>
      <c r="AO327" s="8"/>
      <c r="AP327" s="8"/>
      <c r="AQ327" s="8"/>
      <c r="AR327" s="9">
        <v>38596</v>
      </c>
      <c r="AS327" s="8" t="s">
        <v>8748</v>
      </c>
      <c r="AT327" s="8" t="s">
        <v>348</v>
      </c>
      <c r="AU327" s="9"/>
      <c r="AV327" s="81" t="s">
        <v>322</v>
      </c>
      <c r="AW327" s="81" t="s">
        <v>242</v>
      </c>
      <c r="AX327" s="8" t="s">
        <v>3495</v>
      </c>
      <c r="AY327" s="8"/>
      <c r="AZ327" s="8" t="s">
        <v>8749</v>
      </c>
      <c r="BA327" s="81" t="s">
        <v>676</v>
      </c>
      <c r="BB327" s="8"/>
      <c r="BC327" s="8"/>
      <c r="BD327" s="8"/>
      <c r="BE327" s="81" t="s">
        <v>261</v>
      </c>
      <c r="BF327" s="8" t="s">
        <v>3496</v>
      </c>
      <c r="BG327" s="9">
        <v>47091</v>
      </c>
      <c r="BH327" s="81" t="s">
        <v>81</v>
      </c>
      <c r="BI327" s="81" t="s">
        <v>3498</v>
      </c>
      <c r="BJ327" s="9">
        <v>34578</v>
      </c>
      <c r="BK327" s="9">
        <v>35977</v>
      </c>
      <c r="BL327" s="81" t="s">
        <v>3500</v>
      </c>
      <c r="BM327" s="81" t="s">
        <v>82</v>
      </c>
      <c r="BN327" s="8"/>
      <c r="BO327" s="8"/>
      <c r="BP327" s="8"/>
      <c r="BQ327" s="9"/>
      <c r="BR327" s="9"/>
      <c r="BS327" s="8"/>
      <c r="BT327" s="81" t="s">
        <v>3501</v>
      </c>
      <c r="BU327" s="81" t="s">
        <v>118</v>
      </c>
      <c r="BV327" s="8" t="s">
        <v>3502</v>
      </c>
      <c r="BW327" s="81" t="s">
        <v>242</v>
      </c>
      <c r="BX327" s="81" t="s">
        <v>1556</v>
      </c>
      <c r="BY327" s="9">
        <v>39769</v>
      </c>
      <c r="BZ327" s="9"/>
      <c r="CA327" s="8" t="s">
        <v>245</v>
      </c>
    </row>
    <row r="328" spans="1:79" ht="157.19999999999999" x14ac:dyDescent="0.25">
      <c r="A328" s="81" t="s">
        <v>3503</v>
      </c>
      <c r="B328" s="8"/>
      <c r="C328" s="81" t="s">
        <v>26</v>
      </c>
      <c r="D328" s="8" t="s">
        <v>8100</v>
      </c>
      <c r="E328" s="8"/>
      <c r="F328" s="9">
        <v>28639</v>
      </c>
      <c r="G328" s="8" t="s">
        <v>1313</v>
      </c>
      <c r="H328" s="81" t="s">
        <v>250</v>
      </c>
      <c r="I328" s="81" t="s">
        <v>27</v>
      </c>
      <c r="J328" s="81" t="s">
        <v>252</v>
      </c>
      <c r="K328" s="81" t="s">
        <v>415</v>
      </c>
      <c r="L328" s="81" t="s">
        <v>102</v>
      </c>
      <c r="M328" s="81" t="s">
        <v>3505</v>
      </c>
      <c r="N328" s="81" t="s">
        <v>119</v>
      </c>
      <c r="O328" s="81" t="s">
        <v>29</v>
      </c>
      <c r="P328" s="9"/>
      <c r="Q328" s="8"/>
      <c r="R328" s="8"/>
      <c r="S328" s="8"/>
      <c r="T328" s="81" t="s">
        <v>8145</v>
      </c>
      <c r="U328" s="81" t="s">
        <v>1654</v>
      </c>
      <c r="V328" s="8"/>
      <c r="W328" s="8"/>
      <c r="X328" s="8" t="s">
        <v>3506</v>
      </c>
      <c r="Y328" s="81" t="s">
        <v>33</v>
      </c>
      <c r="Z328" s="8"/>
      <c r="AA328" s="81" t="s">
        <v>3507</v>
      </c>
      <c r="AB328" s="8"/>
      <c r="AC328" s="8"/>
      <c r="AD328" s="81" t="s">
        <v>491</v>
      </c>
      <c r="AE328" s="81" t="s">
        <v>8152</v>
      </c>
      <c r="AF328" s="81" t="s">
        <v>492</v>
      </c>
      <c r="AG328" s="81" t="s">
        <v>491</v>
      </c>
      <c r="AH328" s="8"/>
      <c r="AI328" s="8"/>
      <c r="AJ328" s="8"/>
      <c r="AK328" s="8"/>
      <c r="AL328" s="8"/>
      <c r="AM328" s="81" t="s">
        <v>243</v>
      </c>
      <c r="AN328" s="8"/>
      <c r="AO328" s="8"/>
      <c r="AP328" s="8"/>
      <c r="AQ328" s="8"/>
      <c r="AR328" s="9">
        <v>38594</v>
      </c>
      <c r="AS328" s="8" t="s">
        <v>8748</v>
      </c>
      <c r="AT328" s="8" t="s">
        <v>348</v>
      </c>
      <c r="AU328" s="9"/>
      <c r="AV328" s="81" t="s">
        <v>322</v>
      </c>
      <c r="AW328" s="81" t="s">
        <v>492</v>
      </c>
      <c r="AX328" s="8" t="s">
        <v>3508</v>
      </c>
      <c r="AY328" s="8"/>
      <c r="AZ328" s="8" t="s">
        <v>8253</v>
      </c>
      <c r="BA328" s="81" t="s">
        <v>399</v>
      </c>
      <c r="BB328" s="8"/>
      <c r="BC328" s="8"/>
      <c r="BD328" s="8"/>
      <c r="BE328" s="81" t="s">
        <v>261</v>
      </c>
      <c r="BF328" s="8" t="s">
        <v>3509</v>
      </c>
      <c r="BG328" s="9">
        <v>46495</v>
      </c>
      <c r="BH328" s="81" t="s">
        <v>81</v>
      </c>
      <c r="BI328" s="81" t="s">
        <v>3511</v>
      </c>
      <c r="BJ328" s="9">
        <v>35674</v>
      </c>
      <c r="BK328" s="9">
        <v>37073</v>
      </c>
      <c r="BL328" s="81" t="s">
        <v>405</v>
      </c>
      <c r="BM328" s="81" t="s">
        <v>82</v>
      </c>
      <c r="BN328" s="8"/>
      <c r="BO328" s="8"/>
      <c r="BP328" s="8"/>
      <c r="BQ328" s="9"/>
      <c r="BR328" s="9"/>
      <c r="BS328" s="8"/>
      <c r="BT328" s="8"/>
      <c r="BU328" s="8"/>
      <c r="BV328" s="8"/>
      <c r="BW328" s="81" t="s">
        <v>492</v>
      </c>
      <c r="BX328" s="81" t="s">
        <v>1556</v>
      </c>
      <c r="BY328" s="9">
        <v>43836</v>
      </c>
      <c r="BZ328" s="9"/>
      <c r="CA328" s="8" t="s">
        <v>245</v>
      </c>
    </row>
    <row r="329" spans="1:79" ht="141.6" x14ac:dyDescent="0.25">
      <c r="A329" s="81" t="s">
        <v>3513</v>
      </c>
      <c r="B329" s="8"/>
      <c r="C329" s="81" t="s">
        <v>26</v>
      </c>
      <c r="D329" s="8" t="s">
        <v>8101</v>
      </c>
      <c r="E329" s="8"/>
      <c r="F329" s="9">
        <v>27202</v>
      </c>
      <c r="G329" s="8" t="s">
        <v>2791</v>
      </c>
      <c r="H329" s="81" t="s">
        <v>250</v>
      </c>
      <c r="I329" s="81" t="s">
        <v>27</v>
      </c>
      <c r="J329" s="81" t="s">
        <v>252</v>
      </c>
      <c r="K329" s="81" t="s">
        <v>1314</v>
      </c>
      <c r="L329" s="81" t="s">
        <v>102</v>
      </c>
      <c r="M329" s="81" t="s">
        <v>8750</v>
      </c>
      <c r="N329" s="81" t="s">
        <v>119</v>
      </c>
      <c r="O329" s="81" t="s">
        <v>29</v>
      </c>
      <c r="P329" s="9"/>
      <c r="Q329" s="8"/>
      <c r="R329" s="8"/>
      <c r="S329" s="8"/>
      <c r="T329" s="8"/>
      <c r="U329" s="8"/>
      <c r="V329" s="8"/>
      <c r="W329" s="8"/>
      <c r="X329" s="8" t="s">
        <v>3515</v>
      </c>
      <c r="Y329" s="81" t="s">
        <v>33</v>
      </c>
      <c r="Z329" s="8"/>
      <c r="AA329" s="81" t="s">
        <v>3516</v>
      </c>
      <c r="AB329" s="8"/>
      <c r="AC329" s="8"/>
      <c r="AD329" s="81" t="s">
        <v>553</v>
      </c>
      <c r="AE329" s="81" t="s">
        <v>8194</v>
      </c>
      <c r="AF329" s="81" t="s">
        <v>492</v>
      </c>
      <c r="AG329" s="81" t="s">
        <v>553</v>
      </c>
      <c r="AH329" s="8"/>
      <c r="AI329" s="8"/>
      <c r="AJ329" s="8"/>
      <c r="AK329" s="8"/>
      <c r="AL329" s="8"/>
      <c r="AM329" s="81" t="s">
        <v>243</v>
      </c>
      <c r="AN329" s="8"/>
      <c r="AO329" s="8"/>
      <c r="AP329" s="8"/>
      <c r="AQ329" s="8"/>
      <c r="AR329" s="9">
        <v>38292</v>
      </c>
      <c r="AS329" s="8" t="s">
        <v>8751</v>
      </c>
      <c r="AT329" s="8" t="s">
        <v>348</v>
      </c>
      <c r="AU329" s="9"/>
      <c r="AV329" s="81" t="s">
        <v>322</v>
      </c>
      <c r="AW329" s="81" t="s">
        <v>492</v>
      </c>
      <c r="AX329" s="8" t="s">
        <v>3517</v>
      </c>
      <c r="AY329" s="8"/>
      <c r="AZ329" s="8" t="s">
        <v>8752</v>
      </c>
      <c r="BA329" s="81" t="s">
        <v>556</v>
      </c>
      <c r="BB329" s="8"/>
      <c r="BC329" s="8"/>
      <c r="BD329" s="8"/>
      <c r="BE329" s="81" t="s">
        <v>261</v>
      </c>
      <c r="BF329" s="8" t="s">
        <v>3518</v>
      </c>
      <c r="BG329" s="9">
        <v>46310</v>
      </c>
      <c r="BH329" s="81" t="s">
        <v>713</v>
      </c>
      <c r="BI329" s="81" t="s">
        <v>3519</v>
      </c>
      <c r="BJ329" s="9">
        <v>33239</v>
      </c>
      <c r="BK329" s="9">
        <v>34516</v>
      </c>
      <c r="BL329" s="81" t="s">
        <v>2641</v>
      </c>
      <c r="BM329" s="8"/>
      <c r="BN329" s="8"/>
      <c r="BO329" s="8"/>
      <c r="BP329" s="8"/>
      <c r="BQ329" s="9"/>
      <c r="BR329" s="9"/>
      <c r="BS329" s="8"/>
      <c r="BT329" s="81" t="s">
        <v>3521</v>
      </c>
      <c r="BU329" s="81" t="s">
        <v>118</v>
      </c>
      <c r="BV329" s="8" t="s">
        <v>3522</v>
      </c>
      <c r="BW329" s="81" t="s">
        <v>492</v>
      </c>
      <c r="BX329" s="81" t="s">
        <v>1556</v>
      </c>
      <c r="BY329" s="9">
        <v>43836</v>
      </c>
      <c r="BZ329" s="9"/>
      <c r="CA329" s="8" t="s">
        <v>245</v>
      </c>
    </row>
    <row r="330" spans="1:79" ht="141.6" x14ac:dyDescent="0.25">
      <c r="A330" s="81" t="s">
        <v>3523</v>
      </c>
      <c r="B330" s="8"/>
      <c r="C330" s="81" t="s">
        <v>26</v>
      </c>
      <c r="D330" s="8" t="s">
        <v>8102</v>
      </c>
      <c r="E330" s="8"/>
      <c r="F330" s="9">
        <v>25456</v>
      </c>
      <c r="G330" s="8" t="s">
        <v>2021</v>
      </c>
      <c r="H330" s="81" t="s">
        <v>250</v>
      </c>
      <c r="I330" s="81" t="s">
        <v>27</v>
      </c>
      <c r="J330" s="81" t="s">
        <v>252</v>
      </c>
      <c r="K330" s="81" t="s">
        <v>668</v>
      </c>
      <c r="L330" s="81" t="s">
        <v>102</v>
      </c>
      <c r="M330" s="81" t="s">
        <v>8753</v>
      </c>
      <c r="N330" s="81" t="s">
        <v>119</v>
      </c>
      <c r="O330" s="81" t="s">
        <v>29</v>
      </c>
      <c r="P330" s="9"/>
      <c r="Q330" s="8"/>
      <c r="R330" s="8"/>
      <c r="S330" s="8"/>
      <c r="T330" s="81" t="s">
        <v>8247</v>
      </c>
      <c r="U330" s="81" t="s">
        <v>3525</v>
      </c>
      <c r="V330" s="8"/>
      <c r="W330" s="8"/>
      <c r="X330" s="8" t="s">
        <v>3526</v>
      </c>
      <c r="Y330" s="81" t="s">
        <v>33</v>
      </c>
      <c r="Z330" s="8"/>
      <c r="AA330" s="81" t="s">
        <v>3527</v>
      </c>
      <c r="AB330" s="8"/>
      <c r="AC330" s="8"/>
      <c r="AD330" s="81" t="s">
        <v>420</v>
      </c>
      <c r="AE330" s="81" t="s">
        <v>8142</v>
      </c>
      <c r="AF330" s="81" t="s">
        <v>242</v>
      </c>
      <c r="AG330" s="81" t="s">
        <v>420</v>
      </c>
      <c r="AH330" s="8"/>
      <c r="AI330" s="8"/>
      <c r="AJ330" s="8"/>
      <c r="AK330" s="8"/>
      <c r="AL330" s="8"/>
      <c r="AM330" s="81" t="s">
        <v>243</v>
      </c>
      <c r="AN330" s="8"/>
      <c r="AO330" s="8"/>
      <c r="AP330" s="8"/>
      <c r="AQ330" s="8"/>
      <c r="AR330" s="9">
        <v>38248</v>
      </c>
      <c r="AS330" s="8" t="s">
        <v>8754</v>
      </c>
      <c r="AT330" s="8" t="s">
        <v>348</v>
      </c>
      <c r="AU330" s="9"/>
      <c r="AV330" s="81" t="s">
        <v>322</v>
      </c>
      <c r="AW330" s="81" t="s">
        <v>242</v>
      </c>
      <c r="AX330" s="8" t="s">
        <v>3528</v>
      </c>
      <c r="AY330" s="8"/>
      <c r="AZ330" s="8" t="s">
        <v>8441</v>
      </c>
      <c r="BA330" s="81" t="s">
        <v>676</v>
      </c>
      <c r="BB330" s="8"/>
      <c r="BC330" s="8"/>
      <c r="BD330" s="8"/>
      <c r="BE330" s="81" t="s">
        <v>261</v>
      </c>
      <c r="BF330" s="8" t="s">
        <v>3529</v>
      </c>
      <c r="BG330" s="9">
        <v>46184</v>
      </c>
      <c r="BH330" s="81" t="s">
        <v>87</v>
      </c>
      <c r="BI330" s="81" t="s">
        <v>1032</v>
      </c>
      <c r="BJ330" s="9">
        <v>34943</v>
      </c>
      <c r="BK330" s="9">
        <v>35612</v>
      </c>
      <c r="BL330" s="81" t="s">
        <v>3532</v>
      </c>
      <c r="BM330" s="8"/>
      <c r="BN330" s="8"/>
      <c r="BO330" s="8"/>
      <c r="BP330" s="8"/>
      <c r="BQ330" s="9"/>
      <c r="BR330" s="9"/>
      <c r="BS330" s="8"/>
      <c r="BT330" s="81" t="s">
        <v>3533</v>
      </c>
      <c r="BU330" s="81" t="s">
        <v>118</v>
      </c>
      <c r="BV330" s="8" t="s">
        <v>3534</v>
      </c>
      <c r="BW330" s="81" t="s">
        <v>242</v>
      </c>
      <c r="BX330" s="81" t="s">
        <v>1556</v>
      </c>
      <c r="BY330" s="9">
        <v>39448</v>
      </c>
      <c r="BZ330" s="9"/>
      <c r="CA330" s="8" t="s">
        <v>245</v>
      </c>
    </row>
    <row r="331" spans="1:79" ht="141.6" x14ac:dyDescent="0.25">
      <c r="A331" s="81" t="s">
        <v>3536</v>
      </c>
      <c r="B331" s="8"/>
      <c r="C331" s="81" t="s">
        <v>26</v>
      </c>
      <c r="D331" s="8" t="s">
        <v>8103</v>
      </c>
      <c r="E331" s="8"/>
      <c r="F331" s="9">
        <v>27570</v>
      </c>
      <c r="G331" s="8" t="s">
        <v>2633</v>
      </c>
      <c r="H331" s="81" t="s">
        <v>250</v>
      </c>
      <c r="I331" s="81" t="s">
        <v>27</v>
      </c>
      <c r="J331" s="81" t="s">
        <v>252</v>
      </c>
      <c r="K331" s="81" t="s">
        <v>1246</v>
      </c>
      <c r="L331" s="81" t="s">
        <v>102</v>
      </c>
      <c r="M331" s="81" t="s">
        <v>8755</v>
      </c>
      <c r="N331" s="81" t="s">
        <v>119</v>
      </c>
      <c r="O331" s="81" t="s">
        <v>29</v>
      </c>
      <c r="P331" s="9"/>
      <c r="Q331" s="8"/>
      <c r="R331" s="8"/>
      <c r="S331" s="8"/>
      <c r="T331" s="8"/>
      <c r="U331" s="8"/>
      <c r="V331" s="8"/>
      <c r="W331" s="8"/>
      <c r="X331" s="8" t="s">
        <v>3537</v>
      </c>
      <c r="Y331" s="81" t="s">
        <v>33</v>
      </c>
      <c r="Z331" s="8"/>
      <c r="AA331" s="81" t="s">
        <v>3538</v>
      </c>
      <c r="AB331" s="8"/>
      <c r="AC331" s="8"/>
      <c r="AD331" s="81" t="s">
        <v>553</v>
      </c>
      <c r="AE331" s="81" t="s">
        <v>8194</v>
      </c>
      <c r="AF331" s="81" t="s">
        <v>492</v>
      </c>
      <c r="AG331" s="81" t="s">
        <v>553</v>
      </c>
      <c r="AH331" s="8"/>
      <c r="AI331" s="8"/>
      <c r="AJ331" s="8"/>
      <c r="AK331" s="8"/>
      <c r="AL331" s="8"/>
      <c r="AM331" s="81" t="s">
        <v>243</v>
      </c>
      <c r="AN331" s="8"/>
      <c r="AO331" s="8"/>
      <c r="AP331" s="8"/>
      <c r="AQ331" s="8"/>
      <c r="AR331" s="9">
        <v>37987</v>
      </c>
      <c r="AS331" s="8" t="s">
        <v>8756</v>
      </c>
      <c r="AT331" s="8" t="s">
        <v>348</v>
      </c>
      <c r="AU331" s="9"/>
      <c r="AV331" s="81" t="s">
        <v>322</v>
      </c>
      <c r="AW331" s="81" t="s">
        <v>492</v>
      </c>
      <c r="AX331" s="8" t="s">
        <v>3539</v>
      </c>
      <c r="AY331" s="8"/>
      <c r="AZ331" s="8" t="s">
        <v>8757</v>
      </c>
      <c r="BA331" s="81" t="s">
        <v>676</v>
      </c>
      <c r="BB331" s="8"/>
      <c r="BC331" s="8"/>
      <c r="BD331" s="8"/>
      <c r="BE331" s="81" t="s">
        <v>261</v>
      </c>
      <c r="BF331" s="8" t="s">
        <v>3540</v>
      </c>
      <c r="BG331" s="9">
        <v>48680</v>
      </c>
      <c r="BH331" s="81" t="s">
        <v>713</v>
      </c>
      <c r="BI331" s="81" t="s">
        <v>3519</v>
      </c>
      <c r="BJ331" s="9">
        <v>33239</v>
      </c>
      <c r="BK331" s="9">
        <v>34516</v>
      </c>
      <c r="BL331" s="81" t="s">
        <v>2641</v>
      </c>
      <c r="BM331" s="8"/>
      <c r="BN331" s="8"/>
      <c r="BO331" s="8"/>
      <c r="BP331" s="8"/>
      <c r="BQ331" s="9"/>
      <c r="BR331" s="9"/>
      <c r="BS331" s="8"/>
      <c r="BT331" s="81" t="s">
        <v>3542</v>
      </c>
      <c r="BU331" s="81" t="s">
        <v>118</v>
      </c>
      <c r="BV331" s="8" t="s">
        <v>3543</v>
      </c>
      <c r="BW331" s="81" t="s">
        <v>492</v>
      </c>
      <c r="BX331" s="81" t="s">
        <v>1556</v>
      </c>
      <c r="BY331" s="9">
        <v>43836</v>
      </c>
      <c r="BZ331" s="9"/>
      <c r="CA331" s="8" t="s">
        <v>245</v>
      </c>
    </row>
    <row r="332" spans="1:79" ht="141.6" x14ac:dyDescent="0.25">
      <c r="A332" s="81" t="s">
        <v>3544</v>
      </c>
      <c r="B332" s="8"/>
      <c r="C332" s="81" t="s">
        <v>352</v>
      </c>
      <c r="D332" s="8" t="s">
        <v>8104</v>
      </c>
      <c r="E332" s="8"/>
      <c r="F332" s="9">
        <v>28924</v>
      </c>
      <c r="G332" s="8" t="s">
        <v>1313</v>
      </c>
      <c r="H332" s="81" t="s">
        <v>250</v>
      </c>
      <c r="I332" s="81" t="s">
        <v>27</v>
      </c>
      <c r="J332" s="81" t="s">
        <v>270</v>
      </c>
      <c r="K332" s="81" t="s">
        <v>353</v>
      </c>
      <c r="L332" s="81" t="s">
        <v>102</v>
      </c>
      <c r="M332" s="81" t="s">
        <v>3545</v>
      </c>
      <c r="N332" s="81" t="s">
        <v>119</v>
      </c>
      <c r="O332" s="81" t="s">
        <v>29</v>
      </c>
      <c r="P332" s="9"/>
      <c r="Q332" s="8"/>
      <c r="R332" s="8"/>
      <c r="S332" s="8"/>
      <c r="T332" s="8"/>
      <c r="U332" s="8"/>
      <c r="V332" s="8"/>
      <c r="W332" s="8"/>
      <c r="X332" s="8" t="s">
        <v>3546</v>
      </c>
      <c r="Y332" s="81" t="s">
        <v>33</v>
      </c>
      <c r="Z332" s="8"/>
      <c r="AA332" s="81" t="s">
        <v>2672</v>
      </c>
      <c r="AB332" s="8"/>
      <c r="AC332" s="8"/>
      <c r="AD332" s="81" t="s">
        <v>1380</v>
      </c>
      <c r="AE332" s="81" t="s">
        <v>8309</v>
      </c>
      <c r="AF332" s="81" t="s">
        <v>242</v>
      </c>
      <c r="AG332" s="81" t="s">
        <v>1380</v>
      </c>
      <c r="AH332" s="8"/>
      <c r="AI332" s="8"/>
      <c r="AJ332" s="8"/>
      <c r="AK332" s="8"/>
      <c r="AL332" s="8"/>
      <c r="AM332" s="81" t="s">
        <v>243</v>
      </c>
      <c r="AN332" s="8"/>
      <c r="AO332" s="8"/>
      <c r="AP332" s="8"/>
      <c r="AQ332" s="8"/>
      <c r="AR332" s="9">
        <v>37622</v>
      </c>
      <c r="AS332" s="8" t="s">
        <v>8758</v>
      </c>
      <c r="AT332" s="8" t="s">
        <v>348</v>
      </c>
      <c r="AU332" s="9"/>
      <c r="AV332" s="81" t="s">
        <v>322</v>
      </c>
      <c r="AW332" s="81" t="s">
        <v>242</v>
      </c>
      <c r="AX332" s="8" t="s">
        <v>3547</v>
      </c>
      <c r="AY332" s="8"/>
      <c r="AZ332" s="8" t="s">
        <v>8377</v>
      </c>
      <c r="BA332" s="81" t="s">
        <v>361</v>
      </c>
      <c r="BB332" s="8"/>
      <c r="BC332" s="8"/>
      <c r="BD332" s="8"/>
      <c r="BE332" s="81" t="s">
        <v>261</v>
      </c>
      <c r="BF332" s="8" t="s">
        <v>3548</v>
      </c>
      <c r="BG332" s="9">
        <v>46175</v>
      </c>
      <c r="BH332" s="81" t="s">
        <v>305</v>
      </c>
      <c r="BI332" s="81" t="s">
        <v>365</v>
      </c>
      <c r="BJ332" s="9">
        <v>42064</v>
      </c>
      <c r="BK332" s="9">
        <v>43115</v>
      </c>
      <c r="BL332" s="81" t="s">
        <v>2022</v>
      </c>
      <c r="BM332" s="8"/>
      <c r="BN332" s="8"/>
      <c r="BO332" s="8"/>
      <c r="BP332" s="8"/>
      <c r="BQ332" s="9"/>
      <c r="BR332" s="9"/>
      <c r="BS332" s="8"/>
      <c r="BT332" s="81" t="s">
        <v>3550</v>
      </c>
      <c r="BU332" s="81" t="s">
        <v>118</v>
      </c>
      <c r="BV332" s="8" t="s">
        <v>3551</v>
      </c>
      <c r="BW332" s="81" t="s">
        <v>242</v>
      </c>
      <c r="BX332" s="81" t="s">
        <v>1556</v>
      </c>
      <c r="BY332" s="9">
        <v>41640</v>
      </c>
      <c r="BZ332" s="9"/>
      <c r="CA332" s="8" t="s">
        <v>245</v>
      </c>
    </row>
    <row r="333" spans="1:79" ht="141.6" x14ac:dyDescent="0.25">
      <c r="A333" s="81" t="s">
        <v>3552</v>
      </c>
      <c r="B333" s="8"/>
      <c r="C333" s="81" t="s">
        <v>26</v>
      </c>
      <c r="D333" s="8" t="s">
        <v>8105</v>
      </c>
      <c r="E333" s="8"/>
      <c r="F333" s="9">
        <v>24051</v>
      </c>
      <c r="G333" s="8" t="s">
        <v>3553</v>
      </c>
      <c r="H333" s="81" t="s">
        <v>250</v>
      </c>
      <c r="I333" s="81" t="s">
        <v>27</v>
      </c>
      <c r="J333" s="81" t="s">
        <v>252</v>
      </c>
      <c r="K333" s="81" t="s">
        <v>415</v>
      </c>
      <c r="L333" s="81" t="s">
        <v>1572</v>
      </c>
      <c r="M333" s="81" t="s">
        <v>8759</v>
      </c>
      <c r="N333" s="81" t="s">
        <v>119</v>
      </c>
      <c r="O333" s="81" t="s">
        <v>29</v>
      </c>
      <c r="P333" s="9"/>
      <c r="Q333" s="8"/>
      <c r="R333" s="8"/>
      <c r="S333" s="8"/>
      <c r="T333" s="8"/>
      <c r="U333" s="8"/>
      <c r="V333" s="8"/>
      <c r="W333" s="8"/>
      <c r="X333" s="8" t="s">
        <v>3555</v>
      </c>
      <c r="Y333" s="81" t="s">
        <v>33</v>
      </c>
      <c r="Z333" s="8"/>
      <c r="AA333" s="81" t="s">
        <v>997</v>
      </c>
      <c r="AB333" s="8"/>
      <c r="AC333" s="8"/>
      <c r="AD333" s="81" t="s">
        <v>376</v>
      </c>
      <c r="AE333" s="81" t="s">
        <v>8135</v>
      </c>
      <c r="AF333" s="81" t="s">
        <v>242</v>
      </c>
      <c r="AG333" s="81" t="s">
        <v>376</v>
      </c>
      <c r="AH333" s="8"/>
      <c r="AI333" s="8"/>
      <c r="AJ333" s="8"/>
      <c r="AK333" s="8"/>
      <c r="AL333" s="8"/>
      <c r="AM333" s="81" t="s">
        <v>243</v>
      </c>
      <c r="AN333" s="8"/>
      <c r="AO333" s="8"/>
      <c r="AP333" s="8"/>
      <c r="AQ333" s="8"/>
      <c r="AR333" s="9">
        <v>37500</v>
      </c>
      <c r="AS333" s="8" t="s">
        <v>8760</v>
      </c>
      <c r="AT333" s="8" t="s">
        <v>348</v>
      </c>
      <c r="AU333" s="9"/>
      <c r="AV333" s="81" t="s">
        <v>322</v>
      </c>
      <c r="AW333" s="81" t="s">
        <v>242</v>
      </c>
      <c r="AX333" s="8" t="s">
        <v>3556</v>
      </c>
      <c r="AY333" s="8"/>
      <c r="AZ333" s="8" t="s">
        <v>8761</v>
      </c>
      <c r="BA333" s="81" t="s">
        <v>361</v>
      </c>
      <c r="BB333" s="8"/>
      <c r="BC333" s="8"/>
      <c r="BD333" s="8"/>
      <c r="BE333" s="81" t="s">
        <v>261</v>
      </c>
      <c r="BF333" s="8" t="s">
        <v>3557</v>
      </c>
      <c r="BG333" s="9">
        <v>46829</v>
      </c>
      <c r="BH333" s="81" t="s">
        <v>120</v>
      </c>
      <c r="BI333" s="81" t="s">
        <v>8762</v>
      </c>
      <c r="BJ333" s="9">
        <v>29465</v>
      </c>
      <c r="BK333" s="9">
        <v>30133</v>
      </c>
      <c r="BL333" s="8"/>
      <c r="BM333" s="8"/>
      <c r="BN333" s="8"/>
      <c r="BO333" s="8"/>
      <c r="BP333" s="8"/>
      <c r="BQ333" s="9"/>
      <c r="BR333" s="9"/>
      <c r="BS333" s="8"/>
      <c r="BT333" s="8"/>
      <c r="BU333" s="8"/>
      <c r="BV333" s="8"/>
      <c r="BW333" s="81" t="s">
        <v>242</v>
      </c>
      <c r="BX333" s="81" t="s">
        <v>1556</v>
      </c>
      <c r="BY333" s="9">
        <v>39448</v>
      </c>
      <c r="BZ333" s="9"/>
      <c r="CA333" s="8" t="s">
        <v>245</v>
      </c>
    </row>
    <row r="334" spans="1:79" ht="141.6" x14ac:dyDescent="0.25">
      <c r="A334" s="81" t="s">
        <v>3562</v>
      </c>
      <c r="B334" s="8"/>
      <c r="C334" s="81" t="s">
        <v>26</v>
      </c>
      <c r="D334" s="8" t="s">
        <v>8106</v>
      </c>
      <c r="E334" s="8"/>
      <c r="F334" s="9">
        <v>23175</v>
      </c>
      <c r="G334" s="8" t="s">
        <v>1617</v>
      </c>
      <c r="H334" s="81" t="s">
        <v>250</v>
      </c>
      <c r="I334" s="81" t="s">
        <v>27</v>
      </c>
      <c r="J334" s="81" t="s">
        <v>293</v>
      </c>
      <c r="K334" s="81" t="s">
        <v>668</v>
      </c>
      <c r="L334" s="81" t="s">
        <v>102</v>
      </c>
      <c r="M334" s="81" t="s">
        <v>8763</v>
      </c>
      <c r="N334" s="81" t="s">
        <v>119</v>
      </c>
      <c r="O334" s="81" t="s">
        <v>29</v>
      </c>
      <c r="P334" s="9"/>
      <c r="Q334" s="8"/>
      <c r="R334" s="8"/>
      <c r="S334" s="8"/>
      <c r="T334" s="8"/>
      <c r="U334" s="8"/>
      <c r="V334" s="8"/>
      <c r="W334" s="8"/>
      <c r="X334" s="8" t="s">
        <v>3564</v>
      </c>
      <c r="Y334" s="81" t="s">
        <v>33</v>
      </c>
      <c r="Z334" s="8"/>
      <c r="AA334" s="81" t="s">
        <v>551</v>
      </c>
      <c r="AB334" s="8"/>
      <c r="AC334" s="8"/>
      <c r="AD334" s="81" t="s">
        <v>459</v>
      </c>
      <c r="AE334" s="81" t="s">
        <v>8147</v>
      </c>
      <c r="AF334" s="81" t="s">
        <v>242</v>
      </c>
      <c r="AG334" s="81" t="s">
        <v>459</v>
      </c>
      <c r="AH334" s="8"/>
      <c r="AI334" s="8"/>
      <c r="AJ334" s="8"/>
      <c r="AK334" s="8"/>
      <c r="AL334" s="8"/>
      <c r="AM334" s="81" t="s">
        <v>243</v>
      </c>
      <c r="AN334" s="8"/>
      <c r="AO334" s="8"/>
      <c r="AP334" s="8"/>
      <c r="AQ334" s="8"/>
      <c r="AR334" s="9">
        <v>37377</v>
      </c>
      <c r="AS334" s="8" t="s">
        <v>8764</v>
      </c>
      <c r="AT334" s="8" t="s">
        <v>348</v>
      </c>
      <c r="AU334" s="9"/>
      <c r="AV334" s="81" t="s">
        <v>322</v>
      </c>
      <c r="AW334" s="81" t="s">
        <v>242</v>
      </c>
      <c r="AX334" s="8" t="s">
        <v>3565</v>
      </c>
      <c r="AY334" s="8"/>
      <c r="AZ334" s="8" t="s">
        <v>8257</v>
      </c>
      <c r="BA334" s="81" t="s">
        <v>556</v>
      </c>
      <c r="BB334" s="8"/>
      <c r="BC334" s="8"/>
      <c r="BD334" s="8"/>
      <c r="BE334" s="81" t="s">
        <v>261</v>
      </c>
      <c r="BF334" s="8" t="s">
        <v>3566</v>
      </c>
      <c r="BG334" s="9"/>
      <c r="BH334" s="81" t="s">
        <v>120</v>
      </c>
      <c r="BI334" s="81" t="s">
        <v>3567</v>
      </c>
      <c r="BJ334" s="9">
        <v>28369</v>
      </c>
      <c r="BK334" s="9">
        <v>29403</v>
      </c>
      <c r="BL334" s="8"/>
      <c r="BM334" s="8"/>
      <c r="BN334" s="8"/>
      <c r="BO334" s="8"/>
      <c r="BP334" s="8"/>
      <c r="BQ334" s="9"/>
      <c r="BR334" s="9"/>
      <c r="BS334" s="8"/>
      <c r="BT334" s="81" t="s">
        <v>3570</v>
      </c>
      <c r="BU334" s="81" t="s">
        <v>118</v>
      </c>
      <c r="BV334" s="8" t="s">
        <v>3571</v>
      </c>
      <c r="BW334" s="81" t="s">
        <v>242</v>
      </c>
      <c r="BX334" s="81" t="s">
        <v>1625</v>
      </c>
      <c r="BY334" s="9">
        <v>45822</v>
      </c>
      <c r="BZ334" s="9">
        <v>46203</v>
      </c>
      <c r="CA334" s="8"/>
    </row>
    <row r="335" spans="1:79" ht="141.6" x14ac:dyDescent="0.25">
      <c r="A335" s="81" t="s">
        <v>3572</v>
      </c>
      <c r="B335" s="8"/>
      <c r="C335" s="81" t="s">
        <v>352</v>
      </c>
      <c r="D335" s="8" t="s">
        <v>8107</v>
      </c>
      <c r="E335" s="8"/>
      <c r="F335" s="9">
        <v>28639</v>
      </c>
      <c r="G335" s="8" t="s">
        <v>1313</v>
      </c>
      <c r="H335" s="81" t="s">
        <v>250</v>
      </c>
      <c r="I335" s="81" t="s">
        <v>27</v>
      </c>
      <c r="J335" s="81" t="s">
        <v>252</v>
      </c>
      <c r="K335" s="81" t="s">
        <v>2269</v>
      </c>
      <c r="L335" s="81" t="s">
        <v>102</v>
      </c>
      <c r="M335" s="81" t="s">
        <v>3573</v>
      </c>
      <c r="N335" s="81" t="s">
        <v>119</v>
      </c>
      <c r="O335" s="81" t="s">
        <v>29</v>
      </c>
      <c r="P335" s="9"/>
      <c r="Q335" s="8"/>
      <c r="R335" s="8"/>
      <c r="S335" s="8"/>
      <c r="T335" s="8"/>
      <c r="U335" s="8"/>
      <c r="V335" s="81" t="s">
        <v>8247</v>
      </c>
      <c r="W335" s="81" t="s">
        <v>1350</v>
      </c>
      <c r="X335" s="8" t="s">
        <v>3574</v>
      </c>
      <c r="Y335" s="81" t="s">
        <v>33</v>
      </c>
      <c r="Z335" s="8"/>
      <c r="AA335" s="81" t="s">
        <v>3575</v>
      </c>
      <c r="AB335" s="8"/>
      <c r="AC335" s="8"/>
      <c r="AD335" s="81" t="s">
        <v>1353</v>
      </c>
      <c r="AE335" s="81" t="s">
        <v>8303</v>
      </c>
      <c r="AF335" s="81" t="s">
        <v>242</v>
      </c>
      <c r="AG335" s="81" t="s">
        <v>1353</v>
      </c>
      <c r="AH335" s="8"/>
      <c r="AI335" s="8"/>
      <c r="AJ335" s="8"/>
      <c r="AK335" s="8"/>
      <c r="AL335" s="8"/>
      <c r="AM335" s="81" t="s">
        <v>243</v>
      </c>
      <c r="AN335" s="8"/>
      <c r="AO335" s="8"/>
      <c r="AP335" s="8"/>
      <c r="AQ335" s="8"/>
      <c r="AR335" s="9">
        <v>36982</v>
      </c>
      <c r="AS335" s="8" t="s">
        <v>8765</v>
      </c>
      <c r="AT335" s="8" t="s">
        <v>348</v>
      </c>
      <c r="AU335" s="9"/>
      <c r="AV335" s="81" t="s">
        <v>322</v>
      </c>
      <c r="AW335" s="81" t="s">
        <v>242</v>
      </c>
      <c r="AX335" s="8" t="s">
        <v>3576</v>
      </c>
      <c r="AY335" s="8"/>
      <c r="AZ335" s="8" t="s">
        <v>8766</v>
      </c>
      <c r="BA335" s="81" t="s">
        <v>361</v>
      </c>
      <c r="BB335" s="8"/>
      <c r="BC335" s="8"/>
      <c r="BD335" s="8"/>
      <c r="BE335" s="81" t="s">
        <v>261</v>
      </c>
      <c r="BF335" s="8" t="s">
        <v>3577</v>
      </c>
      <c r="BG335" s="9">
        <v>46319</v>
      </c>
      <c r="BH335" s="81" t="s">
        <v>305</v>
      </c>
      <c r="BI335" s="81" t="s">
        <v>1852</v>
      </c>
      <c r="BJ335" s="9">
        <v>38412</v>
      </c>
      <c r="BK335" s="9">
        <v>39448</v>
      </c>
      <c r="BL335" s="81" t="s">
        <v>85</v>
      </c>
      <c r="BM335" s="8"/>
      <c r="BN335" s="8"/>
      <c r="BO335" s="8"/>
      <c r="BP335" s="8"/>
      <c r="BQ335" s="9"/>
      <c r="BR335" s="9"/>
      <c r="BS335" s="8"/>
      <c r="BT335" s="81" t="s">
        <v>3579</v>
      </c>
      <c r="BU335" s="81" t="s">
        <v>118</v>
      </c>
      <c r="BV335" s="8" t="s">
        <v>3580</v>
      </c>
      <c r="BW335" s="81" t="s">
        <v>242</v>
      </c>
      <c r="BX335" s="81" t="s">
        <v>1556</v>
      </c>
      <c r="BY335" s="9">
        <v>43391</v>
      </c>
      <c r="BZ335" s="9"/>
      <c r="CA335" s="8" t="s">
        <v>245</v>
      </c>
    </row>
    <row r="336" spans="1:79" ht="141.6" x14ac:dyDescent="0.25">
      <c r="A336" s="81" t="s">
        <v>3582</v>
      </c>
      <c r="B336" s="8"/>
      <c r="C336" s="81" t="s">
        <v>26</v>
      </c>
      <c r="D336" s="8" t="s">
        <v>8108</v>
      </c>
      <c r="E336" s="8"/>
      <c r="F336" s="9">
        <v>23858</v>
      </c>
      <c r="G336" s="8" t="s">
        <v>3553</v>
      </c>
      <c r="H336" s="81" t="s">
        <v>250</v>
      </c>
      <c r="I336" s="81" t="s">
        <v>27</v>
      </c>
      <c r="J336" s="81" t="s">
        <v>252</v>
      </c>
      <c r="K336" s="81" t="s">
        <v>415</v>
      </c>
      <c r="L336" s="81" t="s">
        <v>102</v>
      </c>
      <c r="M336" s="81" t="s">
        <v>8767</v>
      </c>
      <c r="N336" s="81" t="s">
        <v>119</v>
      </c>
      <c r="O336" s="81" t="s">
        <v>29</v>
      </c>
      <c r="P336" s="9"/>
      <c r="Q336" s="8"/>
      <c r="R336" s="8"/>
      <c r="S336" s="8"/>
      <c r="T336" s="81" t="s">
        <v>8145</v>
      </c>
      <c r="U336" s="81" t="s">
        <v>3584</v>
      </c>
      <c r="V336" s="8"/>
      <c r="W336" s="8"/>
      <c r="X336" s="8" t="s">
        <v>3585</v>
      </c>
      <c r="Y336" s="81" t="s">
        <v>33</v>
      </c>
      <c r="Z336" s="8"/>
      <c r="AA336" s="81" t="s">
        <v>3586</v>
      </c>
      <c r="AB336" s="8"/>
      <c r="AC336" s="8"/>
      <c r="AD336" s="81" t="s">
        <v>1353</v>
      </c>
      <c r="AE336" s="81" t="s">
        <v>8303</v>
      </c>
      <c r="AF336" s="81" t="s">
        <v>242</v>
      </c>
      <c r="AG336" s="81" t="s">
        <v>1353</v>
      </c>
      <c r="AH336" s="8"/>
      <c r="AI336" s="8"/>
      <c r="AJ336" s="8"/>
      <c r="AK336" s="8"/>
      <c r="AL336" s="8"/>
      <c r="AM336" s="81" t="s">
        <v>243</v>
      </c>
      <c r="AN336" s="8"/>
      <c r="AO336" s="8"/>
      <c r="AP336" s="8"/>
      <c r="AQ336" s="8"/>
      <c r="AR336" s="9">
        <v>36982</v>
      </c>
      <c r="AS336" s="8" t="s">
        <v>8765</v>
      </c>
      <c r="AT336" s="8" t="s">
        <v>348</v>
      </c>
      <c r="AU336" s="9"/>
      <c r="AV336" s="81" t="s">
        <v>322</v>
      </c>
      <c r="AW336" s="81" t="s">
        <v>242</v>
      </c>
      <c r="AX336" s="8" t="s">
        <v>3587</v>
      </c>
      <c r="AY336" s="8"/>
      <c r="AZ336" s="8" t="s">
        <v>8768</v>
      </c>
      <c r="BA336" s="81" t="s">
        <v>676</v>
      </c>
      <c r="BB336" s="8"/>
      <c r="BC336" s="8"/>
      <c r="BD336" s="8"/>
      <c r="BE336" s="81" t="s">
        <v>261</v>
      </c>
      <c r="BF336" s="8" t="s">
        <v>3589</v>
      </c>
      <c r="BG336" s="9">
        <v>47167</v>
      </c>
      <c r="BH336" s="81" t="s">
        <v>81</v>
      </c>
      <c r="BI336" s="81" t="s">
        <v>2221</v>
      </c>
      <c r="BJ336" s="9">
        <v>30195</v>
      </c>
      <c r="BK336" s="9">
        <v>31594</v>
      </c>
      <c r="BL336" s="81" t="s">
        <v>3592</v>
      </c>
      <c r="BM336" s="81" t="s">
        <v>82</v>
      </c>
      <c r="BN336" s="8"/>
      <c r="BO336" s="8"/>
      <c r="BP336" s="8"/>
      <c r="BQ336" s="9"/>
      <c r="BR336" s="9"/>
      <c r="BS336" s="8"/>
      <c r="BT336" s="81" t="s">
        <v>3593</v>
      </c>
      <c r="BU336" s="81" t="s">
        <v>118</v>
      </c>
      <c r="BV336" s="8" t="s">
        <v>3594</v>
      </c>
      <c r="BW336" s="81" t="s">
        <v>242</v>
      </c>
      <c r="BX336" s="81" t="s">
        <v>1556</v>
      </c>
      <c r="BY336" s="9">
        <v>41640</v>
      </c>
      <c r="BZ336" s="9"/>
      <c r="CA336" s="8" t="s">
        <v>245</v>
      </c>
    </row>
    <row r="337" spans="1:79" ht="141.6" x14ac:dyDescent="0.25">
      <c r="A337" s="81" t="s">
        <v>3595</v>
      </c>
      <c r="B337" s="8"/>
      <c r="C337" s="81" t="s">
        <v>26</v>
      </c>
      <c r="D337" s="8" t="s">
        <v>8109</v>
      </c>
      <c r="E337" s="8"/>
      <c r="F337" s="9">
        <v>26208</v>
      </c>
      <c r="G337" s="8" t="s">
        <v>2518</v>
      </c>
      <c r="H337" s="81" t="s">
        <v>250</v>
      </c>
      <c r="I337" s="81" t="s">
        <v>27</v>
      </c>
      <c r="J337" s="81" t="s">
        <v>252</v>
      </c>
      <c r="K337" s="81" t="s">
        <v>415</v>
      </c>
      <c r="L337" s="81" t="s">
        <v>102</v>
      </c>
      <c r="M337" s="81" t="s">
        <v>8769</v>
      </c>
      <c r="N337" s="81" t="s">
        <v>119</v>
      </c>
      <c r="O337" s="81" t="s">
        <v>29</v>
      </c>
      <c r="P337" s="9"/>
      <c r="Q337" s="8"/>
      <c r="R337" s="8"/>
      <c r="S337" s="8"/>
      <c r="T337" s="81" t="s">
        <v>8247</v>
      </c>
      <c r="U337" s="81" t="s">
        <v>3597</v>
      </c>
      <c r="V337" s="8"/>
      <c r="W337" s="8"/>
      <c r="X337" s="8" t="s">
        <v>3598</v>
      </c>
      <c r="Y337" s="81" t="s">
        <v>33</v>
      </c>
      <c r="Z337" s="8"/>
      <c r="AA337" s="81" t="s">
        <v>3599</v>
      </c>
      <c r="AB337" s="8"/>
      <c r="AC337" s="8"/>
      <c r="AD337" s="81" t="s">
        <v>298</v>
      </c>
      <c r="AE337" s="81" t="s">
        <v>8770</v>
      </c>
      <c r="AF337" s="81" t="s">
        <v>242</v>
      </c>
      <c r="AG337" s="81" t="s">
        <v>298</v>
      </c>
      <c r="AH337" s="8"/>
      <c r="AI337" s="8"/>
      <c r="AJ337" s="8"/>
      <c r="AK337" s="8"/>
      <c r="AL337" s="8"/>
      <c r="AM337" s="81" t="s">
        <v>243</v>
      </c>
      <c r="AN337" s="8"/>
      <c r="AO337" s="8"/>
      <c r="AP337" s="8"/>
      <c r="AQ337" s="8"/>
      <c r="AR337" s="9">
        <v>36982</v>
      </c>
      <c r="AS337" s="8" t="s">
        <v>8765</v>
      </c>
      <c r="AT337" s="8" t="s">
        <v>348</v>
      </c>
      <c r="AU337" s="9"/>
      <c r="AV337" s="81" t="s">
        <v>322</v>
      </c>
      <c r="AW337" s="81" t="s">
        <v>242</v>
      </c>
      <c r="AX337" s="8" t="s">
        <v>3600</v>
      </c>
      <c r="AY337" s="8"/>
      <c r="AZ337" s="8" t="s">
        <v>8476</v>
      </c>
      <c r="BA337" s="81" t="s">
        <v>676</v>
      </c>
      <c r="BB337" s="8"/>
      <c r="BC337" s="8"/>
      <c r="BD337" s="8"/>
      <c r="BE337" s="81" t="s">
        <v>261</v>
      </c>
      <c r="BF337" s="8" t="s">
        <v>3601</v>
      </c>
      <c r="BG337" s="9">
        <v>46244</v>
      </c>
      <c r="BH337" s="81" t="s">
        <v>81</v>
      </c>
      <c r="BI337" s="81" t="s">
        <v>3603</v>
      </c>
      <c r="BJ337" s="9">
        <v>42614</v>
      </c>
      <c r="BK337" s="9">
        <v>43647</v>
      </c>
      <c r="BL337" s="81" t="s">
        <v>85</v>
      </c>
      <c r="BM337" s="8"/>
      <c r="BN337" s="8"/>
      <c r="BO337" s="8"/>
      <c r="BP337" s="8"/>
      <c r="BQ337" s="9"/>
      <c r="BR337" s="9"/>
      <c r="BS337" s="8"/>
      <c r="BT337" s="81" t="s">
        <v>3604</v>
      </c>
      <c r="BU337" s="81" t="s">
        <v>118</v>
      </c>
      <c r="BV337" s="8" t="s">
        <v>3605</v>
      </c>
      <c r="BW337" s="81" t="s">
        <v>242</v>
      </c>
      <c r="BX337" s="81" t="s">
        <v>1556</v>
      </c>
      <c r="BY337" s="9">
        <v>39448</v>
      </c>
      <c r="BZ337" s="9"/>
      <c r="CA337" s="8" t="s">
        <v>245</v>
      </c>
    </row>
    <row r="338" spans="1:79" ht="109.8" x14ac:dyDescent="0.25">
      <c r="A338" s="81" t="s">
        <v>3606</v>
      </c>
      <c r="B338" s="8"/>
      <c r="C338" s="81" t="s">
        <v>26</v>
      </c>
      <c r="D338" s="8" t="s">
        <v>8110</v>
      </c>
      <c r="E338" s="8"/>
      <c r="F338" s="9">
        <v>26247</v>
      </c>
      <c r="G338" s="8" t="s">
        <v>2518</v>
      </c>
      <c r="H338" s="81" t="s">
        <v>250</v>
      </c>
      <c r="I338" s="81" t="s">
        <v>27</v>
      </c>
      <c r="J338" s="81" t="s">
        <v>252</v>
      </c>
      <c r="K338" s="81" t="s">
        <v>436</v>
      </c>
      <c r="L338" s="81" t="s">
        <v>3607</v>
      </c>
      <c r="M338" s="81" t="s">
        <v>8771</v>
      </c>
      <c r="N338" s="81" t="s">
        <v>119</v>
      </c>
      <c r="O338" s="81" t="s">
        <v>29</v>
      </c>
      <c r="P338" s="9"/>
      <c r="Q338" s="8"/>
      <c r="R338" s="8"/>
      <c r="S338" s="8"/>
      <c r="T338" s="81" t="s">
        <v>8247</v>
      </c>
      <c r="U338" s="81" t="s">
        <v>3608</v>
      </c>
      <c r="V338" s="8"/>
      <c r="W338" s="8"/>
      <c r="X338" s="8" t="s">
        <v>3609</v>
      </c>
      <c r="Y338" s="81" t="s">
        <v>33</v>
      </c>
      <c r="Z338" s="8"/>
      <c r="AA338" s="81" t="s">
        <v>3610</v>
      </c>
      <c r="AB338" s="8"/>
      <c r="AC338" s="8"/>
      <c r="AD338" s="81" t="s">
        <v>242</v>
      </c>
      <c r="AE338" s="81" t="s">
        <v>8358</v>
      </c>
      <c r="AF338" s="81" t="s">
        <v>242</v>
      </c>
      <c r="AG338" s="8"/>
      <c r="AH338" s="8"/>
      <c r="AI338" s="8"/>
      <c r="AJ338" s="8"/>
      <c r="AK338" s="8"/>
      <c r="AL338" s="8"/>
      <c r="AM338" s="81" t="s">
        <v>243</v>
      </c>
      <c r="AN338" s="8"/>
      <c r="AO338" s="8"/>
      <c r="AP338" s="8"/>
      <c r="AQ338" s="8"/>
      <c r="AR338" s="9">
        <v>36982</v>
      </c>
      <c r="AS338" s="8" t="s">
        <v>8765</v>
      </c>
      <c r="AT338" s="8" t="s">
        <v>348</v>
      </c>
      <c r="AU338" s="9"/>
      <c r="AV338" s="81" t="s">
        <v>322</v>
      </c>
      <c r="AW338" s="81" t="s">
        <v>242</v>
      </c>
      <c r="AX338" s="8" t="s">
        <v>3611</v>
      </c>
      <c r="AY338" s="8"/>
      <c r="AZ338" s="8" t="s">
        <v>8772</v>
      </c>
      <c r="BA338" s="81" t="s">
        <v>676</v>
      </c>
      <c r="BB338" s="8"/>
      <c r="BC338" s="8"/>
      <c r="BD338" s="8"/>
      <c r="BE338" s="81" t="s">
        <v>261</v>
      </c>
      <c r="BF338" s="8" t="s">
        <v>3612</v>
      </c>
      <c r="BG338" s="9">
        <v>46819</v>
      </c>
      <c r="BH338" s="81" t="s">
        <v>81</v>
      </c>
      <c r="BI338" s="81" t="s">
        <v>3614</v>
      </c>
      <c r="BJ338" s="9">
        <v>32752</v>
      </c>
      <c r="BK338" s="9">
        <v>34151</v>
      </c>
      <c r="BL338" s="81" t="s">
        <v>3608</v>
      </c>
      <c r="BM338" s="81" t="s">
        <v>82</v>
      </c>
      <c r="BN338" s="8"/>
      <c r="BO338" s="8"/>
      <c r="BP338" s="8"/>
      <c r="BQ338" s="9"/>
      <c r="BR338" s="9"/>
      <c r="BS338" s="8"/>
      <c r="BT338" s="81" t="s">
        <v>3615</v>
      </c>
      <c r="BU338" s="81" t="s">
        <v>118</v>
      </c>
      <c r="BV338" s="8" t="s">
        <v>3616</v>
      </c>
      <c r="BW338" s="81" t="s">
        <v>242</v>
      </c>
      <c r="BX338" s="81" t="s">
        <v>1556</v>
      </c>
      <c r="BY338" s="9">
        <v>41334</v>
      </c>
      <c r="BZ338" s="9"/>
      <c r="CA338" s="8" t="s">
        <v>245</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topLeftCell="AV82" workbookViewId="0">
      <selection activeCell="BI307" sqref="BI307"/>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3" t="s">
        <v>3911</v>
      </c>
      <c r="B1" s="13"/>
      <c r="C1" s="13"/>
      <c r="D1" s="13"/>
      <c r="E1" s="13"/>
      <c r="F1" s="13"/>
      <c r="G1" s="13"/>
      <c r="H1" s="13"/>
      <c r="I1" s="13"/>
      <c r="J1" s="13"/>
      <c r="K1" s="13"/>
      <c r="L1" s="13"/>
      <c r="M1" s="13"/>
      <c r="N1" s="13"/>
      <c r="O1" s="13"/>
      <c r="P1" s="14"/>
      <c r="Q1" s="14"/>
      <c r="R1" s="13"/>
      <c r="S1" s="13"/>
      <c r="T1" s="13"/>
      <c r="U1" s="13"/>
      <c r="V1" s="13"/>
      <c r="W1" s="13"/>
      <c r="X1" s="14"/>
      <c r="Y1" s="13"/>
      <c r="Z1" s="13"/>
      <c r="AA1" s="13"/>
      <c r="AB1" s="13"/>
      <c r="AC1" s="13"/>
      <c r="AD1" s="13"/>
      <c r="AE1" s="13"/>
      <c r="AF1" s="13"/>
      <c r="AG1" s="15"/>
      <c r="AH1" s="13"/>
      <c r="AI1" s="13"/>
      <c r="AJ1" s="13"/>
      <c r="AK1" s="15"/>
      <c r="AL1" s="13"/>
      <c r="AM1" s="13"/>
      <c r="AN1" s="15"/>
      <c r="AO1" s="13"/>
      <c r="AP1" s="15"/>
      <c r="AQ1" s="13"/>
      <c r="AR1" s="13"/>
      <c r="AS1" s="13"/>
      <c r="AT1" s="13"/>
      <c r="AU1" s="13"/>
      <c r="AV1" s="13"/>
      <c r="AW1" s="16"/>
      <c r="AX1" s="13"/>
      <c r="AY1" s="13"/>
      <c r="AZ1" s="13"/>
      <c r="BA1" s="13"/>
      <c r="BB1" s="13"/>
      <c r="BC1" s="13"/>
      <c r="BD1" s="13"/>
      <c r="BE1" s="13"/>
      <c r="BF1" s="13"/>
      <c r="BG1" s="13"/>
      <c r="BH1" s="13"/>
      <c r="BI1" s="13"/>
    </row>
    <row r="2" spans="1:61" ht="104.4" x14ac:dyDescent="0.25">
      <c r="A2" s="17" t="s">
        <v>3912</v>
      </c>
      <c r="B2" s="17" t="s">
        <v>3913</v>
      </c>
      <c r="C2" s="17" t="s">
        <v>3914</v>
      </c>
      <c r="D2" s="17" t="s">
        <v>3915</v>
      </c>
      <c r="E2" s="18" t="s">
        <v>3916</v>
      </c>
      <c r="F2" s="17" t="s">
        <v>3917</v>
      </c>
      <c r="G2" s="17" t="s">
        <v>3918</v>
      </c>
      <c r="H2" s="17" t="s">
        <v>3919</v>
      </c>
      <c r="I2" s="17" t="s">
        <v>3920</v>
      </c>
      <c r="J2" s="17" t="s">
        <v>3921</v>
      </c>
      <c r="K2" s="13" t="s">
        <v>3922</v>
      </c>
      <c r="L2" s="13" t="s">
        <v>3923</v>
      </c>
      <c r="M2" s="13" t="s">
        <v>3924</v>
      </c>
      <c r="N2" s="17" t="s">
        <v>3925</v>
      </c>
      <c r="O2" s="17" t="s">
        <v>3926</v>
      </c>
      <c r="P2" s="19" t="s">
        <v>3927</v>
      </c>
      <c r="Q2" s="19" t="s">
        <v>3928</v>
      </c>
      <c r="R2" s="17" t="s">
        <v>3929</v>
      </c>
      <c r="S2" s="17" t="s">
        <v>3930</v>
      </c>
      <c r="T2" s="20" t="s">
        <v>3931</v>
      </c>
      <c r="U2" s="17" t="s">
        <v>3932</v>
      </c>
      <c r="V2" s="17" t="s">
        <v>3933</v>
      </c>
      <c r="W2" s="17" t="s">
        <v>3934</v>
      </c>
      <c r="X2" s="21" t="s">
        <v>3935</v>
      </c>
      <c r="Y2" s="22" t="s">
        <v>3936</v>
      </c>
      <c r="Z2" s="22" t="s">
        <v>3937</v>
      </c>
      <c r="AA2" s="22" t="s">
        <v>3938</v>
      </c>
      <c r="AB2" s="17" t="s">
        <v>3939</v>
      </c>
      <c r="AC2" s="17" t="s">
        <v>3940</v>
      </c>
      <c r="AD2" s="17" t="s">
        <v>3941</v>
      </c>
      <c r="AE2" s="17" t="s">
        <v>3942</v>
      </c>
      <c r="AF2" s="17" t="s">
        <v>3943</v>
      </c>
      <c r="AG2" s="20" t="s">
        <v>3944</v>
      </c>
      <c r="AH2" s="17" t="s">
        <v>3945</v>
      </c>
      <c r="AI2" s="17" t="s">
        <v>3946</v>
      </c>
      <c r="AJ2" s="17" t="s">
        <v>3947</v>
      </c>
      <c r="AK2" s="20" t="s">
        <v>3948</v>
      </c>
      <c r="AL2" s="17" t="s">
        <v>3949</v>
      </c>
      <c r="AM2" s="17" t="s">
        <v>3950</v>
      </c>
      <c r="AN2" s="20" t="s">
        <v>3951</v>
      </c>
      <c r="AO2" s="17" t="s">
        <v>3952</v>
      </c>
      <c r="AP2" s="20" t="s">
        <v>3953</v>
      </c>
      <c r="AQ2" s="23" t="s">
        <v>3954</v>
      </c>
      <c r="AR2" s="17" t="s">
        <v>3955</v>
      </c>
      <c r="AS2" s="23" t="s">
        <v>3956</v>
      </c>
      <c r="AT2" s="17" t="s">
        <v>3957</v>
      </c>
      <c r="AU2" s="17" t="s">
        <v>3958</v>
      </c>
      <c r="AV2" s="17" t="s">
        <v>3959</v>
      </c>
      <c r="AW2" s="24" t="s">
        <v>3960</v>
      </c>
      <c r="AX2" s="17" t="s">
        <v>3961</v>
      </c>
      <c r="AY2" s="17" t="s">
        <v>3962</v>
      </c>
      <c r="AZ2" s="17" t="s">
        <v>3963</v>
      </c>
      <c r="BA2" s="17" t="s">
        <v>3964</v>
      </c>
      <c r="BB2" s="17" t="s">
        <v>3965</v>
      </c>
      <c r="BC2" s="17" t="s">
        <v>3966</v>
      </c>
      <c r="BD2" s="17" t="s">
        <v>3967</v>
      </c>
      <c r="BE2" s="17" t="s">
        <v>3968</v>
      </c>
      <c r="BF2" s="17" t="s">
        <v>3969</v>
      </c>
      <c r="BG2" s="17" t="s">
        <v>3970</v>
      </c>
      <c r="BH2" s="17" t="s">
        <v>3971</v>
      </c>
      <c r="BI2" s="17" t="s">
        <v>3972</v>
      </c>
    </row>
    <row r="3" spans="1:61" ht="15.6" x14ac:dyDescent="0.25">
      <c r="A3" s="25">
        <v>1</v>
      </c>
      <c r="B3" s="25" t="s">
        <v>3973</v>
      </c>
      <c r="C3" s="26" t="s">
        <v>3974</v>
      </c>
      <c r="D3" s="26" t="s">
        <v>3975</v>
      </c>
      <c r="E3" s="26" t="s">
        <v>3975</v>
      </c>
      <c r="F3" s="25" t="s">
        <v>3976</v>
      </c>
      <c r="G3" s="25"/>
      <c r="H3" s="25"/>
      <c r="I3" s="25"/>
      <c r="J3" s="25" t="s">
        <v>3977</v>
      </c>
      <c r="K3" s="25" t="s">
        <v>676</v>
      </c>
      <c r="L3" s="25" t="s">
        <v>3978</v>
      </c>
      <c r="M3" s="25" t="s">
        <v>3979</v>
      </c>
      <c r="N3" s="27" t="s">
        <v>3980</v>
      </c>
      <c r="O3" s="27" t="s">
        <v>3981</v>
      </c>
      <c r="P3" s="28" t="s">
        <v>3982</v>
      </c>
      <c r="Q3" s="28" t="s">
        <v>3983</v>
      </c>
      <c r="R3" s="25" t="str">
        <f t="shared" ref="R3:R35" si="0">IF(MOD(RIGHT(LEFT(N3,17)),2),"男","女")</f>
        <v>女</v>
      </c>
      <c r="S3" s="25" t="s">
        <v>3984</v>
      </c>
      <c r="T3" s="28" t="str">
        <f t="shared" ref="T3:T68" si="1">TEXT(MID(N3,7,6+(LEN(N3)=18)*2),"0-00-00")</f>
        <v>1963-10-20</v>
      </c>
      <c r="U3" s="25">
        <f ca="1">DATEDIF(T3,TODAY(),"Y")</f>
        <v>62</v>
      </c>
      <c r="V3" s="25"/>
      <c r="W3" s="28">
        <v>44044</v>
      </c>
      <c r="X3" s="28">
        <v>44044</v>
      </c>
      <c r="Y3" s="29" t="str">
        <f t="shared" ref="Y3:Y68" ca="1" si="2">DATEDIF(X3,TODAY(),"Y")&amp;"年"&amp;TEXT(DATEDIF(X3,TODAY(),"YM"),"0")&amp;"个月"</f>
        <v>5年8个月</v>
      </c>
      <c r="Z3" s="25"/>
      <c r="AA3" s="26"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5" t="s">
        <v>29</v>
      </c>
      <c r="AC3" s="25" t="s">
        <v>3985</v>
      </c>
      <c r="AD3" s="25" t="s">
        <v>3986</v>
      </c>
      <c r="AE3" s="25"/>
      <c r="AF3" s="25"/>
      <c r="AG3" s="27"/>
      <c r="AH3" s="25"/>
      <c r="AI3" s="25"/>
      <c r="AJ3" s="25"/>
      <c r="AK3" s="27"/>
      <c r="AL3" s="25" t="s">
        <v>81</v>
      </c>
      <c r="AM3" s="25" t="s">
        <v>3987</v>
      </c>
      <c r="AN3" s="27"/>
      <c r="AO3" s="25" t="s">
        <v>3988</v>
      </c>
      <c r="AP3" s="27"/>
      <c r="AQ3" s="25"/>
      <c r="AR3" s="25" t="s">
        <v>3989</v>
      </c>
      <c r="AS3" s="26" t="s">
        <v>3990</v>
      </c>
      <c r="AT3" s="25" t="s">
        <v>668</v>
      </c>
      <c r="AU3" s="25" t="s">
        <v>521</v>
      </c>
      <c r="AV3" s="25" t="s">
        <v>521</v>
      </c>
      <c r="AW3" s="30" t="s">
        <v>3991</v>
      </c>
      <c r="AX3" s="28">
        <v>44044</v>
      </c>
      <c r="AY3" s="28" t="s">
        <v>3991</v>
      </c>
      <c r="AZ3" s="28"/>
      <c r="BA3" s="28"/>
      <c r="BB3" s="28"/>
      <c r="BC3" s="25"/>
      <c r="BD3" s="25"/>
      <c r="BE3" s="25"/>
      <c r="BF3" s="25"/>
      <c r="BG3" s="25"/>
      <c r="BH3" s="25"/>
      <c r="BI3" s="27"/>
    </row>
    <row r="4" spans="1:61" ht="15.6" x14ac:dyDescent="0.25">
      <c r="A4" s="25">
        <v>2</v>
      </c>
      <c r="B4" s="25" t="s">
        <v>3992</v>
      </c>
      <c r="C4" s="26" t="s">
        <v>3974</v>
      </c>
      <c r="D4" s="26" t="s">
        <v>3975</v>
      </c>
      <c r="E4" s="26" t="s">
        <v>3975</v>
      </c>
      <c r="F4" s="25" t="s">
        <v>3976</v>
      </c>
      <c r="G4" s="25"/>
      <c r="H4" s="25"/>
      <c r="I4" s="25"/>
      <c r="J4" s="25" t="s">
        <v>3993</v>
      </c>
      <c r="K4" s="25" t="s">
        <v>676</v>
      </c>
      <c r="L4" s="25" t="s">
        <v>3978</v>
      </c>
      <c r="M4" s="25" t="s">
        <v>3979</v>
      </c>
      <c r="N4" s="27" t="s">
        <v>3994</v>
      </c>
      <c r="O4" s="27" t="s">
        <v>3981</v>
      </c>
      <c r="P4" s="28" t="s">
        <v>3995</v>
      </c>
      <c r="Q4" s="28">
        <v>46234</v>
      </c>
      <c r="R4" s="25" t="str">
        <f t="shared" si="0"/>
        <v>男</v>
      </c>
      <c r="S4" s="25" t="s">
        <v>3984</v>
      </c>
      <c r="T4" s="28" t="str">
        <f t="shared" si="1"/>
        <v>1963-10-26</v>
      </c>
      <c r="U4" s="25">
        <f ca="1">DATEDIF(T3,TODAY(),"Y")</f>
        <v>62</v>
      </c>
      <c r="V4" s="25"/>
      <c r="W4" s="28">
        <v>36982</v>
      </c>
      <c r="X4" s="28">
        <v>36982</v>
      </c>
      <c r="Y4" s="29" t="str">
        <f t="shared" ca="1" si="2"/>
        <v>25年0个月</v>
      </c>
      <c r="Z4" s="25" t="s">
        <v>3996</v>
      </c>
      <c r="AA4" s="26" t="str">
        <f t="shared" ca="1" si="3"/>
        <v>41年8个月</v>
      </c>
      <c r="AB4" s="25" t="s">
        <v>29</v>
      </c>
      <c r="AC4" s="25" t="s">
        <v>3985</v>
      </c>
      <c r="AD4" s="25" t="s">
        <v>3986</v>
      </c>
      <c r="AE4" s="25" t="s">
        <v>1095</v>
      </c>
      <c r="AF4" s="25" t="s">
        <v>437</v>
      </c>
      <c r="AG4" s="27" t="s">
        <v>6275</v>
      </c>
      <c r="AH4" s="25"/>
      <c r="AI4" s="25"/>
      <c r="AJ4" s="25"/>
      <c r="AK4" s="27"/>
      <c r="AL4" s="25" t="s">
        <v>87</v>
      </c>
      <c r="AM4" s="25" t="s">
        <v>3987</v>
      </c>
      <c r="AN4" s="27"/>
      <c r="AO4" s="25" t="s">
        <v>3997</v>
      </c>
      <c r="AP4" s="27"/>
      <c r="AQ4" s="25"/>
      <c r="AR4" s="25" t="s">
        <v>3998</v>
      </c>
      <c r="AS4" s="26" t="s">
        <v>3990</v>
      </c>
      <c r="AT4" s="25" t="s">
        <v>668</v>
      </c>
      <c r="AU4" s="25" t="s">
        <v>3999</v>
      </c>
      <c r="AV4" s="25" t="s">
        <v>3999</v>
      </c>
      <c r="AW4" s="31" t="s">
        <v>4000</v>
      </c>
      <c r="AX4" s="28">
        <v>42727</v>
      </c>
      <c r="AY4" s="25" t="s">
        <v>4000</v>
      </c>
      <c r="AZ4" s="28"/>
      <c r="BA4" s="28"/>
      <c r="BB4" s="28"/>
      <c r="BC4" s="25"/>
      <c r="BD4" s="25"/>
      <c r="BE4" s="25"/>
      <c r="BF4" s="25"/>
      <c r="BG4" s="25"/>
      <c r="BH4" s="25"/>
      <c r="BI4" s="27"/>
    </row>
    <row r="5" spans="1:61" ht="15.6" x14ac:dyDescent="0.25">
      <c r="A5" s="25">
        <v>3</v>
      </c>
      <c r="B5" s="25" t="s">
        <v>4001</v>
      </c>
      <c r="C5" s="25" t="s">
        <v>4002</v>
      </c>
      <c r="D5" s="26" t="s">
        <v>3975</v>
      </c>
      <c r="E5" s="26" t="s">
        <v>3975</v>
      </c>
      <c r="F5" s="25" t="s">
        <v>3976</v>
      </c>
      <c r="G5" s="25"/>
      <c r="H5" s="25"/>
      <c r="I5" s="25"/>
      <c r="J5" s="32" t="s">
        <v>4003</v>
      </c>
      <c r="K5" s="25" t="s">
        <v>676</v>
      </c>
      <c r="L5" s="25" t="s">
        <v>3978</v>
      </c>
      <c r="M5" s="25" t="s">
        <v>3979</v>
      </c>
      <c r="N5" s="27" t="s">
        <v>4004</v>
      </c>
      <c r="O5" s="27" t="s">
        <v>4005</v>
      </c>
      <c r="P5" s="28">
        <v>39514</v>
      </c>
      <c r="Q5" s="28">
        <v>46819</v>
      </c>
      <c r="R5" s="25" t="str">
        <f t="shared" si="0"/>
        <v>男</v>
      </c>
      <c r="S5" s="25" t="s">
        <v>3984</v>
      </c>
      <c r="T5" s="28" t="str">
        <f t="shared" si="1"/>
        <v>1971-11-10</v>
      </c>
      <c r="U5" s="25">
        <f t="shared" ref="U5:U70" ca="1" si="4">DATEDIF(T5,TODAY(),"Y")</f>
        <v>54</v>
      </c>
      <c r="V5" s="25">
        <v>13888067261</v>
      </c>
      <c r="W5" s="28">
        <v>36982</v>
      </c>
      <c r="X5" s="28">
        <v>36982</v>
      </c>
      <c r="Y5" s="29" t="str">
        <f t="shared" ca="1" si="2"/>
        <v>25年0个月</v>
      </c>
      <c r="Z5" s="25" t="s">
        <v>4006</v>
      </c>
      <c r="AA5" s="26" t="str">
        <f t="shared" ca="1" si="3"/>
        <v>32年10个月</v>
      </c>
      <c r="AB5" s="25" t="s">
        <v>29</v>
      </c>
      <c r="AC5" s="25" t="s">
        <v>3985</v>
      </c>
      <c r="AD5" s="25" t="s">
        <v>3986</v>
      </c>
      <c r="AE5" s="25" t="s">
        <v>3608</v>
      </c>
      <c r="AF5" s="25" t="s">
        <v>1012</v>
      </c>
      <c r="AG5" s="27" t="s">
        <v>4007</v>
      </c>
      <c r="AH5" s="25"/>
      <c r="AI5" s="25"/>
      <c r="AJ5" s="25"/>
      <c r="AK5" s="27"/>
      <c r="AL5" s="25" t="s">
        <v>81</v>
      </c>
      <c r="AM5" s="25" t="s">
        <v>3987</v>
      </c>
      <c r="AN5" s="27"/>
      <c r="AO5" s="25" t="s">
        <v>4008</v>
      </c>
      <c r="AP5" s="27" t="s">
        <v>4009</v>
      </c>
      <c r="AQ5" s="25"/>
      <c r="AR5" s="25" t="s">
        <v>4010</v>
      </c>
      <c r="AS5" s="26" t="s">
        <v>4011</v>
      </c>
      <c r="AT5" s="25" t="s">
        <v>436</v>
      </c>
      <c r="AU5" s="25" t="s">
        <v>4012</v>
      </c>
      <c r="AV5" s="25" t="s">
        <v>4013</v>
      </c>
      <c r="AW5" s="30" t="s">
        <v>3991</v>
      </c>
      <c r="AX5" s="28">
        <v>41334</v>
      </c>
      <c r="AY5" s="25" t="s">
        <v>3991</v>
      </c>
      <c r="AZ5" s="28"/>
      <c r="BA5" s="28"/>
      <c r="BB5" s="28"/>
      <c r="BC5" s="25"/>
      <c r="BD5" s="25"/>
      <c r="BE5" s="25"/>
      <c r="BF5" s="25"/>
      <c r="BG5" s="25"/>
      <c r="BH5" s="25"/>
      <c r="BI5" s="27"/>
    </row>
    <row r="6" spans="1:61" ht="15.6" x14ac:dyDescent="0.25">
      <c r="A6" s="25">
        <v>4</v>
      </c>
      <c r="B6" s="25" t="s">
        <v>4014</v>
      </c>
      <c r="C6" s="25" t="s">
        <v>4002</v>
      </c>
      <c r="D6" s="26" t="s">
        <v>3975</v>
      </c>
      <c r="E6" s="26" t="s">
        <v>3975</v>
      </c>
      <c r="F6" s="25" t="s">
        <v>524</v>
      </c>
      <c r="G6" s="25"/>
      <c r="H6" s="25"/>
      <c r="I6" s="25"/>
      <c r="J6" s="25" t="s">
        <v>4015</v>
      </c>
      <c r="K6" s="25" t="s">
        <v>676</v>
      </c>
      <c r="L6" s="25" t="s">
        <v>4016</v>
      </c>
      <c r="M6" s="25" t="s">
        <v>4017</v>
      </c>
      <c r="N6" s="27" t="s">
        <v>4018</v>
      </c>
      <c r="O6" s="27" t="s">
        <v>4019</v>
      </c>
      <c r="P6" s="28">
        <v>45693</v>
      </c>
      <c r="Q6" s="28">
        <v>52998</v>
      </c>
      <c r="R6" s="25" t="str">
        <f t="shared" si="0"/>
        <v>女</v>
      </c>
      <c r="S6" s="25" t="s">
        <v>3984</v>
      </c>
      <c r="T6" s="28" t="str">
        <f t="shared" si="1"/>
        <v>1990-11-15</v>
      </c>
      <c r="U6" s="25">
        <f t="shared" ca="1" si="4"/>
        <v>35</v>
      </c>
      <c r="V6" s="25">
        <v>13759502516</v>
      </c>
      <c r="W6" s="28">
        <v>42376</v>
      </c>
      <c r="X6" s="28">
        <v>42376</v>
      </c>
      <c r="Y6" s="29" t="str">
        <f t="shared" ca="1" si="2"/>
        <v>10年3个月</v>
      </c>
      <c r="Z6" s="25"/>
      <c r="AA6" s="26" t="str">
        <f t="shared" ca="1" si="3"/>
        <v>10年3个月</v>
      </c>
      <c r="AB6" s="25" t="s">
        <v>253</v>
      </c>
      <c r="AC6" s="25" t="s">
        <v>3985</v>
      </c>
      <c r="AD6" s="25" t="s">
        <v>3986</v>
      </c>
      <c r="AE6" s="25"/>
      <c r="AF6" s="25"/>
      <c r="AG6" s="27"/>
      <c r="AH6" s="25"/>
      <c r="AI6" s="25"/>
      <c r="AJ6" s="25"/>
      <c r="AK6" s="27"/>
      <c r="AL6" s="25" t="s">
        <v>81</v>
      </c>
      <c r="AM6" s="25" t="s">
        <v>3987</v>
      </c>
      <c r="AN6" s="27" t="s">
        <v>4020</v>
      </c>
      <c r="AO6" s="25" t="s">
        <v>4021</v>
      </c>
      <c r="AP6" s="27" t="s">
        <v>4022</v>
      </c>
      <c r="AQ6" s="25"/>
      <c r="AR6" s="25" t="s">
        <v>4023</v>
      </c>
      <c r="AS6" s="26" t="s">
        <v>4011</v>
      </c>
      <c r="AT6" s="25" t="s">
        <v>4024</v>
      </c>
      <c r="AU6" s="25" t="s">
        <v>4025</v>
      </c>
      <c r="AV6" s="25" t="s">
        <v>4025</v>
      </c>
      <c r="AW6" s="30">
        <v>46446</v>
      </c>
      <c r="AX6" s="28">
        <v>42376</v>
      </c>
      <c r="AY6" s="28">
        <v>42741</v>
      </c>
      <c r="AZ6" s="28">
        <v>43100</v>
      </c>
      <c r="BA6" s="28">
        <v>43251</v>
      </c>
      <c r="BB6" s="28">
        <v>43525</v>
      </c>
      <c r="BC6" s="28">
        <v>43891</v>
      </c>
      <c r="BD6" s="28">
        <v>44621</v>
      </c>
      <c r="BE6" s="28">
        <v>46446</v>
      </c>
      <c r="BF6" s="25"/>
      <c r="BG6" s="25"/>
      <c r="BH6" s="25"/>
      <c r="BI6" s="27"/>
    </row>
    <row r="7" spans="1:61" ht="15.6" x14ac:dyDescent="0.25">
      <c r="A7" s="25">
        <v>5</v>
      </c>
      <c r="B7" s="25" t="s">
        <v>4026</v>
      </c>
      <c r="C7" s="25" t="s">
        <v>4002</v>
      </c>
      <c r="D7" s="26" t="s">
        <v>3975</v>
      </c>
      <c r="E7" s="26" t="s">
        <v>3975</v>
      </c>
      <c r="F7" s="25" t="s">
        <v>524</v>
      </c>
      <c r="G7" s="25"/>
      <c r="H7" s="25"/>
      <c r="I7" s="25"/>
      <c r="J7" s="25" t="s">
        <v>4027</v>
      </c>
      <c r="K7" s="25" t="s">
        <v>361</v>
      </c>
      <c r="L7" s="25" t="s">
        <v>4028</v>
      </c>
      <c r="M7" s="25" t="s">
        <v>4029</v>
      </c>
      <c r="N7" s="27" t="s">
        <v>4030</v>
      </c>
      <c r="O7" s="27" t="s">
        <v>4031</v>
      </c>
      <c r="P7" s="28">
        <v>42634</v>
      </c>
      <c r="Q7" s="28">
        <v>49939</v>
      </c>
      <c r="R7" s="25" t="str">
        <f t="shared" si="0"/>
        <v>女</v>
      </c>
      <c r="S7" s="25" t="s">
        <v>4032</v>
      </c>
      <c r="T7" s="28" t="str">
        <f t="shared" si="1"/>
        <v>1987-10-11</v>
      </c>
      <c r="U7" s="25">
        <f t="shared" ca="1" si="4"/>
        <v>38</v>
      </c>
      <c r="V7" s="25">
        <v>13888996850</v>
      </c>
      <c r="W7" s="28">
        <v>43941</v>
      </c>
      <c r="X7" s="28">
        <v>43941</v>
      </c>
      <c r="Y7" s="29" t="str">
        <f t="shared" ca="1" si="2"/>
        <v>5年11个月</v>
      </c>
      <c r="Z7" s="25" t="s">
        <v>4033</v>
      </c>
      <c r="AA7" s="26" t="str">
        <f t="shared" ca="1" si="3"/>
        <v>13年11个月</v>
      </c>
      <c r="AB7" s="25" t="s">
        <v>4034</v>
      </c>
      <c r="AC7" s="25" t="s">
        <v>28</v>
      </c>
      <c r="AD7" s="25" t="s">
        <v>4035</v>
      </c>
      <c r="AE7" s="25"/>
      <c r="AF7" s="25"/>
      <c r="AG7" s="27"/>
      <c r="AH7" s="25" t="s">
        <v>4036</v>
      </c>
      <c r="AI7" s="25" t="s">
        <v>1665</v>
      </c>
      <c r="AJ7" s="25" t="s">
        <v>964</v>
      </c>
      <c r="AK7" s="27" t="s">
        <v>4037</v>
      </c>
      <c r="AL7" s="25" t="s">
        <v>81</v>
      </c>
      <c r="AM7" s="25" t="s">
        <v>4038</v>
      </c>
      <c r="AN7" s="27" t="s">
        <v>4039</v>
      </c>
      <c r="AO7" s="25" t="s">
        <v>4040</v>
      </c>
      <c r="AP7" s="27" t="s">
        <v>4041</v>
      </c>
      <c r="AQ7" s="25"/>
      <c r="AR7" s="25" t="s">
        <v>4042</v>
      </c>
      <c r="AS7" s="26" t="s">
        <v>3990</v>
      </c>
      <c r="AT7" s="25" t="s">
        <v>4043</v>
      </c>
      <c r="AU7" s="25" t="s">
        <v>4044</v>
      </c>
      <c r="AV7" s="25" t="s">
        <v>4045</v>
      </c>
      <c r="AW7" s="30">
        <v>46599</v>
      </c>
      <c r="AX7" s="28">
        <v>43941</v>
      </c>
      <c r="AY7" s="28">
        <v>44305</v>
      </c>
      <c r="AZ7" s="28">
        <v>44670</v>
      </c>
      <c r="BA7" s="28">
        <v>46599</v>
      </c>
      <c r="BB7" s="28"/>
      <c r="BC7" s="25"/>
      <c r="BD7" s="25"/>
      <c r="BE7" s="25"/>
      <c r="BF7" s="25"/>
      <c r="BG7" s="25"/>
      <c r="BH7" s="25"/>
      <c r="BI7" s="27"/>
    </row>
    <row r="8" spans="1:61" ht="15.6" x14ac:dyDescent="0.25">
      <c r="A8" s="25">
        <v>6</v>
      </c>
      <c r="B8" s="25" t="s">
        <v>4046</v>
      </c>
      <c r="C8" s="25" t="s">
        <v>4002</v>
      </c>
      <c r="D8" s="26" t="s">
        <v>3975</v>
      </c>
      <c r="E8" s="26" t="s">
        <v>3975</v>
      </c>
      <c r="F8" s="25" t="s">
        <v>524</v>
      </c>
      <c r="G8" s="25"/>
      <c r="H8" s="25"/>
      <c r="I8" s="25"/>
      <c r="J8" s="25" t="s">
        <v>4047</v>
      </c>
      <c r="K8" s="25" t="s">
        <v>399</v>
      </c>
      <c r="L8" s="25" t="s">
        <v>1553</v>
      </c>
      <c r="M8" s="25" t="s">
        <v>4029</v>
      </c>
      <c r="N8" s="27" t="s">
        <v>4048</v>
      </c>
      <c r="O8" s="27" t="s">
        <v>4031</v>
      </c>
      <c r="P8" s="28">
        <v>43832</v>
      </c>
      <c r="Q8" s="28">
        <v>47485</v>
      </c>
      <c r="R8" s="25" t="str">
        <f t="shared" si="0"/>
        <v>女</v>
      </c>
      <c r="S8" s="25" t="s">
        <v>3984</v>
      </c>
      <c r="T8" s="28" t="str">
        <f t="shared" si="1"/>
        <v>1998-06-10</v>
      </c>
      <c r="U8" s="25">
        <f t="shared" ca="1" si="4"/>
        <v>27</v>
      </c>
      <c r="V8" s="25">
        <v>13629669484</v>
      </c>
      <c r="W8" s="28">
        <v>45102</v>
      </c>
      <c r="X8" s="28">
        <v>45102</v>
      </c>
      <c r="Y8" s="29" t="str">
        <f t="shared" ca="1" si="2"/>
        <v>2年9个月</v>
      </c>
      <c r="Z8" s="25"/>
      <c r="AA8" s="26" t="str">
        <f t="shared" ca="1" si="3"/>
        <v>2年9个月</v>
      </c>
      <c r="AB8" s="25" t="s">
        <v>4049</v>
      </c>
      <c r="AC8" s="25" t="s">
        <v>272</v>
      </c>
      <c r="AD8" s="25" t="s">
        <v>4035</v>
      </c>
      <c r="AE8" s="25"/>
      <c r="AF8" s="25"/>
      <c r="AG8" s="27"/>
      <c r="AH8" s="25" t="s">
        <v>4036</v>
      </c>
      <c r="AI8" s="25" t="s">
        <v>1304</v>
      </c>
      <c r="AJ8" s="25" t="s">
        <v>4050</v>
      </c>
      <c r="AK8" s="27" t="s">
        <v>4051</v>
      </c>
      <c r="AL8" s="25" t="s">
        <v>81</v>
      </c>
      <c r="AM8" s="25" t="s">
        <v>3987</v>
      </c>
      <c r="AN8" s="27" t="s">
        <v>4052</v>
      </c>
      <c r="AO8" s="25" t="s">
        <v>4053</v>
      </c>
      <c r="AP8" s="27" t="s">
        <v>4054</v>
      </c>
      <c r="AQ8" s="25"/>
      <c r="AR8" s="27" t="s">
        <v>4055</v>
      </c>
      <c r="AS8" s="26" t="s">
        <v>4011</v>
      </c>
      <c r="AT8" s="25" t="s">
        <v>4043</v>
      </c>
      <c r="AU8" s="25" t="s">
        <v>4056</v>
      </c>
      <c r="AV8" s="25" t="s">
        <v>4057</v>
      </c>
      <c r="AW8" s="30">
        <v>47330</v>
      </c>
      <c r="AX8" s="28">
        <v>45102</v>
      </c>
      <c r="AY8" s="28">
        <v>45467</v>
      </c>
      <c r="AZ8" s="28">
        <v>47330</v>
      </c>
      <c r="BA8" s="28"/>
      <c r="BB8" s="28"/>
      <c r="BC8" s="25"/>
      <c r="BD8" s="25"/>
      <c r="BE8" s="25"/>
      <c r="BF8" s="25"/>
      <c r="BG8" s="25"/>
      <c r="BH8" s="25"/>
      <c r="BI8" s="27"/>
    </row>
    <row r="9" spans="1:61" ht="15.6" x14ac:dyDescent="0.25">
      <c r="A9" s="25">
        <v>7</v>
      </c>
      <c r="B9" s="25" t="s">
        <v>4058</v>
      </c>
      <c r="C9" s="25" t="s">
        <v>4002</v>
      </c>
      <c r="D9" s="26" t="s">
        <v>3975</v>
      </c>
      <c r="E9" s="26" t="s">
        <v>3975</v>
      </c>
      <c r="F9" s="25" t="s">
        <v>524</v>
      </c>
      <c r="G9" s="25"/>
      <c r="H9" s="25"/>
      <c r="I9" s="25"/>
      <c r="J9" s="25" t="s">
        <v>4047</v>
      </c>
      <c r="K9" s="25" t="s">
        <v>399</v>
      </c>
      <c r="L9" s="25" t="s">
        <v>1553</v>
      </c>
      <c r="M9" s="25" t="s">
        <v>4029</v>
      </c>
      <c r="N9" s="27" t="s">
        <v>4059</v>
      </c>
      <c r="O9" s="27" t="s">
        <v>4031</v>
      </c>
      <c r="P9" s="28">
        <v>44048</v>
      </c>
      <c r="Q9" s="28">
        <v>47700</v>
      </c>
      <c r="R9" s="25" t="str">
        <f t="shared" si="0"/>
        <v>女</v>
      </c>
      <c r="S9" s="25" t="s">
        <v>3984</v>
      </c>
      <c r="T9" s="28" t="str">
        <f t="shared" si="1"/>
        <v>2000-01-17</v>
      </c>
      <c r="U9" s="25">
        <f t="shared" ca="1" si="4"/>
        <v>26</v>
      </c>
      <c r="V9" s="25">
        <v>19188524454</v>
      </c>
      <c r="W9" s="28">
        <v>45425</v>
      </c>
      <c r="X9" s="28">
        <v>45425</v>
      </c>
      <c r="Y9" s="29" t="str">
        <f t="shared" ca="1" si="2"/>
        <v>1年11个月</v>
      </c>
      <c r="Z9" s="25" t="s">
        <v>4060</v>
      </c>
      <c r="AA9" s="26" t="str">
        <f t="shared" ca="1" si="3"/>
        <v>2年8个月</v>
      </c>
      <c r="AB9" s="25" t="s">
        <v>4049</v>
      </c>
      <c r="AC9" s="25" t="s">
        <v>272</v>
      </c>
      <c r="AD9" s="25" t="s">
        <v>4035</v>
      </c>
      <c r="AE9" s="25"/>
      <c r="AF9" s="25"/>
      <c r="AG9" s="27"/>
      <c r="AH9" s="25"/>
      <c r="AI9" s="25"/>
      <c r="AJ9" s="25"/>
      <c r="AK9" s="27"/>
      <c r="AL9" s="25" t="s">
        <v>81</v>
      </c>
      <c r="AM9" s="25" t="s">
        <v>3987</v>
      </c>
      <c r="AN9" s="27" t="s">
        <v>4061</v>
      </c>
      <c r="AO9" s="25" t="s">
        <v>4062</v>
      </c>
      <c r="AP9" s="27" t="s">
        <v>4063</v>
      </c>
      <c r="AQ9" s="25"/>
      <c r="AR9" s="27" t="s">
        <v>4064</v>
      </c>
      <c r="AS9" s="26" t="s">
        <v>4065</v>
      </c>
      <c r="AT9" s="25" t="s">
        <v>4043</v>
      </c>
      <c r="AU9" s="25" t="s">
        <v>4066</v>
      </c>
      <c r="AV9" s="25" t="s">
        <v>4067</v>
      </c>
      <c r="AW9" s="30">
        <v>46904</v>
      </c>
      <c r="AX9" s="28">
        <v>45425</v>
      </c>
      <c r="AY9" s="28">
        <v>45789</v>
      </c>
      <c r="AZ9" s="28">
        <v>46904</v>
      </c>
      <c r="BA9" s="28"/>
      <c r="BB9" s="28"/>
      <c r="BC9" s="25"/>
      <c r="BD9" s="25"/>
      <c r="BE9" s="25"/>
      <c r="BF9" s="25"/>
      <c r="BG9" s="25"/>
      <c r="BH9" s="25"/>
      <c r="BI9" s="27"/>
    </row>
    <row r="10" spans="1:61" ht="15.6" x14ac:dyDescent="0.25">
      <c r="A10" s="25">
        <v>8</v>
      </c>
      <c r="B10" s="25" t="s">
        <v>4068</v>
      </c>
      <c r="C10" s="25" t="s">
        <v>4002</v>
      </c>
      <c r="D10" s="26" t="s">
        <v>3975</v>
      </c>
      <c r="E10" s="26" t="s">
        <v>3975</v>
      </c>
      <c r="F10" s="25" t="s">
        <v>4069</v>
      </c>
      <c r="G10" s="25"/>
      <c r="H10" s="25"/>
      <c r="I10" s="25"/>
      <c r="J10" s="25" t="s">
        <v>4070</v>
      </c>
      <c r="K10" s="25" t="s">
        <v>676</v>
      </c>
      <c r="L10" s="25" t="s">
        <v>4071</v>
      </c>
      <c r="M10" s="25" t="s">
        <v>4017</v>
      </c>
      <c r="N10" s="27" t="s">
        <v>4072</v>
      </c>
      <c r="O10" s="27" t="s">
        <v>4073</v>
      </c>
      <c r="P10" s="28">
        <v>39786</v>
      </c>
      <c r="Q10" s="28">
        <v>47091</v>
      </c>
      <c r="R10" s="25" t="str">
        <f t="shared" si="0"/>
        <v>男</v>
      </c>
      <c r="S10" s="25" t="s">
        <v>3984</v>
      </c>
      <c r="T10" s="28" t="str">
        <f t="shared" si="1"/>
        <v>1970-09-05</v>
      </c>
      <c r="U10" s="25">
        <f t="shared" ca="1" si="4"/>
        <v>55</v>
      </c>
      <c r="V10" s="25">
        <v>13108854351</v>
      </c>
      <c r="W10" s="28">
        <v>38596</v>
      </c>
      <c r="X10" s="28">
        <v>38596</v>
      </c>
      <c r="Y10" s="29" t="str">
        <f t="shared" ca="1" si="2"/>
        <v>20年7个月</v>
      </c>
      <c r="Z10" s="25" t="s">
        <v>4074</v>
      </c>
      <c r="AA10" s="26" t="str">
        <f t="shared" ca="1" si="3"/>
        <v>27年4个月</v>
      </c>
      <c r="AB10" s="25" t="s">
        <v>29</v>
      </c>
      <c r="AC10" s="25" t="s">
        <v>3985</v>
      </c>
      <c r="AD10" s="25" t="s">
        <v>3986</v>
      </c>
      <c r="AE10" s="25" t="s">
        <v>1095</v>
      </c>
      <c r="AF10" s="25" t="s">
        <v>437</v>
      </c>
      <c r="AG10" s="27" t="s">
        <v>3857</v>
      </c>
      <c r="AH10" s="25"/>
      <c r="AI10" s="25"/>
      <c r="AJ10" s="25"/>
      <c r="AK10" s="27"/>
      <c r="AL10" s="25" t="s">
        <v>81</v>
      </c>
      <c r="AM10" s="25" t="s">
        <v>3987</v>
      </c>
      <c r="AN10" s="27"/>
      <c r="AO10" s="25" t="s">
        <v>4075</v>
      </c>
      <c r="AP10" s="27" t="s">
        <v>4076</v>
      </c>
      <c r="AQ10" s="25"/>
      <c r="AR10" s="25" t="s">
        <v>4077</v>
      </c>
      <c r="AS10" s="26" t="s">
        <v>4011</v>
      </c>
      <c r="AT10" s="25" t="s">
        <v>415</v>
      </c>
      <c r="AU10" s="25" t="s">
        <v>3388</v>
      </c>
      <c r="AV10" s="25" t="s">
        <v>3492</v>
      </c>
      <c r="AW10" s="30" t="s">
        <v>3991</v>
      </c>
      <c r="AX10" s="28">
        <v>39769</v>
      </c>
      <c r="AY10" s="25" t="s">
        <v>3991</v>
      </c>
      <c r="AZ10" s="28"/>
      <c r="BA10" s="28"/>
      <c r="BB10" s="28"/>
      <c r="BC10" s="25"/>
      <c r="BD10" s="25"/>
      <c r="BE10" s="25"/>
      <c r="BF10" s="25"/>
      <c r="BG10" s="25"/>
      <c r="BH10" s="25"/>
      <c r="BI10" s="27"/>
    </row>
    <row r="11" spans="1:61" ht="15.6" x14ac:dyDescent="0.25">
      <c r="A11" s="25">
        <v>9</v>
      </c>
      <c r="B11" s="25" t="s">
        <v>4078</v>
      </c>
      <c r="C11" s="25" t="s">
        <v>4002</v>
      </c>
      <c r="D11" s="26" t="s">
        <v>3975</v>
      </c>
      <c r="E11" s="26" t="s">
        <v>3975</v>
      </c>
      <c r="F11" s="25" t="s">
        <v>4069</v>
      </c>
      <c r="G11" s="25"/>
      <c r="H11" s="25"/>
      <c r="I11" s="25"/>
      <c r="J11" s="25" t="s">
        <v>4079</v>
      </c>
      <c r="K11" s="25" t="s">
        <v>676</v>
      </c>
      <c r="L11" s="25" t="s">
        <v>4016</v>
      </c>
      <c r="M11" s="25" t="s">
        <v>4080</v>
      </c>
      <c r="N11" s="27" t="s">
        <v>4081</v>
      </c>
      <c r="O11" s="27" t="s">
        <v>3981</v>
      </c>
      <c r="P11" s="28">
        <v>44315</v>
      </c>
      <c r="Q11" s="28">
        <v>51620</v>
      </c>
      <c r="R11" s="25" t="str">
        <f t="shared" si="0"/>
        <v>男</v>
      </c>
      <c r="S11" s="25" t="s">
        <v>4082</v>
      </c>
      <c r="T11" s="28" t="str">
        <f t="shared" si="1"/>
        <v>1994-02-02</v>
      </c>
      <c r="U11" s="25">
        <f t="shared" ca="1" si="4"/>
        <v>32</v>
      </c>
      <c r="V11" s="25">
        <v>15388718958</v>
      </c>
      <c r="W11" s="28">
        <v>45761</v>
      </c>
      <c r="X11" s="28">
        <v>45761</v>
      </c>
      <c r="Y11" s="29" t="str">
        <f t="shared" ca="1" si="2"/>
        <v>0年11个月</v>
      </c>
      <c r="Z11" s="25" t="s">
        <v>4083</v>
      </c>
      <c r="AA11" s="26" t="str">
        <f t="shared" ca="1" si="3"/>
        <v>5年8个月</v>
      </c>
      <c r="AB11" s="25" t="s">
        <v>253</v>
      </c>
      <c r="AC11" s="25" t="s">
        <v>119</v>
      </c>
      <c r="AD11" s="25" t="s">
        <v>4084</v>
      </c>
      <c r="AE11" s="25"/>
      <c r="AF11" s="25"/>
      <c r="AG11" s="27"/>
      <c r="AH11" s="25"/>
      <c r="AI11" s="25"/>
      <c r="AJ11" s="25"/>
      <c r="AK11" s="27"/>
      <c r="AL11" s="25" t="s">
        <v>87</v>
      </c>
      <c r="AM11" s="25" t="s">
        <v>3987</v>
      </c>
      <c r="AN11" s="27" t="s">
        <v>4085</v>
      </c>
      <c r="AO11" s="25" t="s">
        <v>4086</v>
      </c>
      <c r="AP11" s="27"/>
      <c r="AQ11" s="25"/>
      <c r="AR11" s="25" t="s">
        <v>4087</v>
      </c>
      <c r="AS11" s="26" t="s">
        <v>4088</v>
      </c>
      <c r="AT11" s="25" t="s">
        <v>668</v>
      </c>
      <c r="AU11" s="25" t="s">
        <v>4089</v>
      </c>
      <c r="AV11" s="25" t="s">
        <v>4089</v>
      </c>
      <c r="AW11" s="30">
        <v>47238</v>
      </c>
      <c r="AX11" s="28">
        <v>45761</v>
      </c>
      <c r="AY11" s="28">
        <v>46125</v>
      </c>
      <c r="AZ11" s="28">
        <v>47238</v>
      </c>
      <c r="BA11" s="28"/>
      <c r="BB11" s="28"/>
      <c r="BC11" s="28"/>
      <c r="BD11" s="28"/>
      <c r="BE11" s="28"/>
      <c r="BF11" s="25"/>
      <c r="BG11" s="25"/>
      <c r="BH11" s="25"/>
      <c r="BI11" s="27"/>
    </row>
    <row r="12" spans="1:61" ht="15.6" x14ac:dyDescent="0.25">
      <c r="A12" s="25">
        <v>10</v>
      </c>
      <c r="B12" s="25" t="s">
        <v>3582</v>
      </c>
      <c r="C12" s="26" t="s">
        <v>3974</v>
      </c>
      <c r="D12" s="26" t="s">
        <v>4090</v>
      </c>
      <c r="E12" s="26" t="s">
        <v>3975</v>
      </c>
      <c r="F12" s="25" t="s">
        <v>1353</v>
      </c>
      <c r="G12" s="25"/>
      <c r="H12" s="25"/>
      <c r="I12" s="25"/>
      <c r="J12" s="25" t="s">
        <v>4091</v>
      </c>
      <c r="K12" s="25" t="s">
        <v>676</v>
      </c>
      <c r="L12" s="25" t="s">
        <v>4071</v>
      </c>
      <c r="M12" s="25" t="s">
        <v>4017</v>
      </c>
      <c r="N12" s="25" t="s">
        <v>3589</v>
      </c>
      <c r="O12" s="25" t="s">
        <v>4073</v>
      </c>
      <c r="P12" s="28" t="s">
        <v>4092</v>
      </c>
      <c r="Q12" s="28">
        <v>47167</v>
      </c>
      <c r="R12" s="25" t="str">
        <f t="shared" si="0"/>
        <v>男</v>
      </c>
      <c r="S12" s="25" t="s">
        <v>3984</v>
      </c>
      <c r="T12" s="28" t="str">
        <f t="shared" si="1"/>
        <v>1965-04-26</v>
      </c>
      <c r="U12" s="25">
        <f t="shared" ca="1" si="4"/>
        <v>60</v>
      </c>
      <c r="V12" s="25">
        <v>13708436449</v>
      </c>
      <c r="W12" s="28">
        <v>36982</v>
      </c>
      <c r="X12" s="28">
        <v>36982</v>
      </c>
      <c r="Y12" s="29" t="str">
        <f t="shared" ca="1" si="2"/>
        <v>25年0个月</v>
      </c>
      <c r="Z12" s="25" t="s">
        <v>3588</v>
      </c>
      <c r="AA12" s="26" t="str">
        <f t="shared" ca="1" si="3"/>
        <v>39年11个月</v>
      </c>
      <c r="AB12" s="25" t="s">
        <v>29</v>
      </c>
      <c r="AC12" s="25" t="s">
        <v>3985</v>
      </c>
      <c r="AD12" s="25" t="s">
        <v>3986</v>
      </c>
      <c r="AE12" s="25" t="s">
        <v>3584</v>
      </c>
      <c r="AF12" s="25" t="s">
        <v>437</v>
      </c>
      <c r="AG12" s="27">
        <v>1105700</v>
      </c>
      <c r="AH12" s="25"/>
      <c r="AI12" s="25"/>
      <c r="AJ12" s="25"/>
      <c r="AK12" s="27"/>
      <c r="AL12" s="25" t="s">
        <v>81</v>
      </c>
      <c r="AM12" s="25" t="s">
        <v>3987</v>
      </c>
      <c r="AN12" s="27" t="s">
        <v>4093</v>
      </c>
      <c r="AO12" s="25" t="s">
        <v>4094</v>
      </c>
      <c r="AP12" s="27" t="s">
        <v>4095</v>
      </c>
      <c r="AQ12" s="25" t="s">
        <v>4474</v>
      </c>
      <c r="AR12" s="25" t="s">
        <v>4096</v>
      </c>
      <c r="AS12" s="26" t="s">
        <v>4011</v>
      </c>
      <c r="AT12" s="25" t="s">
        <v>415</v>
      </c>
      <c r="AU12" s="25" t="s">
        <v>4097</v>
      </c>
      <c r="AV12" s="25" t="s">
        <v>3583</v>
      </c>
      <c r="AW12" s="30">
        <v>46173</v>
      </c>
      <c r="AX12" s="28">
        <v>41640</v>
      </c>
      <c r="AY12" s="25" t="s">
        <v>3991</v>
      </c>
      <c r="AZ12" s="28">
        <v>46173</v>
      </c>
      <c r="BA12" s="28"/>
      <c r="BB12" s="28"/>
      <c r="BC12" s="25"/>
      <c r="BD12" s="25"/>
      <c r="BE12" s="25"/>
      <c r="BF12" s="25"/>
      <c r="BG12" s="25"/>
      <c r="BH12" s="25"/>
      <c r="BI12" s="27"/>
    </row>
    <row r="13" spans="1:61" ht="15.6" x14ac:dyDescent="0.25">
      <c r="A13" s="25">
        <v>11</v>
      </c>
      <c r="B13" s="25" t="s">
        <v>4098</v>
      </c>
      <c r="C13" s="25" t="s">
        <v>4002</v>
      </c>
      <c r="D13" s="26" t="s">
        <v>3975</v>
      </c>
      <c r="E13" s="26" t="s">
        <v>3975</v>
      </c>
      <c r="F13" s="25" t="s">
        <v>1353</v>
      </c>
      <c r="G13" s="25"/>
      <c r="H13" s="25"/>
      <c r="I13" s="25"/>
      <c r="J13" s="25" t="s">
        <v>4099</v>
      </c>
      <c r="K13" s="25" t="s">
        <v>361</v>
      </c>
      <c r="L13" s="25" t="s">
        <v>4100</v>
      </c>
      <c r="M13" s="25" t="s">
        <v>4029</v>
      </c>
      <c r="N13" s="27" t="s">
        <v>4101</v>
      </c>
      <c r="O13" s="27" t="s">
        <v>4073</v>
      </c>
      <c r="P13" s="28">
        <v>39014</v>
      </c>
      <c r="Q13" s="28">
        <v>46319</v>
      </c>
      <c r="R13" s="25" t="str">
        <f t="shared" si="0"/>
        <v>女</v>
      </c>
      <c r="S13" s="25" t="s">
        <v>3984</v>
      </c>
      <c r="T13" s="28" t="str">
        <f t="shared" si="1"/>
        <v>1978-05-29</v>
      </c>
      <c r="U13" s="25">
        <f t="shared" ca="1" si="4"/>
        <v>47</v>
      </c>
      <c r="V13" s="25">
        <v>13708489013</v>
      </c>
      <c r="W13" s="28">
        <v>36982</v>
      </c>
      <c r="X13" s="28">
        <v>36982</v>
      </c>
      <c r="Y13" s="29" t="str">
        <f t="shared" ca="1" si="2"/>
        <v>25年0个月</v>
      </c>
      <c r="Z13" s="25"/>
      <c r="AA13" s="26" t="str">
        <f t="shared" ca="1" si="3"/>
        <v>25年0个月</v>
      </c>
      <c r="AB13" s="25" t="s">
        <v>4034</v>
      </c>
      <c r="AC13" s="25" t="s">
        <v>3985</v>
      </c>
      <c r="AD13" s="25" t="s">
        <v>3986</v>
      </c>
      <c r="AE13" s="33"/>
      <c r="AF13" s="33"/>
      <c r="AG13" s="34"/>
      <c r="AH13" s="25" t="s">
        <v>4102</v>
      </c>
      <c r="AI13" s="25" t="s">
        <v>1350</v>
      </c>
      <c r="AJ13" s="25" t="s">
        <v>1012</v>
      </c>
      <c r="AK13" s="27" t="s">
        <v>4103</v>
      </c>
      <c r="AL13" s="25" t="s">
        <v>305</v>
      </c>
      <c r="AM13" s="25"/>
      <c r="AN13" s="27" t="s">
        <v>4039</v>
      </c>
      <c r="AO13" s="25" t="s">
        <v>4104</v>
      </c>
      <c r="AP13" s="27" t="s">
        <v>4105</v>
      </c>
      <c r="AQ13" s="25"/>
      <c r="AR13" s="25" t="s">
        <v>4106</v>
      </c>
      <c r="AS13" s="26" t="s">
        <v>4011</v>
      </c>
      <c r="AT13" s="25" t="s">
        <v>4107</v>
      </c>
      <c r="AU13" s="25" t="s">
        <v>4108</v>
      </c>
      <c r="AV13" s="25" t="s">
        <v>4108</v>
      </c>
      <c r="AW13" s="31" t="s">
        <v>3991</v>
      </c>
      <c r="AX13" s="28">
        <v>43391</v>
      </c>
      <c r="AY13" s="25" t="s">
        <v>3991</v>
      </c>
      <c r="AZ13" s="28"/>
      <c r="BA13" s="28"/>
      <c r="BB13" s="28"/>
      <c r="BC13" s="25"/>
      <c r="BD13" s="25"/>
      <c r="BE13" s="25"/>
      <c r="BF13" s="25"/>
      <c r="BG13" s="25"/>
      <c r="BH13" s="25"/>
      <c r="BI13" s="27"/>
    </row>
    <row r="14" spans="1:61" ht="15.6" x14ac:dyDescent="0.25">
      <c r="A14" s="25">
        <v>12</v>
      </c>
      <c r="B14" s="25" t="s">
        <v>4109</v>
      </c>
      <c r="C14" s="25" t="s">
        <v>4110</v>
      </c>
      <c r="D14" s="26" t="s">
        <v>3975</v>
      </c>
      <c r="E14" s="26" t="s">
        <v>3975</v>
      </c>
      <c r="F14" s="25" t="s">
        <v>1353</v>
      </c>
      <c r="G14" s="25"/>
      <c r="H14" s="25"/>
      <c r="I14" s="25"/>
      <c r="J14" s="25" t="s">
        <v>2361</v>
      </c>
      <c r="K14" s="25" t="s">
        <v>361</v>
      </c>
      <c r="L14" s="25" t="s">
        <v>4100</v>
      </c>
      <c r="M14" s="25" t="s">
        <v>4029</v>
      </c>
      <c r="N14" s="27" t="s">
        <v>4111</v>
      </c>
      <c r="O14" s="27" t="s">
        <v>3981</v>
      </c>
      <c r="P14" s="28">
        <v>39047</v>
      </c>
      <c r="Q14" s="28">
        <v>46352</v>
      </c>
      <c r="R14" s="25" t="str">
        <f t="shared" si="0"/>
        <v>女</v>
      </c>
      <c r="S14" s="25" t="s">
        <v>4112</v>
      </c>
      <c r="T14" s="28" t="str">
        <f t="shared" si="1"/>
        <v>1968-10-15</v>
      </c>
      <c r="U14" s="25">
        <f t="shared" ca="1" si="4"/>
        <v>57</v>
      </c>
      <c r="V14" s="25">
        <v>13908861017</v>
      </c>
      <c r="W14" s="28">
        <v>38933</v>
      </c>
      <c r="X14" s="28">
        <v>38933</v>
      </c>
      <c r="Y14" s="29" t="str">
        <f t="shared" ca="1" si="2"/>
        <v>19年8个月</v>
      </c>
      <c r="Z14" s="25"/>
      <c r="AA14" s="26" t="str">
        <f t="shared" ca="1" si="3"/>
        <v>19年8个月</v>
      </c>
      <c r="AB14" s="25" t="s">
        <v>29</v>
      </c>
      <c r="AC14" s="25" t="s">
        <v>3985</v>
      </c>
      <c r="AD14" s="25" t="s">
        <v>3986</v>
      </c>
      <c r="AE14" s="25"/>
      <c r="AF14" s="25"/>
      <c r="AG14" s="27"/>
      <c r="AH14" s="25"/>
      <c r="AI14" s="33"/>
      <c r="AJ14" s="33"/>
      <c r="AK14" s="34"/>
      <c r="AL14" s="25" t="s">
        <v>305</v>
      </c>
      <c r="AM14" s="25"/>
      <c r="AN14" s="27" t="s">
        <v>4039</v>
      </c>
      <c r="AO14" s="25" t="s">
        <v>4113</v>
      </c>
      <c r="AP14" s="27" t="s">
        <v>4114</v>
      </c>
      <c r="AQ14" s="25"/>
      <c r="AR14" s="25" t="s">
        <v>4115</v>
      </c>
      <c r="AS14" s="26" t="s">
        <v>4011</v>
      </c>
      <c r="AT14" s="25" t="s">
        <v>668</v>
      </c>
      <c r="AU14" s="25" t="s">
        <v>4116</v>
      </c>
      <c r="AV14" s="25" t="s">
        <v>3463</v>
      </c>
      <c r="AW14" s="30">
        <v>46326</v>
      </c>
      <c r="AX14" s="28">
        <v>39036</v>
      </c>
      <c r="AY14" s="25" t="s">
        <v>3991</v>
      </c>
      <c r="AZ14" s="28">
        <v>45580</v>
      </c>
      <c r="BA14" s="28">
        <v>45961</v>
      </c>
      <c r="BB14" s="28">
        <v>46326</v>
      </c>
      <c r="BC14" s="25"/>
      <c r="BD14" s="25"/>
      <c r="BE14" s="25"/>
      <c r="BF14" s="25"/>
      <c r="BG14" s="25"/>
      <c r="BH14" s="25"/>
      <c r="BI14" s="27"/>
    </row>
    <row r="15" spans="1:61" ht="15.6" x14ac:dyDescent="0.25">
      <c r="A15" s="25">
        <v>13</v>
      </c>
      <c r="B15" s="25" t="s">
        <v>4117</v>
      </c>
      <c r="C15" s="25" t="s">
        <v>4002</v>
      </c>
      <c r="D15" s="26" t="s">
        <v>3975</v>
      </c>
      <c r="E15" s="26" t="s">
        <v>3975</v>
      </c>
      <c r="F15" s="25" t="s">
        <v>1353</v>
      </c>
      <c r="G15" s="25"/>
      <c r="H15" s="25"/>
      <c r="I15" s="25"/>
      <c r="J15" s="25" t="s">
        <v>3018</v>
      </c>
      <c r="K15" s="25" t="s">
        <v>361</v>
      </c>
      <c r="L15" s="25" t="s">
        <v>4100</v>
      </c>
      <c r="M15" s="25" t="s">
        <v>4029</v>
      </c>
      <c r="N15" s="27" t="s">
        <v>4118</v>
      </c>
      <c r="O15" s="27" t="s">
        <v>4073</v>
      </c>
      <c r="P15" s="28">
        <v>42430</v>
      </c>
      <c r="Q15" s="28">
        <v>49735</v>
      </c>
      <c r="R15" s="25" t="str">
        <f t="shared" si="0"/>
        <v>男</v>
      </c>
      <c r="S15" s="25" t="s">
        <v>3984</v>
      </c>
      <c r="T15" s="28" t="str">
        <f t="shared" si="1"/>
        <v>1988-08-02</v>
      </c>
      <c r="U15" s="25">
        <f t="shared" ca="1" si="4"/>
        <v>37</v>
      </c>
      <c r="V15" s="25">
        <v>13669728590</v>
      </c>
      <c r="W15" s="28">
        <v>40729</v>
      </c>
      <c r="X15" s="28">
        <v>40729</v>
      </c>
      <c r="Y15" s="29" t="str">
        <f t="shared" ca="1" si="2"/>
        <v>14年9个月</v>
      </c>
      <c r="Z15" s="25"/>
      <c r="AA15" s="26" t="str">
        <f t="shared" ca="1" si="3"/>
        <v>14年9个月</v>
      </c>
      <c r="AB15" s="25" t="s">
        <v>4034</v>
      </c>
      <c r="AC15" s="25" t="s">
        <v>3985</v>
      </c>
      <c r="AD15" s="25" t="s">
        <v>3986</v>
      </c>
      <c r="AE15" s="33"/>
      <c r="AF15" s="33"/>
      <c r="AG15" s="34"/>
      <c r="AH15" s="25" t="s">
        <v>4102</v>
      </c>
      <c r="AI15" s="25" t="s">
        <v>1350</v>
      </c>
      <c r="AJ15" s="25" t="s">
        <v>1012</v>
      </c>
      <c r="AK15" s="27" t="s">
        <v>4119</v>
      </c>
      <c r="AL15" s="25" t="s">
        <v>81</v>
      </c>
      <c r="AM15" s="25" t="s">
        <v>3987</v>
      </c>
      <c r="AN15" s="27" t="s">
        <v>4120</v>
      </c>
      <c r="AO15" s="25" t="s">
        <v>4121</v>
      </c>
      <c r="AP15" s="27" t="s">
        <v>4122</v>
      </c>
      <c r="AQ15" s="25" t="s">
        <v>4474</v>
      </c>
      <c r="AR15" s="27" t="s">
        <v>4123</v>
      </c>
      <c r="AS15" s="26" t="s">
        <v>4011</v>
      </c>
      <c r="AT15" s="25" t="s">
        <v>415</v>
      </c>
      <c r="AU15" s="25" t="s">
        <v>4124</v>
      </c>
      <c r="AV15" s="25" t="s">
        <v>4125</v>
      </c>
      <c r="AW15" s="31" t="s">
        <v>3991</v>
      </c>
      <c r="AX15" s="28">
        <v>40729</v>
      </c>
      <c r="AY15" s="28">
        <v>41824</v>
      </c>
      <c r="AZ15" s="28">
        <v>42921</v>
      </c>
      <c r="BA15" s="28">
        <v>44043</v>
      </c>
      <c r="BB15" s="28">
        <v>45138</v>
      </c>
      <c r="BC15" s="25" t="s">
        <v>3991</v>
      </c>
      <c r="BD15" s="25"/>
      <c r="BE15" s="25"/>
      <c r="BF15" s="25"/>
      <c r="BG15" s="25"/>
      <c r="BH15" s="25"/>
      <c r="BI15" s="27"/>
    </row>
    <row r="16" spans="1:61" ht="15.6" x14ac:dyDescent="0.25">
      <c r="A16" s="25">
        <v>14</v>
      </c>
      <c r="B16" s="25" t="s">
        <v>4126</v>
      </c>
      <c r="C16" s="25" t="s">
        <v>4002</v>
      </c>
      <c r="D16" s="26" t="s">
        <v>3975</v>
      </c>
      <c r="E16" s="26" t="s">
        <v>3975</v>
      </c>
      <c r="F16" s="25" t="s">
        <v>1353</v>
      </c>
      <c r="G16" s="25"/>
      <c r="H16" s="25"/>
      <c r="I16" s="25"/>
      <c r="J16" s="25" t="s">
        <v>4127</v>
      </c>
      <c r="K16" s="25" t="s">
        <v>361</v>
      </c>
      <c r="L16" s="25" t="s">
        <v>4100</v>
      </c>
      <c r="M16" s="25" t="s">
        <v>4029</v>
      </c>
      <c r="N16" s="27" t="s">
        <v>4128</v>
      </c>
      <c r="O16" s="27" t="s">
        <v>4129</v>
      </c>
      <c r="P16" s="28">
        <v>42268</v>
      </c>
      <c r="Q16" s="28">
        <v>49573</v>
      </c>
      <c r="R16" s="25" t="str">
        <f t="shared" si="0"/>
        <v>女</v>
      </c>
      <c r="S16" s="25" t="s">
        <v>3984</v>
      </c>
      <c r="T16" s="28" t="str">
        <f t="shared" si="1"/>
        <v>1989-05-09</v>
      </c>
      <c r="U16" s="25">
        <f t="shared" ca="1" si="4"/>
        <v>36</v>
      </c>
      <c r="V16" s="25">
        <v>18008745845</v>
      </c>
      <c r="W16" s="28">
        <v>44998</v>
      </c>
      <c r="X16" s="28">
        <v>44998</v>
      </c>
      <c r="Y16" s="29" t="str">
        <f t="shared" ca="1" si="2"/>
        <v>3年1个月</v>
      </c>
      <c r="Z16" s="25" t="s">
        <v>4130</v>
      </c>
      <c r="AA16" s="26" t="str">
        <f t="shared" ca="1" si="3"/>
        <v>12年3个月</v>
      </c>
      <c r="AB16" s="25" t="s">
        <v>4131</v>
      </c>
      <c r="AC16" s="25" t="s">
        <v>119</v>
      </c>
      <c r="AD16" s="25" t="s">
        <v>3986</v>
      </c>
      <c r="AE16" s="33"/>
      <c r="AF16" s="33"/>
      <c r="AG16" s="34"/>
      <c r="AH16" s="25" t="s">
        <v>4102</v>
      </c>
      <c r="AI16" s="25" t="s">
        <v>1350</v>
      </c>
      <c r="AJ16" s="25" t="s">
        <v>1012</v>
      </c>
      <c r="AK16" s="27" t="s">
        <v>4132</v>
      </c>
      <c r="AL16" s="25" t="s">
        <v>81</v>
      </c>
      <c r="AM16" s="25" t="s">
        <v>3987</v>
      </c>
      <c r="AN16" s="27" t="s">
        <v>4133</v>
      </c>
      <c r="AO16" s="25" t="s">
        <v>4134</v>
      </c>
      <c r="AP16" s="27" t="s">
        <v>4135</v>
      </c>
      <c r="AQ16" s="25" t="s">
        <v>4474</v>
      </c>
      <c r="AR16" s="25" t="s">
        <v>4136</v>
      </c>
      <c r="AS16" s="26" t="s">
        <v>4011</v>
      </c>
      <c r="AT16" s="25" t="s">
        <v>4137</v>
      </c>
      <c r="AU16" s="25" t="s">
        <v>4138</v>
      </c>
      <c r="AV16" s="25" t="s">
        <v>4139</v>
      </c>
      <c r="AW16" s="30">
        <v>46599</v>
      </c>
      <c r="AX16" s="28">
        <v>44998</v>
      </c>
      <c r="AY16" s="28">
        <v>45363</v>
      </c>
      <c r="AZ16" s="28">
        <v>46599</v>
      </c>
      <c r="BA16" s="28"/>
      <c r="BB16" s="28"/>
      <c r="BC16" s="25"/>
      <c r="BD16" s="25"/>
      <c r="BE16" s="25"/>
      <c r="BF16" s="25"/>
      <c r="BG16" s="25"/>
      <c r="BH16" s="25"/>
      <c r="BI16" s="27"/>
    </row>
    <row r="17" spans="1:61" ht="15.6" x14ac:dyDescent="0.25">
      <c r="A17" s="25">
        <v>15</v>
      </c>
      <c r="B17" s="26" t="s">
        <v>4140</v>
      </c>
      <c r="C17" s="26" t="s">
        <v>4002</v>
      </c>
      <c r="D17" s="26" t="s">
        <v>3975</v>
      </c>
      <c r="E17" s="26" t="s">
        <v>3975</v>
      </c>
      <c r="F17" s="25" t="s">
        <v>1353</v>
      </c>
      <c r="G17" s="26"/>
      <c r="H17" s="26"/>
      <c r="I17" s="26"/>
      <c r="J17" s="26" t="s">
        <v>4141</v>
      </c>
      <c r="K17" s="25" t="s">
        <v>361</v>
      </c>
      <c r="L17" s="25" t="s">
        <v>4100</v>
      </c>
      <c r="M17" s="25" t="s">
        <v>4029</v>
      </c>
      <c r="N17" s="35" t="s">
        <v>4142</v>
      </c>
      <c r="O17" s="35" t="s">
        <v>4031</v>
      </c>
      <c r="P17" s="36">
        <v>43292</v>
      </c>
      <c r="Q17" s="36">
        <v>46945</v>
      </c>
      <c r="R17" s="25" t="str">
        <f t="shared" si="0"/>
        <v>女</v>
      </c>
      <c r="S17" s="26" t="s">
        <v>3984</v>
      </c>
      <c r="T17" s="36" t="str">
        <f t="shared" si="1"/>
        <v>1997-12-29</v>
      </c>
      <c r="U17" s="26">
        <f t="shared" ca="1" si="4"/>
        <v>28</v>
      </c>
      <c r="V17" s="25">
        <v>18725060129</v>
      </c>
      <c r="W17" s="36">
        <v>44384</v>
      </c>
      <c r="X17" s="37">
        <v>44384</v>
      </c>
      <c r="Y17" s="29" t="str">
        <f t="shared" ca="1" si="2"/>
        <v>4年9个月</v>
      </c>
      <c r="Z17" s="26"/>
      <c r="AA17" s="26" t="str">
        <f t="shared" ca="1" si="3"/>
        <v>4年9个月</v>
      </c>
      <c r="AB17" s="25" t="s">
        <v>4034</v>
      </c>
      <c r="AC17" s="25" t="s">
        <v>119</v>
      </c>
      <c r="AD17" s="26" t="s">
        <v>4035</v>
      </c>
      <c r="AE17" s="38"/>
      <c r="AF17" s="38"/>
      <c r="AG17" s="38"/>
      <c r="AH17" s="25"/>
      <c r="AI17" s="25"/>
      <c r="AJ17" s="25"/>
      <c r="AK17" s="27"/>
      <c r="AL17" s="25" t="s">
        <v>81</v>
      </c>
      <c r="AM17" s="25" t="s">
        <v>3987</v>
      </c>
      <c r="AN17" s="27" t="s">
        <v>4143</v>
      </c>
      <c r="AO17" s="26" t="s">
        <v>4144</v>
      </c>
      <c r="AP17" s="35" t="s">
        <v>4145</v>
      </c>
      <c r="AQ17" s="25"/>
      <c r="AR17" s="26" t="s">
        <v>4146</v>
      </c>
      <c r="AS17" s="26" t="s">
        <v>3990</v>
      </c>
      <c r="AT17" s="26" t="s">
        <v>4043</v>
      </c>
      <c r="AU17" s="26" t="s">
        <v>4147</v>
      </c>
      <c r="AV17" s="26" t="s">
        <v>4148</v>
      </c>
      <c r="AW17" s="39">
        <v>46599</v>
      </c>
      <c r="AX17" s="36">
        <v>44383</v>
      </c>
      <c r="AY17" s="36">
        <v>44747</v>
      </c>
      <c r="AZ17" s="36">
        <v>46599</v>
      </c>
      <c r="BA17" s="26"/>
      <c r="BB17" s="26"/>
      <c r="BC17" s="26"/>
      <c r="BD17" s="26"/>
      <c r="BE17" s="26"/>
      <c r="BF17" s="26"/>
      <c r="BG17" s="26"/>
      <c r="BH17" s="26"/>
      <c r="BI17" s="35"/>
    </row>
    <row r="18" spans="1:61" ht="15.6" x14ac:dyDescent="0.25">
      <c r="A18" s="25">
        <v>16</v>
      </c>
      <c r="B18" s="25" t="s">
        <v>4149</v>
      </c>
      <c r="C18" s="25" t="s">
        <v>4002</v>
      </c>
      <c r="D18" s="26" t="s">
        <v>3975</v>
      </c>
      <c r="E18" s="26" t="s">
        <v>4150</v>
      </c>
      <c r="F18" s="25" t="s">
        <v>1353</v>
      </c>
      <c r="G18" s="25" t="s">
        <v>4151</v>
      </c>
      <c r="H18" s="25"/>
      <c r="I18" s="25"/>
      <c r="J18" s="25" t="s">
        <v>4152</v>
      </c>
      <c r="K18" s="25" t="s">
        <v>361</v>
      </c>
      <c r="L18" s="25" t="s">
        <v>4100</v>
      </c>
      <c r="M18" s="25" t="s">
        <v>4029</v>
      </c>
      <c r="N18" s="27" t="s">
        <v>4153</v>
      </c>
      <c r="O18" s="27" t="s">
        <v>4031</v>
      </c>
      <c r="P18" s="28">
        <v>42888</v>
      </c>
      <c r="Q18" s="28">
        <v>50193</v>
      </c>
      <c r="R18" s="25" t="str">
        <f t="shared" si="0"/>
        <v>女</v>
      </c>
      <c r="S18" s="25" t="s">
        <v>3984</v>
      </c>
      <c r="T18" s="28" t="str">
        <f t="shared" si="1"/>
        <v>1991-05-21</v>
      </c>
      <c r="U18" s="25">
        <f t="shared" ca="1" si="4"/>
        <v>34</v>
      </c>
      <c r="V18" s="25">
        <v>13629683592</v>
      </c>
      <c r="W18" s="28">
        <v>43836</v>
      </c>
      <c r="X18" s="28">
        <v>42826</v>
      </c>
      <c r="Y18" s="29" t="str">
        <f t="shared" ca="1" si="2"/>
        <v>9年0个月</v>
      </c>
      <c r="Z18" s="25" t="s">
        <v>4154</v>
      </c>
      <c r="AA18" s="26" t="str">
        <f t="shared" ca="1" si="3"/>
        <v>11年8个月</v>
      </c>
      <c r="AB18" s="25" t="s">
        <v>4034</v>
      </c>
      <c r="AC18" s="25" t="s">
        <v>3985</v>
      </c>
      <c r="AD18" s="25" t="s">
        <v>4035</v>
      </c>
      <c r="AE18" s="33"/>
      <c r="AF18" s="33"/>
      <c r="AG18" s="34"/>
      <c r="AH18" s="25" t="s">
        <v>4102</v>
      </c>
      <c r="AI18" s="25" t="s">
        <v>1350</v>
      </c>
      <c r="AJ18" s="25" t="s">
        <v>1012</v>
      </c>
      <c r="AK18" s="27" t="s">
        <v>4155</v>
      </c>
      <c r="AL18" s="25" t="s">
        <v>81</v>
      </c>
      <c r="AM18" s="25" t="s">
        <v>3987</v>
      </c>
      <c r="AN18" s="27" t="s">
        <v>4156</v>
      </c>
      <c r="AO18" s="25" t="s">
        <v>4157</v>
      </c>
      <c r="AP18" s="27" t="s">
        <v>4158</v>
      </c>
      <c r="AQ18" s="25"/>
      <c r="AR18" s="25" t="s">
        <v>4136</v>
      </c>
      <c r="AS18" s="26" t="s">
        <v>4011</v>
      </c>
      <c r="AT18" s="25" t="s">
        <v>4043</v>
      </c>
      <c r="AU18" s="25" t="s">
        <v>4159</v>
      </c>
      <c r="AV18" s="25" t="s">
        <v>4159</v>
      </c>
      <c r="AW18" s="30">
        <v>46873</v>
      </c>
      <c r="AX18" s="28">
        <v>43836</v>
      </c>
      <c r="AY18" s="28">
        <v>44931</v>
      </c>
      <c r="AZ18" s="28">
        <v>46873</v>
      </c>
      <c r="BA18" s="28"/>
      <c r="BB18" s="28"/>
      <c r="BC18" s="25"/>
      <c r="BD18" s="25"/>
      <c r="BE18" s="25"/>
      <c r="BF18" s="25"/>
      <c r="BG18" s="25"/>
      <c r="BH18" s="25"/>
      <c r="BI18" s="27"/>
    </row>
    <row r="19" spans="1:61" ht="15.6" x14ac:dyDescent="0.25">
      <c r="A19" s="25">
        <v>17</v>
      </c>
      <c r="B19" s="25" t="s">
        <v>4160</v>
      </c>
      <c r="C19" s="25" t="s">
        <v>4002</v>
      </c>
      <c r="D19" s="26" t="s">
        <v>3975</v>
      </c>
      <c r="E19" s="26" t="s">
        <v>4161</v>
      </c>
      <c r="F19" s="25" t="s">
        <v>1353</v>
      </c>
      <c r="G19" s="25" t="s">
        <v>4162</v>
      </c>
      <c r="H19" s="25"/>
      <c r="I19" s="25"/>
      <c r="J19" s="25" t="s">
        <v>4163</v>
      </c>
      <c r="K19" s="25" t="s">
        <v>361</v>
      </c>
      <c r="L19" s="25" t="s">
        <v>4100</v>
      </c>
      <c r="M19" s="25" t="s">
        <v>4029</v>
      </c>
      <c r="N19" s="27" t="s">
        <v>4164</v>
      </c>
      <c r="O19" s="27" t="s">
        <v>4165</v>
      </c>
      <c r="P19" s="28">
        <v>44053</v>
      </c>
      <c r="Q19" s="28">
        <v>51358</v>
      </c>
      <c r="R19" s="25" t="str">
        <f t="shared" si="0"/>
        <v>女</v>
      </c>
      <c r="S19" s="25" t="s">
        <v>3984</v>
      </c>
      <c r="T19" s="28" t="str">
        <f t="shared" si="1"/>
        <v>1987-10-15</v>
      </c>
      <c r="U19" s="25">
        <f t="shared" ca="1" si="4"/>
        <v>38</v>
      </c>
      <c r="V19" s="25">
        <v>13529376880</v>
      </c>
      <c r="W19" s="28">
        <v>45536</v>
      </c>
      <c r="X19" s="28">
        <v>42233</v>
      </c>
      <c r="Y19" s="29" t="str">
        <f t="shared" ca="1" si="2"/>
        <v>10年7个月</v>
      </c>
      <c r="Z19" s="25" t="s">
        <v>949</v>
      </c>
      <c r="AA19" s="26" t="str">
        <f t="shared" ca="1" si="3"/>
        <v>10年10个月</v>
      </c>
      <c r="AB19" s="25" t="s">
        <v>4049</v>
      </c>
      <c r="AC19" s="25" t="s">
        <v>3985</v>
      </c>
      <c r="AD19" s="25" t="s">
        <v>4035</v>
      </c>
      <c r="AE19" s="33"/>
      <c r="AF19" s="33"/>
      <c r="AG19" s="34"/>
      <c r="AH19" s="25" t="s">
        <v>4102</v>
      </c>
      <c r="AI19" s="25" t="s">
        <v>1350</v>
      </c>
      <c r="AJ19" s="25" t="s">
        <v>1012</v>
      </c>
      <c r="AK19" s="27" t="s">
        <v>4166</v>
      </c>
      <c r="AL19" s="25" t="s">
        <v>87</v>
      </c>
      <c r="AM19" s="25" t="s">
        <v>3987</v>
      </c>
      <c r="AN19" s="27" t="s">
        <v>4167</v>
      </c>
      <c r="AO19" s="25" t="s">
        <v>2210</v>
      </c>
      <c r="AP19" s="27" t="s">
        <v>4168</v>
      </c>
      <c r="AQ19" s="25"/>
      <c r="AR19" s="25" t="s">
        <v>2212</v>
      </c>
      <c r="AS19" s="26" t="s">
        <v>4011</v>
      </c>
      <c r="AT19" s="25" t="s">
        <v>4169</v>
      </c>
      <c r="AU19" s="25" t="s">
        <v>4170</v>
      </c>
      <c r="AV19" s="25" t="s">
        <v>2204</v>
      </c>
      <c r="AW19" s="31" t="s">
        <v>3991</v>
      </c>
      <c r="AX19" s="28">
        <v>45536</v>
      </c>
      <c r="AY19" s="28" t="s">
        <v>3991</v>
      </c>
      <c r="AZ19" s="28"/>
      <c r="BA19" s="40"/>
      <c r="BB19" s="28"/>
      <c r="BC19" s="25"/>
      <c r="BD19" s="25"/>
      <c r="BE19" s="25"/>
      <c r="BF19" s="25"/>
      <c r="BG19" s="25"/>
      <c r="BH19" s="25"/>
      <c r="BI19" s="27"/>
    </row>
    <row r="20" spans="1:61" ht="15.6" x14ac:dyDescent="0.25">
      <c r="A20" s="25">
        <v>18</v>
      </c>
      <c r="B20" s="25" t="s">
        <v>4171</v>
      </c>
      <c r="C20" s="25" t="s">
        <v>4002</v>
      </c>
      <c r="D20" s="26" t="s">
        <v>3975</v>
      </c>
      <c r="E20" s="26" t="s">
        <v>3975</v>
      </c>
      <c r="F20" s="25" t="s">
        <v>4172</v>
      </c>
      <c r="G20" s="25"/>
      <c r="H20" s="25"/>
      <c r="I20" s="25"/>
      <c r="J20" s="25" t="s">
        <v>4173</v>
      </c>
      <c r="K20" s="25" t="s">
        <v>676</v>
      </c>
      <c r="L20" s="25" t="s">
        <v>4071</v>
      </c>
      <c r="M20" s="25" t="s">
        <v>4017</v>
      </c>
      <c r="N20" s="27" t="s">
        <v>4174</v>
      </c>
      <c r="O20" s="27" t="s">
        <v>3981</v>
      </c>
      <c r="P20" s="28">
        <v>39041</v>
      </c>
      <c r="Q20" s="28">
        <v>46346</v>
      </c>
      <c r="R20" s="25" t="str">
        <f t="shared" si="0"/>
        <v>男</v>
      </c>
      <c r="S20" s="25" t="s">
        <v>4112</v>
      </c>
      <c r="T20" s="28" t="str">
        <f t="shared" si="1"/>
        <v>1972-03-04</v>
      </c>
      <c r="U20" s="25">
        <f t="shared" ca="1" si="4"/>
        <v>54</v>
      </c>
      <c r="V20" s="25">
        <v>13608711851</v>
      </c>
      <c r="W20" s="28">
        <v>41715</v>
      </c>
      <c r="X20" s="28">
        <v>41715</v>
      </c>
      <c r="Y20" s="29" t="str">
        <f t="shared" ca="1" si="2"/>
        <v>12年0个月</v>
      </c>
      <c r="Z20" s="25" t="s">
        <v>4175</v>
      </c>
      <c r="AA20" s="26" t="str">
        <f t="shared" ca="1" si="3"/>
        <v>25年3个月</v>
      </c>
      <c r="AB20" s="25" t="s">
        <v>29</v>
      </c>
      <c r="AC20" s="25" t="s">
        <v>4176</v>
      </c>
      <c r="AD20" s="25" t="s">
        <v>3986</v>
      </c>
      <c r="AE20" s="25" t="s">
        <v>2519</v>
      </c>
      <c r="AF20" s="25" t="s">
        <v>1012</v>
      </c>
      <c r="AG20" s="27" t="s">
        <v>4177</v>
      </c>
      <c r="AH20" s="25"/>
      <c r="AI20" s="25"/>
      <c r="AJ20" s="25"/>
      <c r="AK20" s="27"/>
      <c r="AL20" s="25" t="s">
        <v>81</v>
      </c>
      <c r="AM20" s="25" t="s">
        <v>3987</v>
      </c>
      <c r="AN20" s="27" t="s">
        <v>4178</v>
      </c>
      <c r="AO20" s="25" t="s">
        <v>4179</v>
      </c>
      <c r="AP20" s="27" t="s">
        <v>4178</v>
      </c>
      <c r="AQ20" s="25"/>
      <c r="AR20" s="27" t="s">
        <v>4180</v>
      </c>
      <c r="AS20" s="26" t="s">
        <v>4011</v>
      </c>
      <c r="AT20" s="25" t="s">
        <v>668</v>
      </c>
      <c r="AU20" s="25" t="s">
        <v>4181</v>
      </c>
      <c r="AV20" s="25" t="s">
        <v>4182</v>
      </c>
      <c r="AW20" s="30" t="s">
        <v>3991</v>
      </c>
      <c r="AX20" s="28">
        <v>41715</v>
      </c>
      <c r="AY20" s="28">
        <v>42079</v>
      </c>
      <c r="AZ20" s="28">
        <v>44043</v>
      </c>
      <c r="BA20" s="28" t="s">
        <v>3991</v>
      </c>
      <c r="BB20" s="28"/>
      <c r="BC20" s="25"/>
      <c r="BD20" s="25"/>
      <c r="BE20" s="25"/>
      <c r="BF20" s="25"/>
      <c r="BG20" s="25"/>
      <c r="BH20" s="25"/>
      <c r="BI20" s="25"/>
    </row>
    <row r="21" spans="1:61" ht="15.6" x14ac:dyDescent="0.25">
      <c r="A21" s="25">
        <v>19</v>
      </c>
      <c r="B21" s="25" t="s">
        <v>4183</v>
      </c>
      <c r="C21" s="25" t="s">
        <v>4002</v>
      </c>
      <c r="D21" s="26" t="s">
        <v>3975</v>
      </c>
      <c r="E21" s="26" t="s">
        <v>3975</v>
      </c>
      <c r="F21" s="25" t="s">
        <v>1588</v>
      </c>
      <c r="G21" s="25"/>
      <c r="H21" s="25"/>
      <c r="I21" s="25"/>
      <c r="J21" s="25" t="s">
        <v>4184</v>
      </c>
      <c r="K21" s="25" t="s">
        <v>361</v>
      </c>
      <c r="L21" s="25" t="s">
        <v>4100</v>
      </c>
      <c r="M21" s="25" t="s">
        <v>4029</v>
      </c>
      <c r="N21" s="27" t="s">
        <v>4185</v>
      </c>
      <c r="O21" s="27" t="s">
        <v>4031</v>
      </c>
      <c r="P21" s="28">
        <v>44729</v>
      </c>
      <c r="Q21" s="28">
        <v>52034</v>
      </c>
      <c r="R21" s="25" t="str">
        <f t="shared" si="0"/>
        <v>女</v>
      </c>
      <c r="S21" s="25" t="s">
        <v>3984</v>
      </c>
      <c r="T21" s="28" t="str">
        <f t="shared" si="1"/>
        <v>1991-11-03</v>
      </c>
      <c r="U21" s="25">
        <f t="shared" ca="1" si="4"/>
        <v>34</v>
      </c>
      <c r="V21" s="25">
        <v>13529380754</v>
      </c>
      <c r="W21" s="28">
        <v>41589</v>
      </c>
      <c r="X21" s="28">
        <v>41589</v>
      </c>
      <c r="Y21" s="29" t="str">
        <f t="shared" ca="1" si="2"/>
        <v>12年5个月</v>
      </c>
      <c r="Z21" s="25"/>
      <c r="AA21" s="26" t="str">
        <f t="shared" ca="1" si="3"/>
        <v>12年5个月</v>
      </c>
      <c r="AB21" s="25" t="s">
        <v>4034</v>
      </c>
      <c r="AC21" s="25" t="s">
        <v>3985</v>
      </c>
      <c r="AD21" s="25" t="s">
        <v>4035</v>
      </c>
      <c r="AE21" s="25"/>
      <c r="AF21" s="25"/>
      <c r="AG21" s="27"/>
      <c r="AH21" s="25" t="s">
        <v>4036</v>
      </c>
      <c r="AI21" s="25" t="s">
        <v>1585</v>
      </c>
      <c r="AJ21" s="25" t="s">
        <v>1012</v>
      </c>
      <c r="AK21" s="27"/>
      <c r="AL21" s="25" t="s">
        <v>81</v>
      </c>
      <c r="AM21" s="25" t="s">
        <v>4038</v>
      </c>
      <c r="AN21" s="27" t="s">
        <v>4039</v>
      </c>
      <c r="AO21" s="25" t="s">
        <v>4186</v>
      </c>
      <c r="AP21" s="27" t="s">
        <v>4187</v>
      </c>
      <c r="AQ21" s="25"/>
      <c r="AR21" s="27" t="s">
        <v>4188</v>
      </c>
      <c r="AS21" s="26" t="s">
        <v>4011</v>
      </c>
      <c r="AT21" s="25" t="s">
        <v>294</v>
      </c>
      <c r="AU21" s="25" t="s">
        <v>4189</v>
      </c>
      <c r="AV21" s="25" t="s">
        <v>4190</v>
      </c>
      <c r="AW21" s="30" t="s">
        <v>3991</v>
      </c>
      <c r="AX21" s="28">
        <v>41589</v>
      </c>
      <c r="AY21" s="28">
        <v>41953</v>
      </c>
      <c r="AZ21" s="28">
        <v>42947</v>
      </c>
      <c r="BA21" s="28">
        <v>43312</v>
      </c>
      <c r="BB21" s="28">
        <v>45138</v>
      </c>
      <c r="BC21" s="28">
        <v>46081</v>
      </c>
      <c r="BD21" s="25" t="s">
        <v>3991</v>
      </c>
      <c r="BE21" s="25"/>
      <c r="BF21" s="25"/>
      <c r="BG21" s="25"/>
      <c r="BH21" s="25"/>
      <c r="BI21" s="27"/>
    </row>
    <row r="22" spans="1:61" ht="15.6" x14ac:dyDescent="0.25">
      <c r="A22" s="25">
        <v>20</v>
      </c>
      <c r="B22" s="25" t="s">
        <v>4191</v>
      </c>
      <c r="C22" s="25" t="s">
        <v>4002</v>
      </c>
      <c r="D22" s="26" t="s">
        <v>3975</v>
      </c>
      <c r="E22" s="26" t="s">
        <v>3975</v>
      </c>
      <c r="F22" s="25" t="s">
        <v>1588</v>
      </c>
      <c r="G22" s="25"/>
      <c r="H22" s="25"/>
      <c r="I22" s="25"/>
      <c r="J22" s="25" t="s">
        <v>4192</v>
      </c>
      <c r="K22" s="25" t="s">
        <v>361</v>
      </c>
      <c r="L22" s="25" t="s">
        <v>4100</v>
      </c>
      <c r="M22" s="25" t="s">
        <v>4029</v>
      </c>
      <c r="N22" s="27" t="s">
        <v>4193</v>
      </c>
      <c r="O22" s="27" t="s">
        <v>4031</v>
      </c>
      <c r="P22" s="28">
        <v>42485</v>
      </c>
      <c r="Q22" s="28">
        <v>49790</v>
      </c>
      <c r="R22" s="25" t="str">
        <f t="shared" si="0"/>
        <v>女</v>
      </c>
      <c r="S22" s="25" t="s">
        <v>3984</v>
      </c>
      <c r="T22" s="28" t="str">
        <f t="shared" si="1"/>
        <v>1989-11-06</v>
      </c>
      <c r="U22" s="25">
        <f t="shared" ca="1" si="4"/>
        <v>36</v>
      </c>
      <c r="V22" s="25">
        <v>13888855421</v>
      </c>
      <c r="W22" s="28">
        <v>43542</v>
      </c>
      <c r="X22" s="41">
        <v>43542</v>
      </c>
      <c r="Y22" s="29" t="str">
        <f t="shared" ca="1" si="2"/>
        <v>7年0个月</v>
      </c>
      <c r="Z22" s="25" t="s">
        <v>4194</v>
      </c>
      <c r="AA22" s="26" t="str">
        <f t="shared" ca="1" si="3"/>
        <v>14年3个月</v>
      </c>
      <c r="AB22" s="25" t="s">
        <v>4034</v>
      </c>
      <c r="AC22" s="25" t="s">
        <v>3985</v>
      </c>
      <c r="AD22" s="25" t="s">
        <v>3986</v>
      </c>
      <c r="AE22" s="25" t="s">
        <v>4195</v>
      </c>
      <c r="AF22" s="25" t="s">
        <v>4050</v>
      </c>
      <c r="AG22" s="27">
        <v>20140401</v>
      </c>
      <c r="AH22" s="25" t="s">
        <v>4036</v>
      </c>
      <c r="AI22" s="25" t="s">
        <v>1665</v>
      </c>
      <c r="AJ22" s="25" t="s">
        <v>4050</v>
      </c>
      <c r="AK22" s="27"/>
      <c r="AL22" s="25" t="s">
        <v>81</v>
      </c>
      <c r="AM22" s="25" t="s">
        <v>4038</v>
      </c>
      <c r="AN22" s="27" t="s">
        <v>4039</v>
      </c>
      <c r="AO22" s="25" t="s">
        <v>4196</v>
      </c>
      <c r="AP22" s="27" t="s">
        <v>4197</v>
      </c>
      <c r="AQ22" s="25"/>
      <c r="AR22" s="25" t="s">
        <v>4136</v>
      </c>
      <c r="AS22" s="26" t="s">
        <v>3990</v>
      </c>
      <c r="AT22" s="25" t="s">
        <v>4043</v>
      </c>
      <c r="AU22" s="25" t="s">
        <v>4198</v>
      </c>
      <c r="AV22" s="25" t="s">
        <v>4199</v>
      </c>
      <c r="AW22" s="30">
        <v>46965</v>
      </c>
      <c r="AX22" s="28">
        <v>43542</v>
      </c>
      <c r="AY22" s="28">
        <v>43907</v>
      </c>
      <c r="AZ22" s="28">
        <v>45138</v>
      </c>
      <c r="BA22" s="28">
        <v>46965</v>
      </c>
      <c r="BB22" s="25"/>
      <c r="BC22" s="25"/>
      <c r="BD22" s="25"/>
      <c r="BE22" s="25"/>
      <c r="BF22" s="25"/>
      <c r="BG22" s="25"/>
      <c r="BH22" s="25"/>
      <c r="BI22" s="27"/>
    </row>
    <row r="23" spans="1:61" ht="15.6" x14ac:dyDescent="0.25">
      <c r="A23" s="25">
        <v>21</v>
      </c>
      <c r="B23" s="25" t="s">
        <v>4200</v>
      </c>
      <c r="C23" s="25" t="s">
        <v>4002</v>
      </c>
      <c r="D23" s="26" t="s">
        <v>3975</v>
      </c>
      <c r="E23" s="26" t="s">
        <v>3975</v>
      </c>
      <c r="F23" s="25" t="s">
        <v>1588</v>
      </c>
      <c r="G23" s="25"/>
      <c r="H23" s="25"/>
      <c r="I23" s="25"/>
      <c r="J23" s="25" t="s">
        <v>4201</v>
      </c>
      <c r="K23" s="25" t="s">
        <v>361</v>
      </c>
      <c r="L23" s="25" t="s">
        <v>4100</v>
      </c>
      <c r="M23" s="25" t="s">
        <v>4029</v>
      </c>
      <c r="N23" s="27" t="s">
        <v>4202</v>
      </c>
      <c r="O23" s="27" t="s">
        <v>4019</v>
      </c>
      <c r="P23" s="28">
        <v>43483</v>
      </c>
      <c r="Q23" s="28">
        <v>47136</v>
      </c>
      <c r="R23" s="25" t="str">
        <f t="shared" si="0"/>
        <v>女</v>
      </c>
      <c r="S23" s="25" t="s">
        <v>3984</v>
      </c>
      <c r="T23" s="28" t="str">
        <f t="shared" si="1"/>
        <v>1998-11-02</v>
      </c>
      <c r="U23" s="25">
        <f t="shared" ca="1" si="4"/>
        <v>27</v>
      </c>
      <c r="V23" s="25">
        <v>13099420515</v>
      </c>
      <c r="W23" s="28">
        <v>44187</v>
      </c>
      <c r="X23" s="41">
        <v>44187</v>
      </c>
      <c r="Y23" s="29" t="str">
        <f t="shared" ca="1" si="2"/>
        <v>5年3个月</v>
      </c>
      <c r="Z23" s="25"/>
      <c r="AA23" s="26" t="str">
        <f t="shared" ca="1" si="3"/>
        <v>5年3个月</v>
      </c>
      <c r="AB23" s="25" t="s">
        <v>4049</v>
      </c>
      <c r="AC23" s="25" t="s">
        <v>272</v>
      </c>
      <c r="AD23" s="25" t="s">
        <v>3986</v>
      </c>
      <c r="AE23" s="25"/>
      <c r="AF23" s="25"/>
      <c r="AG23" s="27"/>
      <c r="AH23" s="25" t="s">
        <v>4036</v>
      </c>
      <c r="AI23" s="25" t="s">
        <v>1585</v>
      </c>
      <c r="AJ23" s="25" t="s">
        <v>4050</v>
      </c>
      <c r="AK23" s="27" t="s">
        <v>4203</v>
      </c>
      <c r="AL23" s="25" t="s">
        <v>81</v>
      </c>
      <c r="AM23" s="25" t="s">
        <v>3987</v>
      </c>
      <c r="AN23" s="27" t="s">
        <v>4204</v>
      </c>
      <c r="AO23" s="25" t="s">
        <v>4205</v>
      </c>
      <c r="AP23" s="27" t="s">
        <v>4206</v>
      </c>
      <c r="AQ23" s="25"/>
      <c r="AR23" s="25" t="s">
        <v>4188</v>
      </c>
      <c r="AS23" s="26" t="s">
        <v>3990</v>
      </c>
      <c r="AT23" s="25" t="s">
        <v>4207</v>
      </c>
      <c r="AU23" s="25" t="s">
        <v>4208</v>
      </c>
      <c r="AV23" s="25" t="s">
        <v>4208</v>
      </c>
      <c r="AW23" s="30">
        <v>46599</v>
      </c>
      <c r="AX23" s="41">
        <v>44187</v>
      </c>
      <c r="AY23" s="28">
        <v>44551</v>
      </c>
      <c r="AZ23" s="28">
        <v>45504</v>
      </c>
      <c r="BA23" s="28">
        <v>46599</v>
      </c>
      <c r="BB23" s="25"/>
      <c r="BC23" s="25"/>
      <c r="BD23" s="25"/>
      <c r="BE23" s="25"/>
      <c r="BF23" s="25"/>
      <c r="BG23" s="25"/>
      <c r="BH23" s="25"/>
      <c r="BI23" s="27"/>
    </row>
    <row r="24" spans="1:61" ht="15.6" x14ac:dyDescent="0.25">
      <c r="A24" s="25">
        <v>22</v>
      </c>
      <c r="B24" s="25" t="s">
        <v>4209</v>
      </c>
      <c r="C24" s="25" t="s">
        <v>4002</v>
      </c>
      <c r="D24" s="26" t="s">
        <v>3975</v>
      </c>
      <c r="E24" s="26" t="s">
        <v>3975</v>
      </c>
      <c r="F24" s="25" t="s">
        <v>4210</v>
      </c>
      <c r="G24" s="25"/>
      <c r="H24" s="25"/>
      <c r="I24" s="25"/>
      <c r="J24" s="25" t="s">
        <v>4211</v>
      </c>
      <c r="K24" s="25" t="s">
        <v>676</v>
      </c>
      <c r="L24" s="25" t="s">
        <v>4071</v>
      </c>
      <c r="M24" s="25" t="s">
        <v>4017</v>
      </c>
      <c r="N24" s="27" t="s">
        <v>4212</v>
      </c>
      <c r="O24" s="27" t="s">
        <v>4073</v>
      </c>
      <c r="P24" s="28">
        <v>38939</v>
      </c>
      <c r="Q24" s="28">
        <v>46244</v>
      </c>
      <c r="R24" s="25" t="str">
        <f t="shared" si="0"/>
        <v>男</v>
      </c>
      <c r="S24" s="25" t="s">
        <v>3984</v>
      </c>
      <c r="T24" s="28" t="str">
        <f t="shared" si="1"/>
        <v>1971-10-02</v>
      </c>
      <c r="U24" s="25">
        <f t="shared" ca="1" si="4"/>
        <v>54</v>
      </c>
      <c r="V24" s="25">
        <v>13700628546</v>
      </c>
      <c r="W24" s="28">
        <v>36982</v>
      </c>
      <c r="X24" s="28">
        <v>36982</v>
      </c>
      <c r="Y24" s="29" t="str">
        <f t="shared" ca="1" si="2"/>
        <v>25年0个月</v>
      </c>
      <c r="Z24" s="25" t="s">
        <v>4213</v>
      </c>
      <c r="AA24" s="26" t="str">
        <f t="shared" ca="1" si="3"/>
        <v>33年9个月</v>
      </c>
      <c r="AB24" s="25" t="s">
        <v>29</v>
      </c>
      <c r="AC24" s="25" t="s">
        <v>3985</v>
      </c>
      <c r="AD24" s="25" t="s">
        <v>3986</v>
      </c>
      <c r="AE24" s="25" t="s">
        <v>3597</v>
      </c>
      <c r="AF24" s="25" t="s">
        <v>1012</v>
      </c>
      <c r="AG24" s="27">
        <v>2013030551</v>
      </c>
      <c r="AH24" s="25"/>
      <c r="AI24" s="25"/>
      <c r="AJ24" s="25"/>
      <c r="AK24" s="27"/>
      <c r="AL24" s="25" t="s">
        <v>81</v>
      </c>
      <c r="AM24" s="25" t="s">
        <v>4038</v>
      </c>
      <c r="AN24" s="27" t="s">
        <v>4039</v>
      </c>
      <c r="AO24" s="25" t="s">
        <v>4214</v>
      </c>
      <c r="AP24" s="27" t="s">
        <v>4215</v>
      </c>
      <c r="AQ24" s="25">
        <v>211</v>
      </c>
      <c r="AR24" s="25" t="s">
        <v>4106</v>
      </c>
      <c r="AS24" s="26" t="s">
        <v>4011</v>
      </c>
      <c r="AT24" s="25" t="s">
        <v>415</v>
      </c>
      <c r="AU24" s="25" t="s">
        <v>4216</v>
      </c>
      <c r="AV24" s="25" t="s">
        <v>3596</v>
      </c>
      <c r="AW24" s="30" t="s">
        <v>3991</v>
      </c>
      <c r="AX24" s="28">
        <v>39448</v>
      </c>
      <c r="AY24" s="25" t="s">
        <v>3991</v>
      </c>
      <c r="AZ24" s="28"/>
      <c r="BA24" s="28"/>
      <c r="BB24" s="28"/>
      <c r="BC24" s="25"/>
      <c r="BD24" s="25"/>
      <c r="BE24" s="25"/>
      <c r="BF24" s="25"/>
      <c r="BG24" s="25"/>
      <c r="BH24" s="25"/>
      <c r="BI24" s="27"/>
    </row>
    <row r="25" spans="1:61" ht="15.6" x14ac:dyDescent="0.25">
      <c r="A25" s="25">
        <v>23</v>
      </c>
      <c r="B25" s="25" t="s">
        <v>4217</v>
      </c>
      <c r="C25" s="25" t="s">
        <v>4002</v>
      </c>
      <c r="D25" s="26" t="s">
        <v>3975</v>
      </c>
      <c r="E25" s="26" t="s">
        <v>3975</v>
      </c>
      <c r="F25" s="25" t="s">
        <v>4210</v>
      </c>
      <c r="G25" s="25"/>
      <c r="H25" s="25"/>
      <c r="I25" s="25"/>
      <c r="J25" s="25" t="s">
        <v>4218</v>
      </c>
      <c r="K25" s="25" t="s">
        <v>676</v>
      </c>
      <c r="L25" s="25" t="s">
        <v>4016</v>
      </c>
      <c r="M25" s="25" t="s">
        <v>4080</v>
      </c>
      <c r="N25" s="27" t="s">
        <v>4219</v>
      </c>
      <c r="O25" s="27" t="s">
        <v>4129</v>
      </c>
      <c r="P25" s="28">
        <v>44944</v>
      </c>
      <c r="Q25" s="28">
        <v>52249</v>
      </c>
      <c r="R25" s="25" t="str">
        <f t="shared" si="0"/>
        <v>男</v>
      </c>
      <c r="S25" s="25" t="s">
        <v>3984</v>
      </c>
      <c r="T25" s="28" t="str">
        <f t="shared" si="1"/>
        <v>1989-01-03</v>
      </c>
      <c r="U25" s="25">
        <f t="shared" ca="1" si="4"/>
        <v>37</v>
      </c>
      <c r="V25" s="25">
        <v>18183517891</v>
      </c>
      <c r="W25" s="28">
        <v>44803</v>
      </c>
      <c r="X25" s="28">
        <v>44803</v>
      </c>
      <c r="Y25" s="29" t="str">
        <f t="shared" ca="1" si="2"/>
        <v>3年7个月</v>
      </c>
      <c r="Z25" s="25" t="s">
        <v>4220</v>
      </c>
      <c r="AA25" s="26" t="str">
        <f t="shared" ca="1" si="3"/>
        <v>7年9个月</v>
      </c>
      <c r="AB25" s="25" t="s">
        <v>29</v>
      </c>
      <c r="AC25" s="25" t="s">
        <v>3985</v>
      </c>
      <c r="AD25" s="25" t="s">
        <v>3986</v>
      </c>
      <c r="AE25" s="25"/>
      <c r="AF25" s="25"/>
      <c r="AG25" s="27"/>
      <c r="AH25" s="25"/>
      <c r="AI25" s="25"/>
      <c r="AJ25" s="25"/>
      <c r="AK25" s="27"/>
      <c r="AL25" s="25" t="s">
        <v>81</v>
      </c>
      <c r="AM25" s="25" t="s">
        <v>4038</v>
      </c>
      <c r="AN25" s="42" t="s">
        <v>4221</v>
      </c>
      <c r="AO25" s="25" t="s">
        <v>4222</v>
      </c>
      <c r="AP25" s="27" t="s">
        <v>4223</v>
      </c>
      <c r="AQ25" s="25"/>
      <c r="AR25" s="25" t="s">
        <v>4224</v>
      </c>
      <c r="AS25" s="26" t="s">
        <v>4011</v>
      </c>
      <c r="AT25" s="25" t="s">
        <v>4225</v>
      </c>
      <c r="AU25" s="25" t="s">
        <v>4226</v>
      </c>
      <c r="AV25" s="25" t="s">
        <v>4227</v>
      </c>
      <c r="AW25" s="30">
        <v>46965</v>
      </c>
      <c r="AX25" s="28">
        <v>44803</v>
      </c>
      <c r="AY25" s="28">
        <v>45167</v>
      </c>
      <c r="AZ25" s="28">
        <v>46965</v>
      </c>
      <c r="BA25" s="28"/>
      <c r="BB25" s="28"/>
      <c r="BC25" s="25"/>
      <c r="BD25" s="25"/>
      <c r="BE25" s="25"/>
      <c r="BF25" s="25"/>
      <c r="BG25" s="25"/>
      <c r="BH25" s="25"/>
      <c r="BI25" s="27" t="s">
        <v>4228</v>
      </c>
    </row>
    <row r="26" spans="1:61" ht="15.6" x14ac:dyDescent="0.25">
      <c r="A26" s="25">
        <v>24</v>
      </c>
      <c r="B26" s="25" t="s">
        <v>4229</v>
      </c>
      <c r="C26" s="25" t="s">
        <v>4002</v>
      </c>
      <c r="D26" s="26" t="s">
        <v>3975</v>
      </c>
      <c r="E26" s="26" t="s">
        <v>3975</v>
      </c>
      <c r="F26" s="25" t="s">
        <v>4210</v>
      </c>
      <c r="G26" s="25"/>
      <c r="H26" s="25"/>
      <c r="I26" s="25"/>
      <c r="J26" s="25" t="s">
        <v>4230</v>
      </c>
      <c r="K26" s="25" t="s">
        <v>361</v>
      </c>
      <c r="L26" s="25" t="s">
        <v>4100</v>
      </c>
      <c r="M26" s="25" t="s">
        <v>4029</v>
      </c>
      <c r="N26" s="27" t="s">
        <v>4231</v>
      </c>
      <c r="O26" s="27" t="s">
        <v>4232</v>
      </c>
      <c r="P26" s="28">
        <v>44214</v>
      </c>
      <c r="Q26" s="28">
        <v>47866</v>
      </c>
      <c r="R26" s="25" t="str">
        <f>IF(MOD(RIGHT(LEFT(N26,17)),2),"男","女")</f>
        <v>男</v>
      </c>
      <c r="S26" s="25" t="s">
        <v>3984</v>
      </c>
      <c r="T26" s="28" t="str">
        <f>TEXT(MID(N26,7,6+(LEN(N26)=18)*2),"0-00-00")</f>
        <v>2001-12-23</v>
      </c>
      <c r="U26" s="25">
        <f ca="1">DATEDIF(T26,TODAY(),"Y")</f>
        <v>24</v>
      </c>
      <c r="V26" s="25">
        <v>18669110354</v>
      </c>
      <c r="W26" s="28">
        <v>46013</v>
      </c>
      <c r="X26" s="28">
        <v>46013</v>
      </c>
      <c r="Y26" s="29" t="str">
        <f ca="1">DATEDIF(X26,TODAY(),"Y")&amp;"年"&amp;TEXT(DATEDIF(X26,TODAY(),"YM"),"0")&amp;"个月"</f>
        <v>0年3个月</v>
      </c>
      <c r="Z26" s="25" t="s">
        <v>4233</v>
      </c>
      <c r="AA26" s="26"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5" t="s">
        <v>4049</v>
      </c>
      <c r="AC26" s="25" t="s">
        <v>272</v>
      </c>
      <c r="AD26" s="25" t="s">
        <v>4234</v>
      </c>
      <c r="AE26" s="25"/>
      <c r="AF26" s="25"/>
      <c r="AG26" s="27"/>
      <c r="AH26" s="25"/>
      <c r="AI26" s="25"/>
      <c r="AJ26" s="25"/>
      <c r="AK26" s="27"/>
      <c r="AL26" s="25" t="s">
        <v>81</v>
      </c>
      <c r="AM26" s="25" t="s">
        <v>3987</v>
      </c>
      <c r="AN26" s="27" t="s">
        <v>4235</v>
      </c>
      <c r="AO26" s="25" t="s">
        <v>4236</v>
      </c>
      <c r="AP26" s="27" t="s">
        <v>4237</v>
      </c>
      <c r="AQ26" s="25"/>
      <c r="AR26" s="25" t="s">
        <v>4238</v>
      </c>
      <c r="AS26" s="26" t="s">
        <v>4011</v>
      </c>
      <c r="AT26" s="25" t="s">
        <v>4239</v>
      </c>
      <c r="AU26" s="25" t="s">
        <v>4240</v>
      </c>
      <c r="AV26" s="25" t="s">
        <v>4240</v>
      </c>
      <c r="AW26" s="30">
        <v>46377</v>
      </c>
      <c r="AX26" s="28">
        <v>46013</v>
      </c>
      <c r="AY26" s="28">
        <v>46377</v>
      </c>
      <c r="AZ26" s="28"/>
      <c r="BA26" s="28"/>
      <c r="BB26" s="33"/>
      <c r="BC26" s="25"/>
      <c r="BD26" s="25"/>
      <c r="BE26" s="25"/>
      <c r="BF26" s="25"/>
      <c r="BG26" s="25"/>
      <c r="BH26" s="25"/>
      <c r="BI26" s="27"/>
    </row>
    <row r="27" spans="1:61" ht="15.6" x14ac:dyDescent="0.25">
      <c r="A27" s="25">
        <v>25</v>
      </c>
      <c r="B27" s="25" t="s">
        <v>4241</v>
      </c>
      <c r="C27" s="25" t="s">
        <v>4002</v>
      </c>
      <c r="D27" s="26" t="s">
        <v>3975</v>
      </c>
      <c r="E27" s="26" t="s">
        <v>3975</v>
      </c>
      <c r="F27" s="25" t="s">
        <v>4210</v>
      </c>
      <c r="G27" s="25"/>
      <c r="H27" s="25"/>
      <c r="I27" s="25"/>
      <c r="J27" s="25" t="s">
        <v>4242</v>
      </c>
      <c r="K27" s="25" t="s">
        <v>361</v>
      </c>
      <c r="L27" s="25" t="s">
        <v>4028</v>
      </c>
      <c r="M27" s="25" t="s">
        <v>4029</v>
      </c>
      <c r="N27" s="27" t="s">
        <v>4243</v>
      </c>
      <c r="O27" s="27" t="s">
        <v>4031</v>
      </c>
      <c r="P27" s="28">
        <v>46066</v>
      </c>
      <c r="Q27" s="28" t="s">
        <v>4244</v>
      </c>
      <c r="R27" s="25" t="str">
        <f t="shared" si="0"/>
        <v>女</v>
      </c>
      <c r="S27" s="25" t="s">
        <v>3984</v>
      </c>
      <c r="T27" s="28" t="str">
        <f t="shared" si="1"/>
        <v>1978-09-10</v>
      </c>
      <c r="U27" s="25">
        <f t="shared" ca="1" si="4"/>
        <v>47</v>
      </c>
      <c r="V27" s="25">
        <v>13658866801</v>
      </c>
      <c r="W27" s="28">
        <v>41947</v>
      </c>
      <c r="X27" s="28">
        <v>41947</v>
      </c>
      <c r="Y27" s="29" t="str">
        <f t="shared" ca="1" si="2"/>
        <v>11年5个月</v>
      </c>
      <c r="Z27" s="25" t="s">
        <v>2335</v>
      </c>
      <c r="AA27" s="26" t="str">
        <f t="shared" ca="1" si="3"/>
        <v>22年3个月</v>
      </c>
      <c r="AB27" s="25" t="s">
        <v>29</v>
      </c>
      <c r="AC27" s="25" t="s">
        <v>3985</v>
      </c>
      <c r="AD27" s="25" t="s">
        <v>3986</v>
      </c>
      <c r="AE27" s="25"/>
      <c r="AF27" s="25"/>
      <c r="AG27" s="27"/>
      <c r="AH27" s="25" t="s">
        <v>4036</v>
      </c>
      <c r="AI27" s="25" t="s">
        <v>4245</v>
      </c>
      <c r="AJ27" s="25" t="s">
        <v>964</v>
      </c>
      <c r="AK27" s="27"/>
      <c r="AL27" s="25" t="s">
        <v>4246</v>
      </c>
      <c r="AM27" s="25"/>
      <c r="AN27" s="27" t="s">
        <v>4039</v>
      </c>
      <c r="AO27" s="25" t="s">
        <v>4247</v>
      </c>
      <c r="AP27" s="27" t="s">
        <v>4248</v>
      </c>
      <c r="AQ27" s="25"/>
      <c r="AR27" s="27" t="s">
        <v>4249</v>
      </c>
      <c r="AS27" s="26" t="s">
        <v>3990</v>
      </c>
      <c r="AT27" s="25" t="s">
        <v>294</v>
      </c>
      <c r="AU27" s="25" t="s">
        <v>4250</v>
      </c>
      <c r="AV27" s="25" t="s">
        <v>4251</v>
      </c>
      <c r="AW27" s="30" t="s">
        <v>3991</v>
      </c>
      <c r="AX27" s="28">
        <v>41947</v>
      </c>
      <c r="AY27" s="28">
        <v>42490</v>
      </c>
      <c r="AZ27" s="28">
        <v>43585</v>
      </c>
      <c r="BA27" s="28" t="s">
        <v>3991</v>
      </c>
      <c r="BB27" s="28"/>
      <c r="BC27" s="25"/>
      <c r="BD27" s="25"/>
      <c r="BE27" s="25"/>
      <c r="BF27" s="25"/>
      <c r="BG27" s="25"/>
      <c r="BH27" s="25"/>
      <c r="BI27" s="27"/>
    </row>
    <row r="28" spans="1:61" ht="15.6" x14ac:dyDescent="0.25">
      <c r="A28" s="25">
        <v>26</v>
      </c>
      <c r="B28" s="25" t="s">
        <v>4252</v>
      </c>
      <c r="C28" s="25" t="s">
        <v>4002</v>
      </c>
      <c r="D28" s="26" t="s">
        <v>3975</v>
      </c>
      <c r="E28" s="26" t="s">
        <v>3975</v>
      </c>
      <c r="F28" s="25" t="s">
        <v>4210</v>
      </c>
      <c r="G28" s="25"/>
      <c r="H28" s="25"/>
      <c r="I28" s="25"/>
      <c r="J28" s="25" t="s">
        <v>4242</v>
      </c>
      <c r="K28" s="25" t="s">
        <v>361</v>
      </c>
      <c r="L28" s="25" t="s">
        <v>4028</v>
      </c>
      <c r="M28" s="25" t="s">
        <v>4029</v>
      </c>
      <c r="N28" s="27" t="s">
        <v>4253</v>
      </c>
      <c r="O28" s="27" t="s">
        <v>4005</v>
      </c>
      <c r="P28" s="28">
        <v>41663</v>
      </c>
      <c r="Q28" s="28">
        <v>48968</v>
      </c>
      <c r="R28" s="25" t="str">
        <f t="shared" si="0"/>
        <v>男</v>
      </c>
      <c r="S28" s="25" t="s">
        <v>4254</v>
      </c>
      <c r="T28" s="28" t="str">
        <f t="shared" si="1"/>
        <v>1974-05-23</v>
      </c>
      <c r="U28" s="25">
        <f t="shared" ca="1" si="4"/>
        <v>51</v>
      </c>
      <c r="V28" s="25">
        <v>15925202621</v>
      </c>
      <c r="W28" s="28">
        <v>39601</v>
      </c>
      <c r="X28" s="43">
        <v>39601</v>
      </c>
      <c r="Y28" s="29" t="str">
        <f t="shared" ca="1" si="2"/>
        <v>17年10个月</v>
      </c>
      <c r="Z28" s="25" t="s">
        <v>4255</v>
      </c>
      <c r="AA28" s="26" t="str">
        <f t="shared" ca="1" si="3"/>
        <v>21年3个月</v>
      </c>
      <c r="AB28" s="25" t="s">
        <v>29</v>
      </c>
      <c r="AC28" s="25" t="s">
        <v>3985</v>
      </c>
      <c r="AD28" s="25" t="s">
        <v>3986</v>
      </c>
      <c r="AE28" s="25"/>
      <c r="AF28" s="25"/>
      <c r="AG28" s="27"/>
      <c r="AH28" s="25"/>
      <c r="AI28" s="25"/>
      <c r="AJ28" s="25"/>
      <c r="AK28" s="27"/>
      <c r="AL28" s="25" t="s">
        <v>4256</v>
      </c>
      <c r="AM28" s="25"/>
      <c r="AN28" s="27" t="s">
        <v>4039</v>
      </c>
      <c r="AO28" s="25" t="s">
        <v>4257</v>
      </c>
      <c r="AP28" s="27" t="s">
        <v>4258</v>
      </c>
      <c r="AQ28" s="25"/>
      <c r="AR28" s="25" t="s">
        <v>4259</v>
      </c>
      <c r="AS28" s="26" t="s">
        <v>3990</v>
      </c>
      <c r="AT28" s="25" t="s">
        <v>436</v>
      </c>
      <c r="AU28" s="25" t="s">
        <v>4260</v>
      </c>
      <c r="AV28" s="25" t="s">
        <v>3246</v>
      </c>
      <c r="AW28" s="30" t="s">
        <v>3991</v>
      </c>
      <c r="AX28" s="44">
        <v>39753</v>
      </c>
      <c r="AY28" s="28">
        <v>40483</v>
      </c>
      <c r="AZ28" s="28">
        <v>42308</v>
      </c>
      <c r="BA28" s="28" t="s">
        <v>3991</v>
      </c>
      <c r="BB28" s="28"/>
      <c r="BC28" s="25"/>
      <c r="BD28" s="25"/>
      <c r="BE28" s="25"/>
      <c r="BF28" s="25"/>
      <c r="BG28" s="25"/>
      <c r="BH28" s="25"/>
      <c r="BI28" s="27"/>
    </row>
    <row r="29" spans="1:61" ht="15.6" x14ac:dyDescent="0.25">
      <c r="A29" s="25">
        <v>27</v>
      </c>
      <c r="B29" s="25" t="s">
        <v>4261</v>
      </c>
      <c r="C29" s="25" t="s">
        <v>4002</v>
      </c>
      <c r="D29" s="26" t="s">
        <v>3975</v>
      </c>
      <c r="E29" s="26" t="s">
        <v>3975</v>
      </c>
      <c r="F29" s="25" t="s">
        <v>4210</v>
      </c>
      <c r="G29" s="25"/>
      <c r="H29" s="25"/>
      <c r="I29" s="25"/>
      <c r="J29" s="25" t="s">
        <v>4242</v>
      </c>
      <c r="K29" s="25" t="s">
        <v>361</v>
      </c>
      <c r="L29" s="25" t="s">
        <v>4028</v>
      </c>
      <c r="M29" s="25" t="s">
        <v>4029</v>
      </c>
      <c r="N29" s="27" t="s">
        <v>4262</v>
      </c>
      <c r="O29" s="27" t="s">
        <v>4263</v>
      </c>
      <c r="P29" s="28">
        <v>43493</v>
      </c>
      <c r="Q29" s="28">
        <v>50798</v>
      </c>
      <c r="R29" s="25" t="str">
        <f t="shared" si="0"/>
        <v>男</v>
      </c>
      <c r="S29" s="25" t="s">
        <v>3984</v>
      </c>
      <c r="T29" s="28" t="str">
        <f t="shared" si="1"/>
        <v>1984-01-20</v>
      </c>
      <c r="U29" s="25">
        <f t="shared" ca="1" si="4"/>
        <v>42</v>
      </c>
      <c r="V29" s="25">
        <v>13808750320</v>
      </c>
      <c r="W29" s="28">
        <v>43683</v>
      </c>
      <c r="X29" s="28">
        <v>43683</v>
      </c>
      <c r="Y29" s="29" t="str">
        <f t="shared" ca="1" si="2"/>
        <v>6年8个月</v>
      </c>
      <c r="Z29" s="25" t="s">
        <v>4264</v>
      </c>
      <c r="AA29" s="26" t="str">
        <f t="shared" ca="1" si="3"/>
        <v>22年8个月</v>
      </c>
      <c r="AB29" s="25" t="s">
        <v>4034</v>
      </c>
      <c r="AC29" s="25" t="s">
        <v>3985</v>
      </c>
      <c r="AD29" s="25" t="s">
        <v>4035</v>
      </c>
      <c r="AE29" s="25"/>
      <c r="AF29" s="25"/>
      <c r="AG29" s="27"/>
      <c r="AH29" s="25" t="s">
        <v>4036</v>
      </c>
      <c r="AI29" s="25" t="s">
        <v>1717</v>
      </c>
      <c r="AJ29" s="25" t="s">
        <v>964</v>
      </c>
      <c r="AK29" s="27"/>
      <c r="AL29" s="25" t="s">
        <v>120</v>
      </c>
      <c r="AM29" s="25"/>
      <c r="AN29" s="27" t="s">
        <v>4039</v>
      </c>
      <c r="AO29" s="25" t="s">
        <v>4265</v>
      </c>
      <c r="AP29" s="27" t="s">
        <v>4266</v>
      </c>
      <c r="AQ29" s="25"/>
      <c r="AR29" s="27"/>
      <c r="AS29" s="26" t="s">
        <v>3990</v>
      </c>
      <c r="AT29" s="25" t="s">
        <v>4267</v>
      </c>
      <c r="AU29" s="25" t="s">
        <v>4268</v>
      </c>
      <c r="AV29" s="25" t="s">
        <v>4269</v>
      </c>
      <c r="AW29" s="30">
        <v>46599</v>
      </c>
      <c r="AX29" s="28">
        <v>43683</v>
      </c>
      <c r="AY29" s="28">
        <v>44778</v>
      </c>
      <c r="AZ29" s="28">
        <v>46599</v>
      </c>
      <c r="BA29" s="28"/>
      <c r="BB29" s="28"/>
      <c r="BC29" s="25"/>
      <c r="BD29" s="25"/>
      <c r="BE29" s="25"/>
      <c r="BF29" s="25"/>
      <c r="BG29" s="25"/>
      <c r="BH29" s="25"/>
      <c r="BI29" s="27"/>
    </row>
    <row r="30" spans="1:61" ht="15.6" x14ac:dyDescent="0.25">
      <c r="A30" s="25">
        <v>28</v>
      </c>
      <c r="B30" s="25" t="s">
        <v>4270</v>
      </c>
      <c r="C30" s="25" t="s">
        <v>4002</v>
      </c>
      <c r="D30" s="26" t="s">
        <v>3975</v>
      </c>
      <c r="E30" s="26" t="s">
        <v>3975</v>
      </c>
      <c r="F30" s="25" t="s">
        <v>4210</v>
      </c>
      <c r="G30" s="25"/>
      <c r="H30" s="25"/>
      <c r="I30" s="25"/>
      <c r="J30" s="25" t="s">
        <v>4242</v>
      </c>
      <c r="K30" s="25" t="s">
        <v>361</v>
      </c>
      <c r="L30" s="25" t="s">
        <v>4028</v>
      </c>
      <c r="M30" s="25" t="s">
        <v>4029</v>
      </c>
      <c r="N30" s="27" t="s">
        <v>4271</v>
      </c>
      <c r="O30" s="27" t="s">
        <v>4073</v>
      </c>
      <c r="P30" s="28">
        <v>39811</v>
      </c>
      <c r="Q30" s="28">
        <v>47116</v>
      </c>
      <c r="R30" s="25" t="str">
        <f t="shared" si="0"/>
        <v>男</v>
      </c>
      <c r="S30" s="25" t="s">
        <v>3984</v>
      </c>
      <c r="T30" s="28" t="str">
        <f t="shared" si="1"/>
        <v>1982-04-26</v>
      </c>
      <c r="U30" s="25">
        <f t="shared" ca="1" si="4"/>
        <v>43</v>
      </c>
      <c r="V30" s="25">
        <v>13759187774</v>
      </c>
      <c r="W30" s="28">
        <v>42849</v>
      </c>
      <c r="X30" s="28">
        <v>42849</v>
      </c>
      <c r="Y30" s="29" t="str">
        <f t="shared" ca="1" si="2"/>
        <v>8年11个月</v>
      </c>
      <c r="Z30" s="29" t="s">
        <v>4272</v>
      </c>
      <c r="AA30" s="26" t="str">
        <f t="shared" ca="1" si="3"/>
        <v>19年3个月</v>
      </c>
      <c r="AB30" s="25" t="s">
        <v>4049</v>
      </c>
      <c r="AC30" s="25" t="s">
        <v>3985</v>
      </c>
      <c r="AD30" s="25" t="s">
        <v>3986</v>
      </c>
      <c r="AE30" s="25"/>
      <c r="AF30" s="25"/>
      <c r="AG30" s="27"/>
      <c r="AH30" s="25"/>
      <c r="AI30" s="25"/>
      <c r="AJ30" s="25"/>
      <c r="AK30" s="27"/>
      <c r="AL30" s="25" t="s">
        <v>4256</v>
      </c>
      <c r="AM30" s="25"/>
      <c r="AN30" s="27" t="s">
        <v>4039</v>
      </c>
      <c r="AO30" s="25" t="s">
        <v>4273</v>
      </c>
      <c r="AP30" s="27" t="s">
        <v>4274</v>
      </c>
      <c r="AQ30" s="25"/>
      <c r="AR30" s="27" t="s">
        <v>4275</v>
      </c>
      <c r="AS30" s="26" t="s">
        <v>3990</v>
      </c>
      <c r="AT30" s="25" t="s">
        <v>415</v>
      </c>
      <c r="AU30" s="25" t="s">
        <v>4276</v>
      </c>
      <c r="AV30" s="25" t="s">
        <v>4276</v>
      </c>
      <c r="AW30" s="30">
        <v>46599</v>
      </c>
      <c r="AX30" s="28">
        <v>42849</v>
      </c>
      <c r="AY30" s="28">
        <v>44674</v>
      </c>
      <c r="AZ30" s="28">
        <v>46599</v>
      </c>
      <c r="BA30" s="28"/>
      <c r="BB30" s="28"/>
      <c r="BC30" s="25"/>
      <c r="BD30" s="25"/>
      <c r="BE30" s="25"/>
      <c r="BF30" s="33"/>
      <c r="BG30" s="33"/>
      <c r="BH30" s="33"/>
      <c r="BI30" s="33"/>
    </row>
    <row r="31" spans="1:61" ht="15.6" x14ac:dyDescent="0.25">
      <c r="A31" s="25">
        <v>29</v>
      </c>
      <c r="B31" s="25" t="s">
        <v>4277</v>
      </c>
      <c r="C31" s="25" t="s">
        <v>4002</v>
      </c>
      <c r="D31" s="26" t="s">
        <v>3975</v>
      </c>
      <c r="E31" s="26" t="s">
        <v>3975</v>
      </c>
      <c r="F31" s="25" t="s">
        <v>4210</v>
      </c>
      <c r="G31" s="25"/>
      <c r="H31" s="25"/>
      <c r="I31" s="25"/>
      <c r="J31" s="25" t="s">
        <v>4242</v>
      </c>
      <c r="K31" s="25" t="s">
        <v>361</v>
      </c>
      <c r="L31" s="25" t="s">
        <v>4028</v>
      </c>
      <c r="M31" s="25" t="s">
        <v>4029</v>
      </c>
      <c r="N31" s="27" t="s">
        <v>4278</v>
      </c>
      <c r="O31" s="27" t="s">
        <v>4031</v>
      </c>
      <c r="P31" s="28">
        <v>43612</v>
      </c>
      <c r="Q31" s="28">
        <v>50917</v>
      </c>
      <c r="R31" s="25" t="str">
        <f t="shared" si="0"/>
        <v>女</v>
      </c>
      <c r="S31" s="25" t="s">
        <v>3984</v>
      </c>
      <c r="T31" s="28" t="str">
        <f t="shared" si="1"/>
        <v>1989-10-16</v>
      </c>
      <c r="U31" s="25">
        <f t="shared" ca="1" si="4"/>
        <v>36</v>
      </c>
      <c r="V31" s="25">
        <v>13888756214</v>
      </c>
      <c r="W31" s="28">
        <v>43256</v>
      </c>
      <c r="X31" s="28">
        <v>43256</v>
      </c>
      <c r="Y31" s="29" t="str">
        <f t="shared" ca="1" si="2"/>
        <v>7年10个月</v>
      </c>
      <c r="Z31" s="25" t="s">
        <v>4255</v>
      </c>
      <c r="AA31" s="26" t="str">
        <f t="shared" ca="1" si="3"/>
        <v>11年3个月</v>
      </c>
      <c r="AB31" s="25" t="s">
        <v>4034</v>
      </c>
      <c r="AC31" s="25" t="s">
        <v>28</v>
      </c>
      <c r="AD31" s="25" t="s">
        <v>3986</v>
      </c>
      <c r="AE31" s="25"/>
      <c r="AF31" s="25"/>
      <c r="AG31" s="27"/>
      <c r="AH31" s="25"/>
      <c r="AI31" s="25"/>
      <c r="AJ31" s="25"/>
      <c r="AK31" s="27"/>
      <c r="AL31" s="25" t="s">
        <v>81</v>
      </c>
      <c r="AM31" s="25" t="s">
        <v>4038</v>
      </c>
      <c r="AN31" s="27" t="s">
        <v>4039</v>
      </c>
      <c r="AO31" s="25" t="s">
        <v>4279</v>
      </c>
      <c r="AP31" s="27" t="s">
        <v>4280</v>
      </c>
      <c r="AQ31" s="25"/>
      <c r="AR31" s="27" t="s">
        <v>4188</v>
      </c>
      <c r="AS31" s="26" t="s">
        <v>4011</v>
      </c>
      <c r="AT31" s="25" t="s">
        <v>294</v>
      </c>
      <c r="AU31" s="25" t="s">
        <v>4281</v>
      </c>
      <c r="AV31" s="25" t="s">
        <v>4281</v>
      </c>
      <c r="AW31" s="30">
        <v>47330</v>
      </c>
      <c r="AX31" s="28">
        <v>43256</v>
      </c>
      <c r="AY31" s="28">
        <v>43620</v>
      </c>
      <c r="AZ31" s="28">
        <v>45504</v>
      </c>
      <c r="BA31" s="28">
        <v>47330</v>
      </c>
      <c r="BB31" s="28"/>
      <c r="BC31" s="25"/>
      <c r="BD31" s="25"/>
      <c r="BE31" s="25"/>
      <c r="BF31" s="25"/>
      <c r="BG31" s="25"/>
      <c r="BH31" s="25"/>
      <c r="BI31" s="27"/>
    </row>
    <row r="32" spans="1:61" ht="15.6" x14ac:dyDescent="0.25">
      <c r="A32" s="25">
        <v>30</v>
      </c>
      <c r="B32" s="25" t="s">
        <v>4282</v>
      </c>
      <c r="C32" s="25" t="s">
        <v>4002</v>
      </c>
      <c r="D32" s="26" t="s">
        <v>3975</v>
      </c>
      <c r="E32" s="26" t="s">
        <v>3975</v>
      </c>
      <c r="F32" s="25" t="s">
        <v>4210</v>
      </c>
      <c r="G32" s="25"/>
      <c r="H32" s="25"/>
      <c r="I32" s="25"/>
      <c r="J32" s="25" t="s">
        <v>4242</v>
      </c>
      <c r="K32" s="25" t="s">
        <v>361</v>
      </c>
      <c r="L32" s="25" t="s">
        <v>4028</v>
      </c>
      <c r="M32" s="25" t="s">
        <v>4029</v>
      </c>
      <c r="N32" s="27" t="s">
        <v>4283</v>
      </c>
      <c r="O32" s="27" t="s">
        <v>4284</v>
      </c>
      <c r="P32" s="28">
        <v>39062</v>
      </c>
      <c r="Q32" s="28">
        <v>46367</v>
      </c>
      <c r="R32" s="25" t="str">
        <f t="shared" si="0"/>
        <v>男</v>
      </c>
      <c r="S32" s="25" t="s">
        <v>3984</v>
      </c>
      <c r="T32" s="28" t="str">
        <f t="shared" si="1"/>
        <v>1976-05-17</v>
      </c>
      <c r="U32" s="25">
        <f t="shared" ca="1" si="4"/>
        <v>49</v>
      </c>
      <c r="V32" s="25">
        <v>18890051077</v>
      </c>
      <c r="W32" s="28">
        <v>44886</v>
      </c>
      <c r="X32" s="28">
        <v>44886</v>
      </c>
      <c r="Y32" s="29" t="str">
        <f t="shared" ca="1" si="2"/>
        <v>3年4个月</v>
      </c>
      <c r="Z32" s="25" t="s">
        <v>4285</v>
      </c>
      <c r="AA32" s="26" t="str">
        <f t="shared" ca="1" si="3"/>
        <v>25年10个月</v>
      </c>
      <c r="AB32" s="25" t="s">
        <v>4034</v>
      </c>
      <c r="AC32" s="25" t="s">
        <v>3985</v>
      </c>
      <c r="AD32" s="25" t="s">
        <v>3986</v>
      </c>
      <c r="AE32" s="25"/>
      <c r="AF32" s="25"/>
      <c r="AG32" s="27"/>
      <c r="AH32" s="25"/>
      <c r="AI32" s="25"/>
      <c r="AJ32" s="25"/>
      <c r="AK32" s="27"/>
      <c r="AL32" s="25" t="s">
        <v>4246</v>
      </c>
      <c r="AM32" s="25"/>
      <c r="AN32" s="27" t="s">
        <v>4039</v>
      </c>
      <c r="AO32" s="25" t="s">
        <v>4286</v>
      </c>
      <c r="AP32" s="27"/>
      <c r="AQ32" s="25"/>
      <c r="AR32" s="27" t="s">
        <v>4249</v>
      </c>
      <c r="AS32" s="26" t="s">
        <v>4011</v>
      </c>
      <c r="AT32" s="25" t="s">
        <v>4287</v>
      </c>
      <c r="AU32" s="25" t="s">
        <v>4288</v>
      </c>
      <c r="AV32" s="25" t="s">
        <v>4289</v>
      </c>
      <c r="AW32" s="30">
        <v>47817</v>
      </c>
      <c r="AX32" s="28">
        <v>44886</v>
      </c>
      <c r="AY32" s="28">
        <v>45981</v>
      </c>
      <c r="AZ32" s="28">
        <v>47817</v>
      </c>
      <c r="BA32" s="28"/>
      <c r="BB32" s="28"/>
      <c r="BC32" s="25"/>
      <c r="BD32" s="25"/>
      <c r="BE32" s="25"/>
      <c r="BF32" s="25"/>
      <c r="BG32" s="25"/>
      <c r="BH32" s="25"/>
      <c r="BI32" s="27"/>
    </row>
    <row r="33" spans="1:61" ht="15.6" x14ac:dyDescent="0.25">
      <c r="A33" s="25">
        <v>31</v>
      </c>
      <c r="B33" s="25" t="s">
        <v>4290</v>
      </c>
      <c r="C33" s="25" t="s">
        <v>3974</v>
      </c>
      <c r="D33" s="26" t="s">
        <v>3975</v>
      </c>
      <c r="E33" s="26" t="s">
        <v>3975</v>
      </c>
      <c r="F33" s="25" t="s">
        <v>4210</v>
      </c>
      <c r="G33" s="25"/>
      <c r="H33" s="25"/>
      <c r="I33" s="25"/>
      <c r="J33" s="25" t="s">
        <v>4291</v>
      </c>
      <c r="K33" s="25" t="s">
        <v>361</v>
      </c>
      <c r="L33" s="25" t="s">
        <v>4028</v>
      </c>
      <c r="M33" s="25" t="s">
        <v>4029</v>
      </c>
      <c r="N33" s="27" t="s">
        <v>4292</v>
      </c>
      <c r="O33" s="27" t="s">
        <v>4019</v>
      </c>
      <c r="P33" s="28">
        <v>39482</v>
      </c>
      <c r="Q33" s="28">
        <v>46787</v>
      </c>
      <c r="R33" s="25" t="str">
        <f t="shared" si="0"/>
        <v>男</v>
      </c>
      <c r="S33" s="25" t="s">
        <v>3984</v>
      </c>
      <c r="T33" s="28" t="str">
        <f t="shared" si="1"/>
        <v>1978-06-10</v>
      </c>
      <c r="U33" s="25">
        <f t="shared" ca="1" si="4"/>
        <v>47</v>
      </c>
      <c r="V33" s="25">
        <v>18687134828</v>
      </c>
      <c r="W33" s="28">
        <v>45068</v>
      </c>
      <c r="X33" s="28">
        <v>45068</v>
      </c>
      <c r="Y33" s="29" t="str">
        <f t="shared" ca="1" si="2"/>
        <v>2年10个月</v>
      </c>
      <c r="Z33" s="25"/>
      <c r="AA33" s="26" t="str">
        <f t="shared" ca="1" si="3"/>
        <v>2年10个月</v>
      </c>
      <c r="AB33" s="25" t="s">
        <v>4049</v>
      </c>
      <c r="AC33" s="25" t="s">
        <v>3985</v>
      </c>
      <c r="AD33" s="25" t="s">
        <v>3986</v>
      </c>
      <c r="AE33" s="25"/>
      <c r="AF33" s="25"/>
      <c r="AG33" s="27"/>
      <c r="AH33" s="25"/>
      <c r="AI33" s="25"/>
      <c r="AJ33" s="25"/>
      <c r="AK33" s="27"/>
      <c r="AL33" s="25" t="s">
        <v>81</v>
      </c>
      <c r="AM33" s="25"/>
      <c r="AN33" s="27" t="s">
        <v>4039</v>
      </c>
      <c r="AO33" s="25" t="s">
        <v>4293</v>
      </c>
      <c r="AP33" s="27"/>
      <c r="AQ33" s="25" t="s">
        <v>4474</v>
      </c>
      <c r="AR33" s="27" t="s">
        <v>4136</v>
      </c>
      <c r="AS33" s="26" t="s">
        <v>4065</v>
      </c>
      <c r="AT33" s="25" t="s">
        <v>4207</v>
      </c>
      <c r="AU33" s="25" t="s">
        <v>4294</v>
      </c>
      <c r="AV33" s="25" t="s">
        <v>1315</v>
      </c>
      <c r="AW33" s="30" t="s">
        <v>4295</v>
      </c>
      <c r="AX33" s="28">
        <v>45068</v>
      </c>
      <c r="AY33" s="28" t="s">
        <v>4295</v>
      </c>
      <c r="AZ33" s="28"/>
      <c r="BA33" s="28"/>
      <c r="BB33" s="28"/>
      <c r="BC33" s="25"/>
      <c r="BD33" s="25"/>
      <c r="BE33" s="25"/>
      <c r="BF33" s="25"/>
      <c r="BG33" s="25"/>
      <c r="BH33" s="25"/>
      <c r="BI33" s="27"/>
    </row>
    <row r="34" spans="1:61" ht="15.6" x14ac:dyDescent="0.25">
      <c r="A34" s="25">
        <v>32</v>
      </c>
      <c r="B34" s="25" t="s">
        <v>4296</v>
      </c>
      <c r="C34" s="25" t="s">
        <v>4002</v>
      </c>
      <c r="D34" s="26" t="s">
        <v>3975</v>
      </c>
      <c r="E34" s="26" t="s">
        <v>3975</v>
      </c>
      <c r="F34" s="25" t="s">
        <v>4210</v>
      </c>
      <c r="G34" s="25"/>
      <c r="H34" s="25"/>
      <c r="I34" s="25" t="s">
        <v>4297</v>
      </c>
      <c r="J34" s="25" t="s">
        <v>2082</v>
      </c>
      <c r="K34" s="25" t="s">
        <v>556</v>
      </c>
      <c r="L34" s="25" t="s">
        <v>4298</v>
      </c>
      <c r="M34" s="25" t="s">
        <v>4029</v>
      </c>
      <c r="N34" s="27" t="s">
        <v>4299</v>
      </c>
      <c r="O34" s="27" t="s">
        <v>4031</v>
      </c>
      <c r="P34" s="28">
        <v>38889</v>
      </c>
      <c r="Q34" s="28">
        <v>46194</v>
      </c>
      <c r="R34" s="25" t="str">
        <f t="shared" si="0"/>
        <v>男</v>
      </c>
      <c r="S34" s="25" t="s">
        <v>3984</v>
      </c>
      <c r="T34" s="28" t="str">
        <f t="shared" si="1"/>
        <v>1979-02-01</v>
      </c>
      <c r="U34" s="25">
        <f t="shared" ca="1" si="4"/>
        <v>47</v>
      </c>
      <c r="V34" s="25">
        <v>15808756360</v>
      </c>
      <c r="W34" s="28">
        <v>42552</v>
      </c>
      <c r="X34" s="28">
        <v>42552</v>
      </c>
      <c r="Y34" s="29" t="str">
        <f t="shared" ca="1" si="2"/>
        <v>9年9个月</v>
      </c>
      <c r="Z34" s="25" t="s">
        <v>4300</v>
      </c>
      <c r="AA34" s="26" t="str">
        <f t="shared" ca="1" si="3"/>
        <v>23年4个月</v>
      </c>
      <c r="AB34" s="25" t="s">
        <v>4034</v>
      </c>
      <c r="AC34" s="25" t="s">
        <v>3985</v>
      </c>
      <c r="AD34" s="25" t="s">
        <v>4035</v>
      </c>
      <c r="AE34" s="25"/>
      <c r="AF34" s="25"/>
      <c r="AG34" s="27"/>
      <c r="AH34" s="25"/>
      <c r="AI34" s="25"/>
      <c r="AJ34" s="25"/>
      <c r="AK34" s="27"/>
      <c r="AL34" s="25" t="s">
        <v>120</v>
      </c>
      <c r="AM34" s="25"/>
      <c r="AN34" s="27" t="s">
        <v>4039</v>
      </c>
      <c r="AO34" s="25"/>
      <c r="AP34" s="27"/>
      <c r="AQ34" s="25"/>
      <c r="AR34" s="27"/>
      <c r="AS34" s="26" t="s">
        <v>3990</v>
      </c>
      <c r="AT34" s="25" t="s">
        <v>4043</v>
      </c>
      <c r="AU34" s="25" t="s">
        <v>4301</v>
      </c>
      <c r="AV34" s="25" t="s">
        <v>4302</v>
      </c>
      <c r="AW34" s="30">
        <v>46965</v>
      </c>
      <c r="AX34" s="45">
        <v>42552</v>
      </c>
      <c r="AY34" s="28">
        <v>42947</v>
      </c>
      <c r="AZ34" s="28">
        <v>43312</v>
      </c>
      <c r="BA34" s="28">
        <v>45138</v>
      </c>
      <c r="BB34" s="28">
        <v>46965</v>
      </c>
      <c r="BC34" s="25"/>
      <c r="BD34" s="25"/>
      <c r="BE34" s="25"/>
      <c r="BF34" s="25"/>
      <c r="BG34" s="25"/>
      <c r="BH34" s="25"/>
      <c r="BI34" s="27"/>
    </row>
    <row r="35" spans="1:61" ht="15.6" x14ac:dyDescent="0.25">
      <c r="A35" s="25">
        <v>33</v>
      </c>
      <c r="B35" s="25" t="s">
        <v>4303</v>
      </c>
      <c r="C35" s="25" t="s">
        <v>4002</v>
      </c>
      <c r="D35" s="26" t="s">
        <v>3975</v>
      </c>
      <c r="E35" s="26" t="s">
        <v>3975</v>
      </c>
      <c r="F35" s="25" t="s">
        <v>4210</v>
      </c>
      <c r="G35" s="25"/>
      <c r="H35" s="25"/>
      <c r="I35" s="25" t="s">
        <v>4304</v>
      </c>
      <c r="J35" s="25" t="s">
        <v>4305</v>
      </c>
      <c r="K35" s="25" t="s">
        <v>556</v>
      </c>
      <c r="L35" s="25" t="s">
        <v>4298</v>
      </c>
      <c r="M35" s="25" t="s">
        <v>4029</v>
      </c>
      <c r="N35" s="27" t="s">
        <v>4306</v>
      </c>
      <c r="O35" s="27" t="s">
        <v>4031</v>
      </c>
      <c r="P35" s="28">
        <v>42580</v>
      </c>
      <c r="Q35" s="28">
        <v>49885</v>
      </c>
      <c r="R35" s="25" t="str">
        <f t="shared" si="0"/>
        <v>男</v>
      </c>
      <c r="S35" s="25" t="s">
        <v>4032</v>
      </c>
      <c r="T35" s="28" t="str">
        <f t="shared" si="1"/>
        <v>1984-07-16</v>
      </c>
      <c r="U35" s="25">
        <f t="shared" ca="1" si="4"/>
        <v>41</v>
      </c>
      <c r="V35" s="25">
        <v>15887010435</v>
      </c>
      <c r="W35" s="28">
        <v>42137</v>
      </c>
      <c r="X35" s="28">
        <v>42137</v>
      </c>
      <c r="Y35" s="29" t="str">
        <f t="shared" ca="1" si="2"/>
        <v>10年11个月</v>
      </c>
      <c r="Z35" s="25"/>
      <c r="AA35" s="26" t="str">
        <f t="shared" ca="1" si="3"/>
        <v>10年11个月</v>
      </c>
      <c r="AB35" s="25" t="s">
        <v>29</v>
      </c>
      <c r="AC35" s="25" t="s">
        <v>3985</v>
      </c>
      <c r="AD35" s="25" t="s">
        <v>3986</v>
      </c>
      <c r="AE35" s="25"/>
      <c r="AF35" s="25"/>
      <c r="AG35" s="27"/>
      <c r="AH35" s="25" t="s">
        <v>4036</v>
      </c>
      <c r="AI35" s="25" t="s">
        <v>2303</v>
      </c>
      <c r="AJ35" s="25" t="s">
        <v>964</v>
      </c>
      <c r="AK35" s="27"/>
      <c r="AL35" s="25" t="s">
        <v>1705</v>
      </c>
      <c r="AM35" s="25"/>
      <c r="AN35" s="27" t="s">
        <v>4039</v>
      </c>
      <c r="AO35" s="25"/>
      <c r="AP35" s="27"/>
      <c r="AQ35" s="25"/>
      <c r="AR35" s="27"/>
      <c r="AS35" s="26" t="s">
        <v>3990</v>
      </c>
      <c r="AT35" s="25" t="s">
        <v>294</v>
      </c>
      <c r="AU35" s="25" t="s">
        <v>4307</v>
      </c>
      <c r="AV35" s="25" t="s">
        <v>4308</v>
      </c>
      <c r="AW35" s="30">
        <v>47330</v>
      </c>
      <c r="AX35" s="28">
        <v>42137</v>
      </c>
      <c r="AY35" s="28">
        <v>42582</v>
      </c>
      <c r="AZ35" s="28">
        <v>43677</v>
      </c>
      <c r="BA35" s="28">
        <v>45504</v>
      </c>
      <c r="BB35" s="28">
        <v>47330</v>
      </c>
      <c r="BC35" s="25"/>
      <c r="BD35" s="25"/>
      <c r="BE35" s="25"/>
      <c r="BF35" s="25"/>
      <c r="BG35" s="25"/>
      <c r="BH35" s="25"/>
      <c r="BI35" s="27"/>
    </row>
    <row r="36" spans="1:61" ht="15.6" x14ac:dyDescent="0.25">
      <c r="A36" s="25">
        <v>34</v>
      </c>
      <c r="B36" s="25" t="s">
        <v>4309</v>
      </c>
      <c r="C36" s="25" t="s">
        <v>4002</v>
      </c>
      <c r="D36" s="26" t="s">
        <v>3975</v>
      </c>
      <c r="E36" s="26" t="s">
        <v>3975</v>
      </c>
      <c r="F36" s="25" t="s">
        <v>4210</v>
      </c>
      <c r="G36" s="25"/>
      <c r="H36" s="25"/>
      <c r="I36" s="25" t="s">
        <v>4304</v>
      </c>
      <c r="J36" s="25" t="s">
        <v>4310</v>
      </c>
      <c r="K36" s="25" t="s">
        <v>556</v>
      </c>
      <c r="L36" s="25" t="s">
        <v>4298</v>
      </c>
      <c r="M36" s="25" t="s">
        <v>4029</v>
      </c>
      <c r="N36" s="27" t="s">
        <v>4311</v>
      </c>
      <c r="O36" s="27" t="s">
        <v>4031</v>
      </c>
      <c r="P36" s="28">
        <v>45748</v>
      </c>
      <c r="Q36" s="28">
        <v>53053</v>
      </c>
      <c r="R36" s="25" t="s">
        <v>4312</v>
      </c>
      <c r="S36" s="25" t="s">
        <v>3984</v>
      </c>
      <c r="T36" s="28" t="str">
        <f t="shared" si="1"/>
        <v>1997-03-15</v>
      </c>
      <c r="U36" s="25">
        <f t="shared" ca="1" si="4"/>
        <v>29</v>
      </c>
      <c r="V36" s="25">
        <v>13759495595</v>
      </c>
      <c r="W36" s="28">
        <v>45740</v>
      </c>
      <c r="X36" s="28">
        <v>45740</v>
      </c>
      <c r="Y36" s="29" t="str">
        <f t="shared" ca="1" si="2"/>
        <v>1年0个月</v>
      </c>
      <c r="Z36" s="25"/>
      <c r="AA36" s="26" t="str">
        <f t="shared" ca="1" si="3"/>
        <v>1年0个月</v>
      </c>
      <c r="AB36" s="25" t="s">
        <v>29</v>
      </c>
      <c r="AC36" s="25" t="s">
        <v>119</v>
      </c>
      <c r="AD36" s="25" t="s">
        <v>4234</v>
      </c>
      <c r="AE36" s="25"/>
      <c r="AF36" s="25"/>
      <c r="AG36" s="27"/>
      <c r="AH36" s="25" t="s">
        <v>4036</v>
      </c>
      <c r="AI36" s="25" t="s">
        <v>2303</v>
      </c>
      <c r="AJ36" s="25" t="s">
        <v>4050</v>
      </c>
      <c r="AK36" s="27" t="s">
        <v>4313</v>
      </c>
      <c r="AL36" s="25" t="s">
        <v>4246</v>
      </c>
      <c r="AM36" s="25"/>
      <c r="AN36" s="27" t="s">
        <v>4039</v>
      </c>
      <c r="AO36" s="25" t="s">
        <v>4314</v>
      </c>
      <c r="AP36" s="27" t="s">
        <v>4315</v>
      </c>
      <c r="AQ36" s="25"/>
      <c r="AR36" s="27" t="s">
        <v>4316</v>
      </c>
      <c r="AS36" s="26" t="s">
        <v>3990</v>
      </c>
      <c r="AT36" s="25" t="s">
        <v>294</v>
      </c>
      <c r="AU36" s="25" t="s">
        <v>4317</v>
      </c>
      <c r="AV36" s="25" t="s">
        <v>4318</v>
      </c>
      <c r="AW36" s="30">
        <v>47208</v>
      </c>
      <c r="AX36" s="28">
        <v>45740</v>
      </c>
      <c r="AY36" s="28">
        <v>46104</v>
      </c>
      <c r="AZ36" s="28">
        <v>47208</v>
      </c>
      <c r="BA36" s="28"/>
      <c r="BB36" s="28"/>
      <c r="BC36" s="25"/>
      <c r="BD36" s="25"/>
      <c r="BE36" s="25"/>
      <c r="BF36" s="25"/>
      <c r="BG36" s="25"/>
      <c r="BH36" s="25"/>
      <c r="BI36" s="27"/>
    </row>
    <row r="37" spans="1:61" ht="15.6" x14ac:dyDescent="0.25">
      <c r="A37" s="25">
        <v>35</v>
      </c>
      <c r="B37" s="25" t="s">
        <v>4319</v>
      </c>
      <c r="C37" s="25" t="s">
        <v>4002</v>
      </c>
      <c r="D37" s="26" t="s">
        <v>3975</v>
      </c>
      <c r="E37" s="26" t="s">
        <v>3975</v>
      </c>
      <c r="F37" s="25" t="s">
        <v>4210</v>
      </c>
      <c r="G37" s="25"/>
      <c r="H37" s="25"/>
      <c r="I37" s="25" t="s">
        <v>4304</v>
      </c>
      <c r="J37" s="25" t="s">
        <v>2155</v>
      </c>
      <c r="K37" s="25" t="s">
        <v>361</v>
      </c>
      <c r="L37" s="25" t="s">
        <v>4320</v>
      </c>
      <c r="M37" s="25" t="s">
        <v>4029</v>
      </c>
      <c r="N37" s="27" t="s">
        <v>4321</v>
      </c>
      <c r="O37" s="27" t="s">
        <v>4031</v>
      </c>
      <c r="P37" s="28">
        <v>42578</v>
      </c>
      <c r="Q37" s="28">
        <v>49883</v>
      </c>
      <c r="R37" s="25" t="str">
        <f t="shared" ref="R37:R100" si="5">IF(MOD(RIGHT(LEFT(N37,17)),2),"男","女")</f>
        <v>女</v>
      </c>
      <c r="S37" s="25" t="s">
        <v>4322</v>
      </c>
      <c r="T37" s="28" t="str">
        <f t="shared" si="1"/>
        <v>1983-02-18</v>
      </c>
      <c r="U37" s="25">
        <f t="shared" ca="1" si="4"/>
        <v>43</v>
      </c>
      <c r="V37" s="25">
        <v>13529334662</v>
      </c>
      <c r="W37" s="28">
        <v>41694</v>
      </c>
      <c r="X37" s="28">
        <v>41694</v>
      </c>
      <c r="Y37" s="29" t="str">
        <f t="shared" ca="1" si="2"/>
        <v>12年1个月</v>
      </c>
      <c r="Z37" s="25"/>
      <c r="AA37" s="26" t="str">
        <f t="shared" ca="1" si="3"/>
        <v>12年1个月</v>
      </c>
      <c r="AB37" s="25" t="s">
        <v>29</v>
      </c>
      <c r="AC37" s="25" t="s">
        <v>3985</v>
      </c>
      <c r="AD37" s="25" t="s">
        <v>4035</v>
      </c>
      <c r="AE37" s="25"/>
      <c r="AF37" s="25"/>
      <c r="AG37" s="27"/>
      <c r="AH37" s="25"/>
      <c r="AI37" s="25"/>
      <c r="AJ37" s="25"/>
      <c r="AK37" s="27"/>
      <c r="AL37" s="25" t="s">
        <v>1705</v>
      </c>
      <c r="AM37" s="25"/>
      <c r="AN37" s="27" t="s">
        <v>4039</v>
      </c>
      <c r="AO37" s="25"/>
      <c r="AP37" s="27"/>
      <c r="AQ37" s="25"/>
      <c r="AR37" s="27"/>
      <c r="AS37" s="26" t="s">
        <v>3990</v>
      </c>
      <c r="AT37" s="25" t="s">
        <v>294</v>
      </c>
      <c r="AU37" s="25" t="s">
        <v>4323</v>
      </c>
      <c r="AV37" s="25" t="s">
        <v>4324</v>
      </c>
      <c r="AW37" s="30">
        <v>46599</v>
      </c>
      <c r="AX37" s="28">
        <v>41694</v>
      </c>
      <c r="AY37" s="28">
        <v>42058</v>
      </c>
      <c r="AZ37" s="28">
        <v>42947</v>
      </c>
      <c r="BA37" s="28">
        <v>44773</v>
      </c>
      <c r="BB37" s="28">
        <v>46599</v>
      </c>
      <c r="BC37" s="25"/>
      <c r="BD37" s="25"/>
      <c r="BE37" s="25"/>
      <c r="BF37" s="25"/>
      <c r="BG37" s="25"/>
      <c r="BH37" s="25"/>
      <c r="BI37" s="27"/>
    </row>
    <row r="38" spans="1:61" ht="15.6" x14ac:dyDescent="0.25">
      <c r="A38" s="25">
        <v>36</v>
      </c>
      <c r="B38" s="25" t="s">
        <v>4325</v>
      </c>
      <c r="C38" s="25" t="s">
        <v>4002</v>
      </c>
      <c r="D38" s="26" t="s">
        <v>3975</v>
      </c>
      <c r="E38" s="26" t="s">
        <v>3975</v>
      </c>
      <c r="F38" s="25" t="s">
        <v>4210</v>
      </c>
      <c r="G38" s="25"/>
      <c r="H38" s="25"/>
      <c r="I38" s="25" t="s">
        <v>4304</v>
      </c>
      <c r="J38" s="25" t="s">
        <v>2155</v>
      </c>
      <c r="K38" s="25" t="s">
        <v>361</v>
      </c>
      <c r="L38" s="25" t="s">
        <v>4320</v>
      </c>
      <c r="M38" s="25" t="s">
        <v>4029</v>
      </c>
      <c r="N38" s="27" t="s">
        <v>4326</v>
      </c>
      <c r="O38" s="27" t="s">
        <v>4031</v>
      </c>
      <c r="P38" s="28">
        <v>38933</v>
      </c>
      <c r="Q38" s="28">
        <v>46238</v>
      </c>
      <c r="R38" s="25" t="str">
        <f t="shared" si="5"/>
        <v>女</v>
      </c>
      <c r="S38" s="25" t="s">
        <v>4032</v>
      </c>
      <c r="T38" s="28" t="str">
        <f t="shared" si="1"/>
        <v>1980-01-04</v>
      </c>
      <c r="U38" s="25">
        <f t="shared" ca="1" si="4"/>
        <v>46</v>
      </c>
      <c r="V38" s="25">
        <v>13888016952</v>
      </c>
      <c r="W38" s="28">
        <v>39161</v>
      </c>
      <c r="X38" s="43">
        <v>39161</v>
      </c>
      <c r="Y38" s="29" t="str">
        <f t="shared" ca="1" si="2"/>
        <v>19年0个月</v>
      </c>
      <c r="Z38" s="25" t="s">
        <v>4327</v>
      </c>
      <c r="AA38" s="26" t="str">
        <f t="shared" ca="1" si="3"/>
        <v>20年0个月</v>
      </c>
      <c r="AB38" s="25" t="s">
        <v>29</v>
      </c>
      <c r="AC38" s="25" t="s">
        <v>28</v>
      </c>
      <c r="AD38" s="25" t="s">
        <v>4035</v>
      </c>
      <c r="AE38" s="25"/>
      <c r="AF38" s="25"/>
      <c r="AG38" s="27"/>
      <c r="AH38" s="25"/>
      <c r="AI38" s="25"/>
      <c r="AJ38" s="25"/>
      <c r="AK38" s="27"/>
      <c r="AL38" s="25" t="s">
        <v>1705</v>
      </c>
      <c r="AM38" s="25"/>
      <c r="AN38" s="27" t="s">
        <v>4039</v>
      </c>
      <c r="AO38" s="25"/>
      <c r="AP38" s="27"/>
      <c r="AQ38" s="25"/>
      <c r="AR38" s="25" t="s">
        <v>4328</v>
      </c>
      <c r="AS38" s="26" t="s">
        <v>3990</v>
      </c>
      <c r="AT38" s="25" t="s">
        <v>294</v>
      </c>
      <c r="AU38" s="25" t="s">
        <v>4329</v>
      </c>
      <c r="AV38" s="25" t="s">
        <v>4329</v>
      </c>
      <c r="AW38" s="30">
        <v>46599</v>
      </c>
      <c r="AX38" s="46">
        <v>39946</v>
      </c>
      <c r="AY38" s="28">
        <v>41041</v>
      </c>
      <c r="AZ38" s="28">
        <v>42867</v>
      </c>
      <c r="BA38" s="28">
        <v>44773</v>
      </c>
      <c r="BB38" s="28">
        <v>46599</v>
      </c>
      <c r="BC38" s="25"/>
      <c r="BD38" s="25"/>
      <c r="BE38" s="25"/>
      <c r="BF38" s="25"/>
      <c r="BG38" s="25"/>
      <c r="BH38" s="25"/>
      <c r="BI38" s="27"/>
    </row>
    <row r="39" spans="1:61" ht="15.6" x14ac:dyDescent="0.25">
      <c r="A39" s="25">
        <v>37</v>
      </c>
      <c r="B39" s="25" t="s">
        <v>4330</v>
      </c>
      <c r="C39" s="25" t="s">
        <v>4002</v>
      </c>
      <c r="D39" s="26" t="s">
        <v>3975</v>
      </c>
      <c r="E39" s="26" t="s">
        <v>3975</v>
      </c>
      <c r="F39" s="25" t="s">
        <v>4210</v>
      </c>
      <c r="G39" s="25"/>
      <c r="H39" s="25"/>
      <c r="I39" s="25" t="s">
        <v>4304</v>
      </c>
      <c r="J39" s="25" t="s">
        <v>2155</v>
      </c>
      <c r="K39" s="25" t="s">
        <v>361</v>
      </c>
      <c r="L39" s="25" t="s">
        <v>4320</v>
      </c>
      <c r="M39" s="25" t="s">
        <v>4029</v>
      </c>
      <c r="N39" s="27" t="s">
        <v>4331</v>
      </c>
      <c r="O39" s="27" t="s">
        <v>4031</v>
      </c>
      <c r="P39" s="28">
        <v>38883</v>
      </c>
      <c r="Q39" s="28">
        <v>46188</v>
      </c>
      <c r="R39" s="25" t="str">
        <f t="shared" si="5"/>
        <v>女</v>
      </c>
      <c r="S39" s="25" t="s">
        <v>4032</v>
      </c>
      <c r="T39" s="28" t="str">
        <f t="shared" si="1"/>
        <v>1976-12-30</v>
      </c>
      <c r="U39" s="25">
        <f t="shared" ca="1" si="4"/>
        <v>49</v>
      </c>
      <c r="V39" s="25">
        <v>13888540295</v>
      </c>
      <c r="W39" s="28">
        <v>42373</v>
      </c>
      <c r="X39" s="28">
        <v>42373</v>
      </c>
      <c r="Y39" s="29" t="str">
        <f t="shared" ca="1" si="2"/>
        <v>10年3个月</v>
      </c>
      <c r="Z39" s="25" t="s">
        <v>4332</v>
      </c>
      <c r="AA39" s="26" t="str">
        <f t="shared" ca="1" si="3"/>
        <v>17年4个月</v>
      </c>
      <c r="AB39" s="25" t="s">
        <v>29</v>
      </c>
      <c r="AC39" s="25" t="s">
        <v>3985</v>
      </c>
      <c r="AD39" s="25" t="s">
        <v>4035</v>
      </c>
      <c r="AE39" s="25"/>
      <c r="AF39" s="25"/>
      <c r="AG39" s="27"/>
      <c r="AH39" s="25"/>
      <c r="AI39" s="25"/>
      <c r="AJ39" s="25"/>
      <c r="AK39" s="27"/>
      <c r="AL39" s="25" t="s">
        <v>1705</v>
      </c>
      <c r="AM39" s="25"/>
      <c r="AN39" s="27" t="s">
        <v>4039</v>
      </c>
      <c r="AO39" s="25"/>
      <c r="AP39" s="27"/>
      <c r="AQ39" s="25"/>
      <c r="AR39" s="27"/>
      <c r="AS39" s="26" t="s">
        <v>3990</v>
      </c>
      <c r="AT39" s="25" t="s">
        <v>294</v>
      </c>
      <c r="AU39" s="25" t="s">
        <v>4333</v>
      </c>
      <c r="AV39" s="25" t="s">
        <v>4334</v>
      </c>
      <c r="AW39" s="30">
        <v>46965</v>
      </c>
      <c r="AX39" s="28">
        <v>42373</v>
      </c>
      <c r="AY39" s="28">
        <v>42738</v>
      </c>
      <c r="AZ39" s="28">
        <v>44043</v>
      </c>
      <c r="BA39" s="28">
        <v>45869</v>
      </c>
      <c r="BB39" s="28">
        <v>46965</v>
      </c>
      <c r="BC39" s="25"/>
      <c r="BD39" s="25"/>
      <c r="BE39" s="25"/>
      <c r="BF39" s="25"/>
      <c r="BG39" s="25"/>
      <c r="BH39" s="25"/>
      <c r="BI39" s="27"/>
    </row>
    <row r="40" spans="1:61" ht="15.6" x14ac:dyDescent="0.25">
      <c r="A40" s="25">
        <v>38</v>
      </c>
      <c r="B40" s="25" t="s">
        <v>4335</v>
      </c>
      <c r="C40" s="25" t="s">
        <v>4002</v>
      </c>
      <c r="D40" s="26" t="s">
        <v>3975</v>
      </c>
      <c r="E40" s="26" t="s">
        <v>3975</v>
      </c>
      <c r="F40" s="25" t="s">
        <v>4210</v>
      </c>
      <c r="G40" s="25"/>
      <c r="H40" s="25"/>
      <c r="I40" s="25" t="s">
        <v>4336</v>
      </c>
      <c r="J40" s="25" t="s">
        <v>2556</v>
      </c>
      <c r="K40" s="25" t="s">
        <v>361</v>
      </c>
      <c r="L40" s="25" t="s">
        <v>4320</v>
      </c>
      <c r="M40" s="25" t="s">
        <v>4029</v>
      </c>
      <c r="N40" s="27" t="s">
        <v>4337</v>
      </c>
      <c r="O40" s="27" t="s">
        <v>4031</v>
      </c>
      <c r="P40" s="28">
        <v>38979</v>
      </c>
      <c r="Q40" s="28">
        <v>46284</v>
      </c>
      <c r="R40" s="25" t="str">
        <f t="shared" si="5"/>
        <v>女</v>
      </c>
      <c r="S40" s="25" t="s">
        <v>3984</v>
      </c>
      <c r="T40" s="28" t="str">
        <f t="shared" si="1"/>
        <v>1975-05-28</v>
      </c>
      <c r="U40" s="25">
        <f t="shared" ca="1" si="4"/>
        <v>50</v>
      </c>
      <c r="V40" s="25">
        <v>13888304192</v>
      </c>
      <c r="W40" s="28">
        <v>41365</v>
      </c>
      <c r="X40" s="28">
        <v>41365</v>
      </c>
      <c r="Y40" s="29" t="str">
        <f t="shared" ca="1" si="2"/>
        <v>13年0个月</v>
      </c>
      <c r="Z40" s="25"/>
      <c r="AA40" s="26" t="str">
        <f t="shared" ca="1" si="3"/>
        <v>13年0个月</v>
      </c>
      <c r="AB40" s="25" t="s">
        <v>4034</v>
      </c>
      <c r="AC40" s="25" t="s">
        <v>3985</v>
      </c>
      <c r="AD40" s="25" t="s">
        <v>4035</v>
      </c>
      <c r="AE40" s="25"/>
      <c r="AF40" s="25"/>
      <c r="AG40" s="27"/>
      <c r="AH40" s="25"/>
      <c r="AI40" s="25"/>
      <c r="AJ40" s="25"/>
      <c r="AK40" s="27"/>
      <c r="AL40" s="25" t="s">
        <v>1705</v>
      </c>
      <c r="AM40" s="25"/>
      <c r="AN40" s="27" t="s">
        <v>4039</v>
      </c>
      <c r="AO40" s="25" t="s">
        <v>4338</v>
      </c>
      <c r="AP40" s="27"/>
      <c r="AQ40" s="25"/>
      <c r="AR40" s="27"/>
      <c r="AS40" s="26" t="s">
        <v>3990</v>
      </c>
      <c r="AT40" s="25" t="s">
        <v>294</v>
      </c>
      <c r="AU40" s="25" t="s">
        <v>4339</v>
      </c>
      <c r="AV40" s="25" t="s">
        <v>4340</v>
      </c>
      <c r="AW40" s="30">
        <v>46599</v>
      </c>
      <c r="AX40" s="28">
        <v>41365</v>
      </c>
      <c r="AY40" s="28">
        <v>42094</v>
      </c>
      <c r="AZ40" s="28">
        <v>42947</v>
      </c>
      <c r="BA40" s="28">
        <v>44773</v>
      </c>
      <c r="BB40" s="28">
        <v>46599</v>
      </c>
      <c r="BC40" s="25"/>
      <c r="BD40" s="25"/>
      <c r="BE40" s="25"/>
      <c r="BF40" s="25"/>
      <c r="BG40" s="25"/>
      <c r="BH40" s="25"/>
      <c r="BI40" s="27"/>
    </row>
    <row r="41" spans="1:61" ht="15.6" x14ac:dyDescent="0.25">
      <c r="A41" s="25">
        <v>39</v>
      </c>
      <c r="B41" s="25" t="s">
        <v>4341</v>
      </c>
      <c r="C41" s="25" t="s">
        <v>4002</v>
      </c>
      <c r="D41" s="26" t="s">
        <v>3975</v>
      </c>
      <c r="E41" s="26" t="s">
        <v>3975</v>
      </c>
      <c r="F41" s="25" t="s">
        <v>4210</v>
      </c>
      <c r="G41" s="25"/>
      <c r="H41" s="25"/>
      <c r="I41" s="25" t="s">
        <v>4336</v>
      </c>
      <c r="J41" s="25" t="s">
        <v>2556</v>
      </c>
      <c r="K41" s="25" t="s">
        <v>361</v>
      </c>
      <c r="L41" s="25" t="s">
        <v>4320</v>
      </c>
      <c r="M41" s="25" t="s">
        <v>4029</v>
      </c>
      <c r="N41" s="27" t="s">
        <v>4342</v>
      </c>
      <c r="O41" s="27" t="s">
        <v>4031</v>
      </c>
      <c r="P41" s="28">
        <v>38910</v>
      </c>
      <c r="Q41" s="28">
        <v>46215</v>
      </c>
      <c r="R41" s="25" t="str">
        <f t="shared" si="5"/>
        <v>女</v>
      </c>
      <c r="S41" s="25" t="s">
        <v>3984</v>
      </c>
      <c r="T41" s="28" t="str">
        <f t="shared" si="1"/>
        <v>1976-09-17</v>
      </c>
      <c r="U41" s="25">
        <f t="shared" ca="1" si="4"/>
        <v>49</v>
      </c>
      <c r="V41" s="25">
        <v>13888388942</v>
      </c>
      <c r="W41" s="28">
        <v>40130</v>
      </c>
      <c r="X41" s="43">
        <v>40130</v>
      </c>
      <c r="Y41" s="29" t="str">
        <f t="shared" ca="1" si="2"/>
        <v>16年5个月</v>
      </c>
      <c r="Z41" s="25"/>
      <c r="AA41" s="26" t="str">
        <f t="shared" ca="1" si="3"/>
        <v>16年5个月</v>
      </c>
      <c r="AB41" s="25" t="s">
        <v>29</v>
      </c>
      <c r="AC41" s="25" t="s">
        <v>3985</v>
      </c>
      <c r="AD41" s="25" t="s">
        <v>3986</v>
      </c>
      <c r="AE41" s="25"/>
      <c r="AF41" s="25"/>
      <c r="AG41" s="27"/>
      <c r="AH41" s="25"/>
      <c r="AI41" s="25"/>
      <c r="AJ41" s="25"/>
      <c r="AK41" s="27"/>
      <c r="AL41" s="25" t="s">
        <v>1705</v>
      </c>
      <c r="AM41" s="25"/>
      <c r="AN41" s="27" t="s">
        <v>4039</v>
      </c>
      <c r="AO41" s="25"/>
      <c r="AP41" s="27"/>
      <c r="AQ41" s="25"/>
      <c r="AR41" s="25"/>
      <c r="AS41" s="26" t="s">
        <v>3990</v>
      </c>
      <c r="AT41" s="25" t="s">
        <v>294</v>
      </c>
      <c r="AU41" s="25" t="s">
        <v>4343</v>
      </c>
      <c r="AV41" s="25" t="s">
        <v>4343</v>
      </c>
      <c r="AW41" s="30">
        <v>46599</v>
      </c>
      <c r="AX41" s="44">
        <v>40130</v>
      </c>
      <c r="AY41" s="28">
        <v>40488</v>
      </c>
      <c r="AZ41" s="28">
        <v>43409</v>
      </c>
      <c r="BA41" s="28">
        <v>45138</v>
      </c>
      <c r="BB41" s="28">
        <v>45504</v>
      </c>
      <c r="BC41" s="28">
        <v>46599</v>
      </c>
      <c r="BD41" s="25"/>
      <c r="BE41" s="25"/>
      <c r="BF41" s="25"/>
      <c r="BG41" s="25"/>
      <c r="BH41" s="25"/>
      <c r="BI41" s="27"/>
    </row>
    <row r="42" spans="1:61" ht="15.6" x14ac:dyDescent="0.25">
      <c r="A42" s="25">
        <v>40</v>
      </c>
      <c r="B42" s="25" t="s">
        <v>4344</v>
      </c>
      <c r="C42" s="25" t="s">
        <v>4002</v>
      </c>
      <c r="D42" s="26" t="s">
        <v>3975</v>
      </c>
      <c r="E42" s="26" t="s">
        <v>3975</v>
      </c>
      <c r="F42" s="25" t="s">
        <v>4210</v>
      </c>
      <c r="G42" s="25"/>
      <c r="H42" s="25"/>
      <c r="I42" s="25" t="s">
        <v>4336</v>
      </c>
      <c r="J42" s="25" t="s">
        <v>2556</v>
      </c>
      <c r="K42" s="25" t="s">
        <v>361</v>
      </c>
      <c r="L42" s="25" t="s">
        <v>4320</v>
      </c>
      <c r="M42" s="25" t="s">
        <v>4029</v>
      </c>
      <c r="N42" s="27" t="s">
        <v>4345</v>
      </c>
      <c r="O42" s="27" t="s">
        <v>4031</v>
      </c>
      <c r="P42" s="28">
        <v>43112</v>
      </c>
      <c r="Q42" s="28">
        <v>50417</v>
      </c>
      <c r="R42" s="25" t="str">
        <f t="shared" si="5"/>
        <v>女</v>
      </c>
      <c r="S42" s="25" t="s">
        <v>3984</v>
      </c>
      <c r="T42" s="28" t="str">
        <f t="shared" si="1"/>
        <v>1980-12-12</v>
      </c>
      <c r="U42" s="25">
        <f t="shared" ca="1" si="4"/>
        <v>45</v>
      </c>
      <c r="V42" s="25">
        <v>13618719505</v>
      </c>
      <c r="W42" s="28">
        <v>39413</v>
      </c>
      <c r="X42" s="43">
        <v>39413</v>
      </c>
      <c r="Y42" s="29" t="str">
        <f t="shared" ca="1" si="2"/>
        <v>18年4个月</v>
      </c>
      <c r="Z42" s="25"/>
      <c r="AA42" s="26" t="str">
        <f t="shared" ca="1" si="3"/>
        <v>18年4个月</v>
      </c>
      <c r="AB42" s="25" t="s">
        <v>29</v>
      </c>
      <c r="AC42" s="25" t="s">
        <v>3985</v>
      </c>
      <c r="AD42" s="25" t="s">
        <v>4035</v>
      </c>
      <c r="AE42" s="25"/>
      <c r="AF42" s="25"/>
      <c r="AG42" s="27"/>
      <c r="AH42" s="25"/>
      <c r="AI42" s="25"/>
      <c r="AJ42" s="25"/>
      <c r="AK42" s="27"/>
      <c r="AL42" s="25" t="s">
        <v>3290</v>
      </c>
      <c r="AM42" s="25"/>
      <c r="AN42" s="27" t="s">
        <v>4039</v>
      </c>
      <c r="AO42" s="25"/>
      <c r="AP42" s="27"/>
      <c r="AQ42" s="25"/>
      <c r="AR42" s="25"/>
      <c r="AS42" s="26" t="s">
        <v>3990</v>
      </c>
      <c r="AT42" s="25" t="s">
        <v>294</v>
      </c>
      <c r="AU42" s="25" t="s">
        <v>4346</v>
      </c>
      <c r="AV42" s="25" t="s">
        <v>4346</v>
      </c>
      <c r="AW42" s="30">
        <v>46599</v>
      </c>
      <c r="AX42" s="46">
        <v>39946</v>
      </c>
      <c r="AY42" s="28">
        <v>41041</v>
      </c>
      <c r="AZ42" s="28">
        <v>42136</v>
      </c>
      <c r="BA42" s="28">
        <v>42947</v>
      </c>
      <c r="BB42" s="28">
        <v>44773</v>
      </c>
      <c r="BC42" s="28">
        <v>46599</v>
      </c>
      <c r="BD42" s="25"/>
      <c r="BE42" s="25"/>
      <c r="BF42" s="25"/>
      <c r="BG42" s="25"/>
      <c r="BH42" s="25"/>
      <c r="BI42" s="27"/>
    </row>
    <row r="43" spans="1:61" ht="15.6" x14ac:dyDescent="0.25">
      <c r="A43" s="25">
        <v>41</v>
      </c>
      <c r="B43" s="25" t="s">
        <v>4347</v>
      </c>
      <c r="C43" s="25" t="s">
        <v>4002</v>
      </c>
      <c r="D43" s="26" t="s">
        <v>3975</v>
      </c>
      <c r="E43" s="26" t="s">
        <v>3975</v>
      </c>
      <c r="F43" s="25" t="s">
        <v>4210</v>
      </c>
      <c r="G43" s="25"/>
      <c r="H43" s="25"/>
      <c r="I43" s="25" t="s">
        <v>4336</v>
      </c>
      <c r="J43" s="25" t="s">
        <v>2556</v>
      </c>
      <c r="K43" s="25" t="s">
        <v>361</v>
      </c>
      <c r="L43" s="25" t="s">
        <v>4320</v>
      </c>
      <c r="M43" s="25" t="s">
        <v>4029</v>
      </c>
      <c r="N43" s="27" t="s">
        <v>4348</v>
      </c>
      <c r="O43" s="27" t="s">
        <v>4031</v>
      </c>
      <c r="P43" s="28">
        <v>38912</v>
      </c>
      <c r="Q43" s="28">
        <v>46217</v>
      </c>
      <c r="R43" s="25" t="str">
        <f t="shared" si="5"/>
        <v>女</v>
      </c>
      <c r="S43" s="25" t="s">
        <v>3984</v>
      </c>
      <c r="T43" s="28" t="str">
        <f t="shared" si="1"/>
        <v>1978-06-05</v>
      </c>
      <c r="U43" s="25">
        <f t="shared" ca="1" si="4"/>
        <v>47</v>
      </c>
      <c r="V43" s="25">
        <v>18314163936</v>
      </c>
      <c r="W43" s="28">
        <v>41694</v>
      </c>
      <c r="X43" s="28">
        <v>41694</v>
      </c>
      <c r="Y43" s="29" t="str">
        <f t="shared" ca="1" si="2"/>
        <v>12年1个月</v>
      </c>
      <c r="Z43" s="25"/>
      <c r="AA43" s="26" t="str">
        <f t="shared" ca="1" si="3"/>
        <v>12年1个月</v>
      </c>
      <c r="AB43" s="25" t="s">
        <v>29</v>
      </c>
      <c r="AC43" s="25" t="s">
        <v>3985</v>
      </c>
      <c r="AD43" s="25" t="s">
        <v>4035</v>
      </c>
      <c r="AE43" s="25"/>
      <c r="AF43" s="25"/>
      <c r="AG43" s="27"/>
      <c r="AH43" s="25"/>
      <c r="AI43" s="25"/>
      <c r="AJ43" s="25"/>
      <c r="AK43" s="27"/>
      <c r="AL43" s="25" t="s">
        <v>1705</v>
      </c>
      <c r="AM43" s="25"/>
      <c r="AN43" s="27" t="s">
        <v>4039</v>
      </c>
      <c r="AO43" s="25"/>
      <c r="AP43" s="27"/>
      <c r="AQ43" s="25"/>
      <c r="AR43" s="27"/>
      <c r="AS43" s="26" t="s">
        <v>3990</v>
      </c>
      <c r="AT43" s="25" t="s">
        <v>294</v>
      </c>
      <c r="AU43" s="25" t="s">
        <v>4349</v>
      </c>
      <c r="AV43" s="25" t="s">
        <v>4350</v>
      </c>
      <c r="AW43" s="30">
        <v>47330</v>
      </c>
      <c r="AX43" s="28">
        <v>41694</v>
      </c>
      <c r="AY43" s="28">
        <v>42058</v>
      </c>
      <c r="AZ43" s="28">
        <v>42582</v>
      </c>
      <c r="BA43" s="28">
        <v>43677</v>
      </c>
      <c r="BB43" s="28">
        <v>45504</v>
      </c>
      <c r="BC43" s="28">
        <v>47330</v>
      </c>
      <c r="BD43" s="25"/>
      <c r="BE43" s="25"/>
      <c r="BF43" s="25"/>
      <c r="BG43" s="25"/>
      <c r="BH43" s="25"/>
      <c r="BI43" s="27"/>
    </row>
    <row r="44" spans="1:61" ht="15.6" x14ac:dyDescent="0.25">
      <c r="A44" s="25">
        <v>42</v>
      </c>
      <c r="B44" s="25" t="s">
        <v>4351</v>
      </c>
      <c r="C44" s="25" t="s">
        <v>4002</v>
      </c>
      <c r="D44" s="26" t="s">
        <v>3975</v>
      </c>
      <c r="E44" s="26" t="s">
        <v>3975</v>
      </c>
      <c r="F44" s="25" t="s">
        <v>4210</v>
      </c>
      <c r="G44" s="25"/>
      <c r="H44" s="25"/>
      <c r="I44" s="25" t="s">
        <v>4336</v>
      </c>
      <c r="J44" s="25" t="s">
        <v>2556</v>
      </c>
      <c r="K44" s="25" t="s">
        <v>361</v>
      </c>
      <c r="L44" s="25" t="s">
        <v>4320</v>
      </c>
      <c r="M44" s="25" t="s">
        <v>4029</v>
      </c>
      <c r="N44" s="27" t="s">
        <v>4352</v>
      </c>
      <c r="O44" s="27" t="s">
        <v>4031</v>
      </c>
      <c r="P44" s="28">
        <v>38989</v>
      </c>
      <c r="Q44" s="28">
        <v>46294</v>
      </c>
      <c r="R44" s="25" t="str">
        <f t="shared" si="5"/>
        <v>男</v>
      </c>
      <c r="S44" s="25" t="s">
        <v>3984</v>
      </c>
      <c r="T44" s="28" t="str">
        <f t="shared" si="1"/>
        <v>1970-12-02</v>
      </c>
      <c r="U44" s="25">
        <f t="shared" ca="1" si="4"/>
        <v>55</v>
      </c>
      <c r="V44" s="25">
        <v>13629675367</v>
      </c>
      <c r="W44" s="28">
        <v>40238</v>
      </c>
      <c r="X44" s="28">
        <v>40238</v>
      </c>
      <c r="Y44" s="29" t="str">
        <f t="shared" ca="1" si="2"/>
        <v>16年1个月</v>
      </c>
      <c r="Z44" s="25"/>
      <c r="AA44" s="26" t="str">
        <f t="shared" ca="1" si="3"/>
        <v>16年1个月</v>
      </c>
      <c r="AB44" s="25" t="s">
        <v>29</v>
      </c>
      <c r="AC44" s="25" t="s">
        <v>3985</v>
      </c>
      <c r="AD44" s="25" t="s">
        <v>4035</v>
      </c>
      <c r="AE44" s="25"/>
      <c r="AF44" s="25"/>
      <c r="AG44" s="27"/>
      <c r="AH44" s="25"/>
      <c r="AI44" s="25"/>
      <c r="AJ44" s="25"/>
      <c r="AK44" s="27"/>
      <c r="AL44" s="25" t="s">
        <v>1705</v>
      </c>
      <c r="AM44" s="25"/>
      <c r="AN44" s="27" t="s">
        <v>4039</v>
      </c>
      <c r="AO44" s="25"/>
      <c r="AP44" s="27"/>
      <c r="AQ44" s="25"/>
      <c r="AR44" s="27"/>
      <c r="AS44" s="26" t="s">
        <v>3990</v>
      </c>
      <c r="AT44" s="25" t="s">
        <v>294</v>
      </c>
      <c r="AU44" s="25" t="s">
        <v>4353</v>
      </c>
      <c r="AV44" s="25" t="s">
        <v>4354</v>
      </c>
      <c r="AW44" s="30">
        <v>47695</v>
      </c>
      <c r="AX44" s="45">
        <v>40238</v>
      </c>
      <c r="AY44" s="28">
        <v>40602</v>
      </c>
      <c r="AZ44" s="28">
        <v>41698</v>
      </c>
      <c r="BA44" s="28">
        <v>43524</v>
      </c>
      <c r="BB44" s="28">
        <v>45504</v>
      </c>
      <c r="BC44" s="28">
        <v>45869</v>
      </c>
      <c r="BD44" s="28">
        <v>47695</v>
      </c>
      <c r="BE44" s="25"/>
      <c r="BF44" s="25"/>
      <c r="BG44" s="25"/>
      <c r="BH44" s="25"/>
      <c r="BI44" s="27"/>
    </row>
    <row r="45" spans="1:61" ht="15.6" x14ac:dyDescent="0.25">
      <c r="A45" s="25">
        <v>43</v>
      </c>
      <c r="B45" s="25" t="s">
        <v>4355</v>
      </c>
      <c r="C45" s="25" t="s">
        <v>4002</v>
      </c>
      <c r="D45" s="26" t="s">
        <v>3975</v>
      </c>
      <c r="E45" s="26" t="s">
        <v>3975</v>
      </c>
      <c r="F45" s="25" t="s">
        <v>4210</v>
      </c>
      <c r="G45" s="25"/>
      <c r="H45" s="25"/>
      <c r="I45" s="25" t="s">
        <v>4356</v>
      </c>
      <c r="J45" s="25" t="s">
        <v>296</v>
      </c>
      <c r="K45" s="25" t="s">
        <v>361</v>
      </c>
      <c r="L45" s="25" t="s">
        <v>4320</v>
      </c>
      <c r="M45" s="25" t="s">
        <v>4029</v>
      </c>
      <c r="N45" s="27" t="s">
        <v>4357</v>
      </c>
      <c r="O45" s="27" t="s">
        <v>4031</v>
      </c>
      <c r="P45" s="28">
        <v>43154</v>
      </c>
      <c r="Q45" s="28">
        <v>50459</v>
      </c>
      <c r="R45" s="25" t="str">
        <f t="shared" si="5"/>
        <v>男</v>
      </c>
      <c r="S45" s="25" t="s">
        <v>3984</v>
      </c>
      <c r="T45" s="28" t="str">
        <f t="shared" si="1"/>
        <v>1982-05-27</v>
      </c>
      <c r="U45" s="25">
        <f t="shared" ca="1" si="4"/>
        <v>43</v>
      </c>
      <c r="V45" s="25">
        <v>13529022438</v>
      </c>
      <c r="W45" s="28">
        <v>40203</v>
      </c>
      <c r="X45" s="28">
        <v>40203</v>
      </c>
      <c r="Y45" s="29" t="str">
        <f t="shared" ca="1" si="2"/>
        <v>16年2个月</v>
      </c>
      <c r="Z45" s="25"/>
      <c r="AA45" s="26" t="str">
        <f t="shared" ca="1" si="3"/>
        <v>16年2个月</v>
      </c>
      <c r="AB45" s="25" t="s">
        <v>29</v>
      </c>
      <c r="AC45" s="25" t="s">
        <v>3985</v>
      </c>
      <c r="AD45" s="25" t="s">
        <v>4035</v>
      </c>
      <c r="AE45" s="25"/>
      <c r="AF45" s="25"/>
      <c r="AG45" s="27"/>
      <c r="AH45" s="25"/>
      <c r="AI45" s="25"/>
      <c r="AJ45" s="25"/>
      <c r="AK45" s="27"/>
      <c r="AL45" s="25" t="s">
        <v>1705</v>
      </c>
      <c r="AM45" s="25"/>
      <c r="AN45" s="27" t="s">
        <v>4039</v>
      </c>
      <c r="AO45" s="25"/>
      <c r="AP45" s="27"/>
      <c r="AQ45" s="25"/>
      <c r="AR45" s="27"/>
      <c r="AS45" s="26" t="s">
        <v>3990</v>
      </c>
      <c r="AT45" s="25" t="s">
        <v>294</v>
      </c>
      <c r="AU45" s="25" t="s">
        <v>4358</v>
      </c>
      <c r="AV45" s="25" t="s">
        <v>4359</v>
      </c>
      <c r="AW45" s="30">
        <v>46599</v>
      </c>
      <c r="AX45" s="45">
        <v>40203</v>
      </c>
      <c r="AY45" s="28">
        <v>40567</v>
      </c>
      <c r="AZ45" s="28">
        <v>41663</v>
      </c>
      <c r="BA45" s="28">
        <v>42759</v>
      </c>
      <c r="BB45" s="28">
        <v>44773</v>
      </c>
      <c r="BC45" s="28">
        <v>46599</v>
      </c>
      <c r="BD45" s="25"/>
      <c r="BE45" s="25"/>
      <c r="BF45" s="25"/>
      <c r="BG45" s="25"/>
      <c r="BH45" s="25"/>
      <c r="BI45" s="27"/>
    </row>
    <row r="46" spans="1:61" ht="15.6" x14ac:dyDescent="0.25">
      <c r="A46" s="25">
        <v>44</v>
      </c>
      <c r="B46" s="25" t="s">
        <v>4360</v>
      </c>
      <c r="C46" s="25" t="s">
        <v>4002</v>
      </c>
      <c r="D46" s="26" t="s">
        <v>3975</v>
      </c>
      <c r="E46" s="26" t="s">
        <v>3975</v>
      </c>
      <c r="F46" s="25" t="s">
        <v>4210</v>
      </c>
      <c r="G46" s="25"/>
      <c r="H46" s="25"/>
      <c r="I46" s="25" t="s">
        <v>4356</v>
      </c>
      <c r="J46" s="25" t="s">
        <v>296</v>
      </c>
      <c r="K46" s="25" t="s">
        <v>361</v>
      </c>
      <c r="L46" s="25" t="s">
        <v>4320</v>
      </c>
      <c r="M46" s="25" t="s">
        <v>4029</v>
      </c>
      <c r="N46" s="27" t="s">
        <v>4361</v>
      </c>
      <c r="O46" s="27" t="s">
        <v>4031</v>
      </c>
      <c r="P46" s="28">
        <v>39675</v>
      </c>
      <c r="Q46" s="28">
        <v>46980</v>
      </c>
      <c r="R46" s="25" t="str">
        <f t="shared" si="5"/>
        <v>男</v>
      </c>
      <c r="S46" s="25" t="s">
        <v>3984</v>
      </c>
      <c r="T46" s="28" t="str">
        <f t="shared" si="1"/>
        <v>1975-02-19</v>
      </c>
      <c r="U46" s="25">
        <f t="shared" ca="1" si="4"/>
        <v>51</v>
      </c>
      <c r="V46" s="25">
        <v>15288130252</v>
      </c>
      <c r="W46" s="28">
        <v>41241</v>
      </c>
      <c r="X46" s="28">
        <v>41241</v>
      </c>
      <c r="Y46" s="29" t="str">
        <f t="shared" ca="1" si="2"/>
        <v>13年4个月</v>
      </c>
      <c r="Z46" s="25"/>
      <c r="AA46" s="26" t="str">
        <f t="shared" ca="1" si="3"/>
        <v>13年4个月</v>
      </c>
      <c r="AB46" s="25" t="s">
        <v>29</v>
      </c>
      <c r="AC46" s="25" t="s">
        <v>3985</v>
      </c>
      <c r="AD46" s="25" t="s">
        <v>3986</v>
      </c>
      <c r="AE46" s="25"/>
      <c r="AF46" s="25"/>
      <c r="AG46" s="27"/>
      <c r="AH46" s="25"/>
      <c r="AI46" s="25"/>
      <c r="AJ46" s="25"/>
      <c r="AK46" s="27"/>
      <c r="AL46" s="25" t="s">
        <v>1705</v>
      </c>
      <c r="AM46" s="25"/>
      <c r="AN46" s="27" t="s">
        <v>4039</v>
      </c>
      <c r="AO46" s="25"/>
      <c r="AP46" s="27"/>
      <c r="AQ46" s="25"/>
      <c r="AR46" s="27"/>
      <c r="AS46" s="26" t="s">
        <v>3990</v>
      </c>
      <c r="AT46" s="25" t="s">
        <v>294</v>
      </c>
      <c r="AU46" s="25" t="s">
        <v>4362</v>
      </c>
      <c r="AV46" s="25" t="s">
        <v>4363</v>
      </c>
      <c r="AW46" s="30">
        <v>46234</v>
      </c>
      <c r="AX46" s="28">
        <v>41241</v>
      </c>
      <c r="AY46" s="28">
        <v>41605</v>
      </c>
      <c r="AZ46" s="28">
        <v>42701</v>
      </c>
      <c r="BA46" s="28">
        <v>44408</v>
      </c>
      <c r="BB46" s="28">
        <v>46234</v>
      </c>
      <c r="BC46" s="25"/>
      <c r="BD46" s="25"/>
      <c r="BE46" s="25"/>
      <c r="BF46" s="25"/>
      <c r="BG46" s="25"/>
      <c r="BH46" s="25"/>
      <c r="BI46" s="27"/>
    </row>
    <row r="47" spans="1:61" ht="15.6" x14ac:dyDescent="0.25">
      <c r="A47" s="25">
        <v>45</v>
      </c>
      <c r="B47" s="25" t="s">
        <v>4364</v>
      </c>
      <c r="C47" s="25" t="s">
        <v>4002</v>
      </c>
      <c r="D47" s="26" t="s">
        <v>3975</v>
      </c>
      <c r="E47" s="26" t="s">
        <v>3975</v>
      </c>
      <c r="F47" s="25" t="s">
        <v>4210</v>
      </c>
      <c r="G47" s="25"/>
      <c r="H47" s="25"/>
      <c r="I47" s="25" t="s">
        <v>4356</v>
      </c>
      <c r="J47" s="25" t="s">
        <v>296</v>
      </c>
      <c r="K47" s="25" t="s">
        <v>361</v>
      </c>
      <c r="L47" s="25" t="s">
        <v>4320</v>
      </c>
      <c r="M47" s="25" t="s">
        <v>4029</v>
      </c>
      <c r="N47" s="27" t="s">
        <v>4365</v>
      </c>
      <c r="O47" s="27" t="s">
        <v>4031</v>
      </c>
      <c r="P47" s="28">
        <v>38961</v>
      </c>
      <c r="Q47" s="28">
        <v>46266</v>
      </c>
      <c r="R47" s="25" t="str">
        <f t="shared" si="5"/>
        <v>男</v>
      </c>
      <c r="S47" s="25" t="s">
        <v>3984</v>
      </c>
      <c r="T47" s="28" t="str">
        <f t="shared" si="1"/>
        <v>1980-02-20</v>
      </c>
      <c r="U47" s="25">
        <f t="shared" ca="1" si="4"/>
        <v>46</v>
      </c>
      <c r="V47" s="25">
        <v>13629651628</v>
      </c>
      <c r="W47" s="28">
        <v>41298</v>
      </c>
      <c r="X47" s="28">
        <v>41298</v>
      </c>
      <c r="Y47" s="29" t="str">
        <f t="shared" ca="1" si="2"/>
        <v>13年2个月</v>
      </c>
      <c r="Z47" s="25"/>
      <c r="AA47" s="26" t="str">
        <f t="shared" ca="1" si="3"/>
        <v>13年2个月</v>
      </c>
      <c r="AB47" s="25" t="s">
        <v>29</v>
      </c>
      <c r="AC47" s="25" t="s">
        <v>3985</v>
      </c>
      <c r="AD47" s="25" t="s">
        <v>4035</v>
      </c>
      <c r="AE47" s="25"/>
      <c r="AF47" s="25"/>
      <c r="AG47" s="27"/>
      <c r="AH47" s="25"/>
      <c r="AI47" s="25"/>
      <c r="AJ47" s="25"/>
      <c r="AK47" s="27"/>
      <c r="AL47" s="25" t="s">
        <v>1705</v>
      </c>
      <c r="AM47" s="25"/>
      <c r="AN47" s="27" t="s">
        <v>4039</v>
      </c>
      <c r="AO47" s="25"/>
      <c r="AP47" s="27"/>
      <c r="AQ47" s="25"/>
      <c r="AR47" s="27"/>
      <c r="AS47" s="26" t="s">
        <v>3990</v>
      </c>
      <c r="AT47" s="25" t="s">
        <v>294</v>
      </c>
      <c r="AU47" s="25" t="s">
        <v>4366</v>
      </c>
      <c r="AV47" s="25" t="s">
        <v>4367</v>
      </c>
      <c r="AW47" s="30">
        <v>46599</v>
      </c>
      <c r="AX47" s="28">
        <v>41298</v>
      </c>
      <c r="AY47" s="28">
        <v>41662</v>
      </c>
      <c r="AZ47" s="28">
        <v>42758</v>
      </c>
      <c r="BA47" s="28">
        <v>44773</v>
      </c>
      <c r="BB47" s="28">
        <v>46599</v>
      </c>
      <c r="BC47" s="25"/>
      <c r="BD47" s="25"/>
      <c r="BE47" s="25"/>
      <c r="BF47" s="25"/>
      <c r="BG47" s="25"/>
      <c r="BH47" s="25"/>
      <c r="BI47" s="27"/>
    </row>
    <row r="48" spans="1:61" ht="15.6" x14ac:dyDescent="0.25">
      <c r="A48" s="25">
        <v>46</v>
      </c>
      <c r="B48" s="25" t="s">
        <v>4368</v>
      </c>
      <c r="C48" s="25" t="s">
        <v>4002</v>
      </c>
      <c r="D48" s="26" t="s">
        <v>3975</v>
      </c>
      <c r="E48" s="26" t="s">
        <v>3975</v>
      </c>
      <c r="F48" s="25" t="s">
        <v>4210</v>
      </c>
      <c r="G48" s="25"/>
      <c r="H48" s="25"/>
      <c r="I48" s="25" t="s">
        <v>4356</v>
      </c>
      <c r="J48" s="25" t="s">
        <v>296</v>
      </c>
      <c r="K48" s="25" t="s">
        <v>361</v>
      </c>
      <c r="L48" s="25" t="s">
        <v>4320</v>
      </c>
      <c r="M48" s="25" t="s">
        <v>4029</v>
      </c>
      <c r="N48" s="27" t="s">
        <v>4369</v>
      </c>
      <c r="O48" s="27" t="s">
        <v>4031</v>
      </c>
      <c r="P48" s="28">
        <v>45244</v>
      </c>
      <c r="Q48" s="28">
        <v>52549</v>
      </c>
      <c r="R48" s="25" t="str">
        <f t="shared" si="5"/>
        <v>男</v>
      </c>
      <c r="S48" s="25" t="s">
        <v>3984</v>
      </c>
      <c r="T48" s="28" t="str">
        <f t="shared" si="1"/>
        <v>1990-11-16</v>
      </c>
      <c r="U48" s="25">
        <f t="shared" ca="1" si="4"/>
        <v>35</v>
      </c>
      <c r="V48" s="25">
        <v>15911640061</v>
      </c>
      <c r="W48" s="28">
        <v>46097</v>
      </c>
      <c r="X48" s="28">
        <v>46097</v>
      </c>
      <c r="Y48" s="29" t="str">
        <f t="shared" ca="1" si="2"/>
        <v>0年0个月</v>
      </c>
      <c r="Z48" s="25" t="s">
        <v>4370</v>
      </c>
      <c r="AA48" s="26" t="str">
        <f t="shared" ca="1" si="3"/>
        <v>1年2个月</v>
      </c>
      <c r="AB48" s="25" t="s">
        <v>29</v>
      </c>
      <c r="AC48" s="25" t="s">
        <v>28</v>
      </c>
      <c r="AD48" s="25" t="s">
        <v>4234</v>
      </c>
      <c r="AE48" s="25"/>
      <c r="AF48" s="25"/>
      <c r="AG48" s="27"/>
      <c r="AH48" s="25"/>
      <c r="AI48" s="25"/>
      <c r="AJ48" s="25"/>
      <c r="AK48" s="27"/>
      <c r="AL48" s="25" t="s">
        <v>305</v>
      </c>
      <c r="AM48" s="25"/>
      <c r="AN48" s="27" t="s">
        <v>4039</v>
      </c>
      <c r="AO48" s="25" t="s">
        <v>4371</v>
      </c>
      <c r="AP48" s="27" t="s">
        <v>4372</v>
      </c>
      <c r="AQ48" s="25"/>
      <c r="AR48" s="27" t="s">
        <v>4373</v>
      </c>
      <c r="AS48" s="26" t="s">
        <v>3990</v>
      </c>
      <c r="AT48" s="25" t="s">
        <v>4043</v>
      </c>
      <c r="AU48" s="25" t="s">
        <v>4374</v>
      </c>
      <c r="AV48" s="25" t="s">
        <v>4374</v>
      </c>
      <c r="AW48" s="30">
        <v>46461</v>
      </c>
      <c r="AX48" s="28">
        <v>46097</v>
      </c>
      <c r="AY48" s="28">
        <v>46461</v>
      </c>
      <c r="AZ48" s="28"/>
      <c r="BA48" s="28"/>
      <c r="BB48" s="28"/>
      <c r="BC48" s="25"/>
      <c r="BD48" s="25"/>
      <c r="BE48" s="25"/>
      <c r="BF48" s="25"/>
      <c r="BG48" s="25"/>
      <c r="BH48" s="25"/>
      <c r="BI48" s="27"/>
    </row>
    <row r="49" spans="1:61" ht="15.6" x14ac:dyDescent="0.25">
      <c r="A49" s="25">
        <v>47</v>
      </c>
      <c r="B49" s="25" t="s">
        <v>4375</v>
      </c>
      <c r="C49" s="25" t="s">
        <v>4002</v>
      </c>
      <c r="D49" s="26" t="s">
        <v>3975</v>
      </c>
      <c r="E49" s="26" t="s">
        <v>3975</v>
      </c>
      <c r="F49" s="25" t="s">
        <v>376</v>
      </c>
      <c r="G49" s="25"/>
      <c r="H49" s="25"/>
      <c r="I49" s="25"/>
      <c r="J49" s="25" t="s">
        <v>4376</v>
      </c>
      <c r="K49" s="25" t="s">
        <v>676</v>
      </c>
      <c r="L49" s="25" t="s">
        <v>4071</v>
      </c>
      <c r="M49" s="25" t="s">
        <v>4017</v>
      </c>
      <c r="N49" s="27" t="s">
        <v>4377</v>
      </c>
      <c r="O49" s="27" t="s">
        <v>4073</v>
      </c>
      <c r="P49" s="28">
        <v>44127</v>
      </c>
      <c r="Q49" s="28">
        <v>51432</v>
      </c>
      <c r="R49" s="25" t="str">
        <f t="shared" si="5"/>
        <v>男</v>
      </c>
      <c r="S49" s="25" t="s">
        <v>3984</v>
      </c>
      <c r="T49" s="28" t="str">
        <f t="shared" si="1"/>
        <v>1986-12-06</v>
      </c>
      <c r="U49" s="25">
        <f t="shared" ca="1" si="4"/>
        <v>39</v>
      </c>
      <c r="V49" s="25">
        <v>15911589136</v>
      </c>
      <c r="W49" s="28">
        <v>40679</v>
      </c>
      <c r="X49" s="28">
        <v>40679</v>
      </c>
      <c r="Y49" s="29" t="str">
        <f t="shared" ca="1" si="2"/>
        <v>14年10个月</v>
      </c>
      <c r="Z49" s="25"/>
      <c r="AA49" s="26" t="str">
        <f t="shared" ca="1" si="3"/>
        <v>14年10个月</v>
      </c>
      <c r="AB49" s="25" t="s">
        <v>29</v>
      </c>
      <c r="AC49" s="25" t="s">
        <v>3985</v>
      </c>
      <c r="AD49" s="25" t="s">
        <v>4035</v>
      </c>
      <c r="AE49" s="25" t="s">
        <v>692</v>
      </c>
      <c r="AF49" s="25" t="s">
        <v>437</v>
      </c>
      <c r="AG49" s="27" t="s">
        <v>4378</v>
      </c>
      <c r="AH49" s="25"/>
      <c r="AI49" s="25"/>
      <c r="AJ49" s="25"/>
      <c r="AK49" s="27"/>
      <c r="AL49" s="25" t="s">
        <v>81</v>
      </c>
      <c r="AM49" s="25" t="s">
        <v>3987</v>
      </c>
      <c r="AN49" s="27" t="s">
        <v>4379</v>
      </c>
      <c r="AO49" s="25" t="s">
        <v>4380</v>
      </c>
      <c r="AP49" s="27" t="s">
        <v>4381</v>
      </c>
      <c r="AQ49" s="25"/>
      <c r="AR49" s="25" t="s">
        <v>4382</v>
      </c>
      <c r="AS49" s="26" t="s">
        <v>4011</v>
      </c>
      <c r="AT49" s="25" t="s">
        <v>563</v>
      </c>
      <c r="AU49" s="25" t="s">
        <v>4383</v>
      </c>
      <c r="AV49" s="25" t="s">
        <v>3036</v>
      </c>
      <c r="AW49" s="30" t="s">
        <v>3991</v>
      </c>
      <c r="AX49" s="45">
        <v>40679</v>
      </c>
      <c r="AY49" s="28">
        <v>41044</v>
      </c>
      <c r="AZ49" s="28">
        <v>42870</v>
      </c>
      <c r="BA49" s="28">
        <v>44043</v>
      </c>
      <c r="BB49" s="28" t="s">
        <v>3991</v>
      </c>
      <c r="BC49" s="25"/>
      <c r="BD49" s="25"/>
      <c r="BE49" s="25"/>
      <c r="BF49" s="25"/>
      <c r="BG49" s="25"/>
      <c r="BH49" s="25"/>
      <c r="BI49" s="27"/>
    </row>
    <row r="50" spans="1:61" ht="15.6" x14ac:dyDescent="0.25">
      <c r="A50" s="25">
        <v>48</v>
      </c>
      <c r="B50" s="25" t="s">
        <v>4384</v>
      </c>
      <c r="C50" s="25" t="s">
        <v>3974</v>
      </c>
      <c r="D50" s="26" t="s">
        <v>3975</v>
      </c>
      <c r="E50" s="26" t="s">
        <v>3975</v>
      </c>
      <c r="F50" s="25" t="s">
        <v>376</v>
      </c>
      <c r="G50" s="25"/>
      <c r="H50" s="25"/>
      <c r="I50" s="25"/>
      <c r="J50" s="25" t="s">
        <v>4385</v>
      </c>
      <c r="K50" s="25" t="s">
        <v>361</v>
      </c>
      <c r="L50" s="25" t="s">
        <v>4386</v>
      </c>
      <c r="M50" s="25" t="s">
        <v>4029</v>
      </c>
      <c r="N50" s="27" t="s">
        <v>4387</v>
      </c>
      <c r="O50" s="27" t="s">
        <v>4073</v>
      </c>
      <c r="P50" s="28">
        <v>39524</v>
      </c>
      <c r="Q50" s="28">
        <v>46829</v>
      </c>
      <c r="R50" s="25" t="str">
        <f t="shared" si="5"/>
        <v>男</v>
      </c>
      <c r="S50" s="25" t="s">
        <v>3984</v>
      </c>
      <c r="T50" s="28" t="str">
        <f t="shared" si="1"/>
        <v>1965-11-05</v>
      </c>
      <c r="U50" s="25">
        <f t="shared" ca="1" si="4"/>
        <v>60</v>
      </c>
      <c r="V50" s="25">
        <v>13759189090</v>
      </c>
      <c r="W50" s="28">
        <v>37500</v>
      </c>
      <c r="X50" s="28">
        <v>37500</v>
      </c>
      <c r="Y50" s="29" t="str">
        <f t="shared" ca="1" si="2"/>
        <v>23年7个月</v>
      </c>
      <c r="Z50" s="25" t="s">
        <v>4388</v>
      </c>
      <c r="AA50" s="26" t="str">
        <f t="shared" ca="1" si="3"/>
        <v>32年3个月</v>
      </c>
      <c r="AB50" s="25" t="s">
        <v>29</v>
      </c>
      <c r="AC50" s="25" t="s">
        <v>3985</v>
      </c>
      <c r="AD50" s="25" t="s">
        <v>3986</v>
      </c>
      <c r="AE50" s="25"/>
      <c r="AF50" s="25"/>
      <c r="AG50" s="27"/>
      <c r="AH50" s="25"/>
      <c r="AI50" s="25"/>
      <c r="AJ50" s="25"/>
      <c r="AK50" s="27"/>
      <c r="AL50" s="25" t="s">
        <v>120</v>
      </c>
      <c r="AM50" s="25"/>
      <c r="AN50" s="27" t="s">
        <v>4039</v>
      </c>
      <c r="AO50" s="25" t="s">
        <v>3559</v>
      </c>
      <c r="AP50" s="27"/>
      <c r="AQ50" s="25"/>
      <c r="AR50" s="25"/>
      <c r="AS50" s="26" t="s">
        <v>4011</v>
      </c>
      <c r="AT50" s="25" t="s">
        <v>415</v>
      </c>
      <c r="AU50" s="25" t="s">
        <v>4389</v>
      </c>
      <c r="AV50" s="25" t="s">
        <v>3554</v>
      </c>
      <c r="AW50" s="30">
        <v>46446</v>
      </c>
      <c r="AX50" s="28">
        <v>39448</v>
      </c>
      <c r="AY50" s="25" t="s">
        <v>3991</v>
      </c>
      <c r="AZ50" s="28">
        <v>46446</v>
      </c>
      <c r="BA50" s="28"/>
      <c r="BB50" s="28"/>
      <c r="BC50" s="25"/>
      <c r="BD50" s="25"/>
      <c r="BE50" s="25"/>
      <c r="BF50" s="25"/>
      <c r="BG50" s="25"/>
      <c r="BH50" s="25"/>
      <c r="BI50" s="27"/>
    </row>
    <row r="51" spans="1:61" ht="15.6" x14ac:dyDescent="0.25">
      <c r="A51" s="25">
        <v>49</v>
      </c>
      <c r="B51" s="25" t="s">
        <v>4390</v>
      </c>
      <c r="C51" s="25" t="s">
        <v>4002</v>
      </c>
      <c r="D51" s="26" t="s">
        <v>3975</v>
      </c>
      <c r="E51" s="26" t="s">
        <v>3975</v>
      </c>
      <c r="F51" s="25" t="s">
        <v>376</v>
      </c>
      <c r="G51" s="25"/>
      <c r="H51" s="25"/>
      <c r="I51" s="25"/>
      <c r="J51" s="25" t="s">
        <v>4385</v>
      </c>
      <c r="K51" s="25" t="s">
        <v>361</v>
      </c>
      <c r="L51" s="25" t="s">
        <v>4386</v>
      </c>
      <c r="M51" s="25" t="s">
        <v>4029</v>
      </c>
      <c r="N51" s="27" t="s">
        <v>4391</v>
      </c>
      <c r="O51" s="27" t="s">
        <v>4392</v>
      </c>
      <c r="P51" s="28">
        <v>45874</v>
      </c>
      <c r="Q51" s="28" t="s">
        <v>3983</v>
      </c>
      <c r="R51" s="25" t="str">
        <f t="shared" si="5"/>
        <v>男</v>
      </c>
      <c r="S51" s="25" t="s">
        <v>3984</v>
      </c>
      <c r="T51" s="28" t="str">
        <f t="shared" si="1"/>
        <v>1979-03-14</v>
      </c>
      <c r="U51" s="25">
        <f t="shared" ca="1" si="4"/>
        <v>47</v>
      </c>
      <c r="V51" s="25">
        <v>13888933231</v>
      </c>
      <c r="W51" s="28">
        <v>39441</v>
      </c>
      <c r="X51" s="43">
        <v>39441</v>
      </c>
      <c r="Y51" s="29" t="str">
        <f t="shared" ca="1" si="2"/>
        <v>18年3个月</v>
      </c>
      <c r="Z51" s="25"/>
      <c r="AA51" s="26" t="str">
        <f t="shared" ca="1" si="3"/>
        <v>18年3个月</v>
      </c>
      <c r="AB51" s="25" t="s">
        <v>29</v>
      </c>
      <c r="AC51" s="25" t="s">
        <v>3985</v>
      </c>
      <c r="AD51" s="25" t="s">
        <v>3986</v>
      </c>
      <c r="AE51" s="25"/>
      <c r="AF51" s="25"/>
      <c r="AG51" s="27"/>
      <c r="AH51" s="25"/>
      <c r="AI51" s="25"/>
      <c r="AJ51" s="25"/>
      <c r="AK51" s="27"/>
      <c r="AL51" s="25" t="s">
        <v>81</v>
      </c>
      <c r="AM51" s="25" t="s">
        <v>3987</v>
      </c>
      <c r="AN51" s="27"/>
      <c r="AO51" s="25" t="s">
        <v>4393</v>
      </c>
      <c r="AP51" s="27" t="s">
        <v>4394</v>
      </c>
      <c r="AQ51" s="25"/>
      <c r="AR51" s="25" t="s">
        <v>4316</v>
      </c>
      <c r="AS51" s="26" t="s">
        <v>4011</v>
      </c>
      <c r="AT51" s="25" t="s">
        <v>3277</v>
      </c>
      <c r="AU51" s="25" t="s">
        <v>3278</v>
      </c>
      <c r="AV51" s="25" t="s">
        <v>3278</v>
      </c>
      <c r="AW51" s="30" t="s">
        <v>3991</v>
      </c>
      <c r="AX51" s="28">
        <v>39539</v>
      </c>
      <c r="AY51" s="25" t="s">
        <v>3991</v>
      </c>
      <c r="AZ51" s="28"/>
      <c r="BA51" s="28"/>
      <c r="BB51" s="28"/>
      <c r="BC51" s="25"/>
      <c r="BD51" s="25"/>
      <c r="BE51" s="25"/>
      <c r="BF51" s="25"/>
      <c r="BG51" s="25"/>
      <c r="BH51" s="25"/>
      <c r="BI51" s="27"/>
    </row>
    <row r="52" spans="1:61" ht="15.6" x14ac:dyDescent="0.25">
      <c r="A52" s="25">
        <v>50</v>
      </c>
      <c r="B52" s="25" t="s">
        <v>4395</v>
      </c>
      <c r="C52" s="25" t="s">
        <v>4002</v>
      </c>
      <c r="D52" s="26" t="s">
        <v>3975</v>
      </c>
      <c r="E52" s="26" t="s">
        <v>3975</v>
      </c>
      <c r="F52" s="25" t="s">
        <v>376</v>
      </c>
      <c r="G52" s="25"/>
      <c r="H52" s="25"/>
      <c r="I52" s="25"/>
      <c r="J52" s="25" t="s">
        <v>4385</v>
      </c>
      <c r="K52" s="25" t="s">
        <v>361</v>
      </c>
      <c r="L52" s="25" t="s">
        <v>4386</v>
      </c>
      <c r="M52" s="25" t="s">
        <v>4029</v>
      </c>
      <c r="N52" s="27" t="s">
        <v>4396</v>
      </c>
      <c r="O52" s="27" t="s">
        <v>4397</v>
      </c>
      <c r="P52" s="28">
        <v>43408</v>
      </c>
      <c r="Q52" s="28">
        <v>50713</v>
      </c>
      <c r="R52" s="25" t="str">
        <f t="shared" si="5"/>
        <v>男</v>
      </c>
      <c r="S52" s="25" t="s">
        <v>3984</v>
      </c>
      <c r="T52" s="28" t="str">
        <f t="shared" si="1"/>
        <v>1992-09-15</v>
      </c>
      <c r="U52" s="25">
        <f t="shared" ca="1" si="4"/>
        <v>33</v>
      </c>
      <c r="V52" s="25">
        <v>15912454770</v>
      </c>
      <c r="W52" s="28">
        <v>41061</v>
      </c>
      <c r="X52" s="28">
        <v>41061</v>
      </c>
      <c r="Y52" s="29" t="str">
        <f t="shared" ca="1" si="2"/>
        <v>13年10个月</v>
      </c>
      <c r="Z52" s="25"/>
      <c r="AA52" s="26" t="str">
        <f t="shared" ca="1" si="3"/>
        <v>13年10个月</v>
      </c>
      <c r="AB52" s="25" t="s">
        <v>29</v>
      </c>
      <c r="AC52" s="25" t="s">
        <v>119</v>
      </c>
      <c r="AD52" s="25" t="s">
        <v>4035</v>
      </c>
      <c r="AE52" s="25"/>
      <c r="AF52" s="25"/>
      <c r="AG52" s="27"/>
      <c r="AH52" s="25" t="s">
        <v>4036</v>
      </c>
      <c r="AI52" s="25" t="s">
        <v>2865</v>
      </c>
      <c r="AJ52" s="25" t="s">
        <v>964</v>
      </c>
      <c r="AK52" s="27" t="s">
        <v>4398</v>
      </c>
      <c r="AL52" s="25" t="s">
        <v>81</v>
      </c>
      <c r="AM52" s="25" t="s">
        <v>4038</v>
      </c>
      <c r="AN52" s="27" t="s">
        <v>4039</v>
      </c>
      <c r="AO52" s="25" t="s">
        <v>4062</v>
      </c>
      <c r="AP52" s="27" t="s">
        <v>4399</v>
      </c>
      <c r="AQ52" s="25"/>
      <c r="AR52" s="27" t="s">
        <v>4400</v>
      </c>
      <c r="AS52" s="26" t="s">
        <v>4011</v>
      </c>
      <c r="AT52" s="25" t="s">
        <v>455</v>
      </c>
      <c r="AU52" s="25" t="s">
        <v>4401</v>
      </c>
      <c r="AV52" s="25" t="s">
        <v>4402</v>
      </c>
      <c r="AW52" s="30" t="s">
        <v>3991</v>
      </c>
      <c r="AX52" s="28">
        <v>41061</v>
      </c>
      <c r="AY52" s="28">
        <v>41425</v>
      </c>
      <c r="AZ52" s="28">
        <v>42521</v>
      </c>
      <c r="BA52" s="28" t="s">
        <v>3991</v>
      </c>
      <c r="BB52" s="28"/>
      <c r="BC52" s="25"/>
      <c r="BD52" s="25"/>
      <c r="BE52" s="25"/>
      <c r="BF52" s="25"/>
      <c r="BG52" s="25"/>
      <c r="BH52" s="25"/>
      <c r="BI52" s="27"/>
    </row>
    <row r="53" spans="1:61" ht="15.6" x14ac:dyDescent="0.25">
      <c r="A53" s="25">
        <v>51</v>
      </c>
      <c r="B53" s="25" t="s">
        <v>4403</v>
      </c>
      <c r="C53" s="25" t="s">
        <v>4002</v>
      </c>
      <c r="D53" s="26" t="s">
        <v>3975</v>
      </c>
      <c r="E53" s="26" t="s">
        <v>3975</v>
      </c>
      <c r="F53" s="25" t="s">
        <v>376</v>
      </c>
      <c r="G53" s="25"/>
      <c r="H53" s="25"/>
      <c r="I53" s="25"/>
      <c r="J53" s="25" t="s">
        <v>4385</v>
      </c>
      <c r="K53" s="25" t="s">
        <v>361</v>
      </c>
      <c r="L53" s="25" t="s">
        <v>4386</v>
      </c>
      <c r="M53" s="25" t="s">
        <v>4029</v>
      </c>
      <c r="N53" s="27" t="s">
        <v>4404</v>
      </c>
      <c r="O53" s="27" t="s">
        <v>4405</v>
      </c>
      <c r="P53" s="28">
        <v>43210</v>
      </c>
      <c r="Q53" s="28">
        <v>50515</v>
      </c>
      <c r="R53" s="25" t="str">
        <f t="shared" si="5"/>
        <v>男</v>
      </c>
      <c r="S53" s="25" t="s">
        <v>3984</v>
      </c>
      <c r="T53" s="28" t="str">
        <f t="shared" si="1"/>
        <v>1990-10-11</v>
      </c>
      <c r="U53" s="25">
        <f t="shared" ca="1" si="4"/>
        <v>35</v>
      </c>
      <c r="V53" s="25">
        <v>13669781035</v>
      </c>
      <c r="W53" s="28">
        <v>44835</v>
      </c>
      <c r="X53" s="28">
        <v>41456</v>
      </c>
      <c r="Y53" s="29" t="str">
        <f t="shared" ca="1" si="2"/>
        <v>12年9个月</v>
      </c>
      <c r="Z53" s="25"/>
      <c r="AA53" s="26" t="str">
        <f t="shared" ca="1" si="3"/>
        <v>12年9个月</v>
      </c>
      <c r="AB53" s="25" t="s">
        <v>29</v>
      </c>
      <c r="AC53" s="25" t="s">
        <v>3985</v>
      </c>
      <c r="AD53" s="25" t="s">
        <v>4035</v>
      </c>
      <c r="AE53" s="25"/>
      <c r="AF53" s="25"/>
      <c r="AG53" s="27"/>
      <c r="AH53" s="25"/>
      <c r="AI53" s="25"/>
      <c r="AJ53" s="25"/>
      <c r="AK53" s="27"/>
      <c r="AL53" s="25" t="s">
        <v>305</v>
      </c>
      <c r="AM53" s="25"/>
      <c r="AN53" s="27" t="s">
        <v>4039</v>
      </c>
      <c r="AO53" s="25" t="s">
        <v>4406</v>
      </c>
      <c r="AP53" s="27" t="s">
        <v>4407</v>
      </c>
      <c r="AQ53" s="25"/>
      <c r="AR53" s="25" t="s">
        <v>4408</v>
      </c>
      <c r="AS53" s="26" t="s">
        <v>4011</v>
      </c>
      <c r="AT53" s="25" t="s">
        <v>4137</v>
      </c>
      <c r="AU53" s="25" t="s">
        <v>4409</v>
      </c>
      <c r="AV53" s="25" t="s">
        <v>4410</v>
      </c>
      <c r="AW53" s="30" t="s">
        <v>4000</v>
      </c>
      <c r="AX53" s="28">
        <v>44835</v>
      </c>
      <c r="AY53" s="28" t="s">
        <v>4000</v>
      </c>
      <c r="AZ53" s="28"/>
      <c r="BA53" s="28"/>
      <c r="BB53" s="28"/>
      <c r="BC53" s="28"/>
      <c r="BD53" s="25"/>
      <c r="BE53" s="25"/>
      <c r="BF53" s="25"/>
      <c r="BG53" s="25"/>
      <c r="BH53" s="25"/>
      <c r="BI53" s="27"/>
    </row>
    <row r="54" spans="1:61" ht="15.6" x14ac:dyDescent="0.25">
      <c r="A54" s="25">
        <v>52</v>
      </c>
      <c r="B54" s="25" t="s">
        <v>4411</v>
      </c>
      <c r="C54" s="25" t="s">
        <v>4002</v>
      </c>
      <c r="D54" s="26" t="s">
        <v>3975</v>
      </c>
      <c r="E54" s="26" t="s">
        <v>3975</v>
      </c>
      <c r="F54" s="25" t="s">
        <v>376</v>
      </c>
      <c r="G54" s="25"/>
      <c r="H54" s="25"/>
      <c r="I54" s="25"/>
      <c r="J54" s="25" t="s">
        <v>4385</v>
      </c>
      <c r="K54" s="25" t="s">
        <v>361</v>
      </c>
      <c r="L54" s="25" t="s">
        <v>4386</v>
      </c>
      <c r="M54" s="25" t="s">
        <v>4029</v>
      </c>
      <c r="N54" s="27" t="s">
        <v>4412</v>
      </c>
      <c r="O54" s="27" t="s">
        <v>4413</v>
      </c>
      <c r="P54" s="28">
        <v>43311</v>
      </c>
      <c r="Q54" s="28">
        <v>46964</v>
      </c>
      <c r="R54" s="25" t="str">
        <f t="shared" si="5"/>
        <v>男</v>
      </c>
      <c r="S54" s="25" t="s">
        <v>3984</v>
      </c>
      <c r="T54" s="28" t="str">
        <f t="shared" si="1"/>
        <v>1998-12-13</v>
      </c>
      <c r="U54" s="25">
        <f t="shared" ca="1" si="4"/>
        <v>27</v>
      </c>
      <c r="V54" s="25">
        <v>15887300039</v>
      </c>
      <c r="W54" s="28">
        <v>45463</v>
      </c>
      <c r="X54" s="28">
        <v>45463</v>
      </c>
      <c r="Y54" s="29" t="str">
        <f t="shared" ca="1" si="2"/>
        <v>1年9个月</v>
      </c>
      <c r="Z54" s="25" t="s">
        <v>4414</v>
      </c>
      <c r="AA54" s="26" t="str">
        <f t="shared" ca="1" si="3"/>
        <v>2年4个月</v>
      </c>
      <c r="AB54" s="25" t="s">
        <v>253</v>
      </c>
      <c r="AC54" s="25" t="s">
        <v>272</v>
      </c>
      <c r="AD54" s="25" t="s">
        <v>4035</v>
      </c>
      <c r="AE54" s="25"/>
      <c r="AF54" s="25"/>
      <c r="AG54" s="27"/>
      <c r="AH54" s="25"/>
      <c r="AI54" s="25"/>
      <c r="AJ54" s="25"/>
      <c r="AK54" s="27"/>
      <c r="AL54" s="25" t="s">
        <v>81</v>
      </c>
      <c r="AM54" s="25" t="s">
        <v>3987</v>
      </c>
      <c r="AN54" s="27" t="s">
        <v>4415</v>
      </c>
      <c r="AO54" s="25" t="s">
        <v>4416</v>
      </c>
      <c r="AP54" s="27" t="s">
        <v>4417</v>
      </c>
      <c r="AQ54" s="25"/>
      <c r="AR54" s="25" t="s">
        <v>4418</v>
      </c>
      <c r="AS54" s="26" t="s">
        <v>4088</v>
      </c>
      <c r="AT54" s="25" t="s">
        <v>4419</v>
      </c>
      <c r="AU54" s="25" t="s">
        <v>4420</v>
      </c>
      <c r="AV54" s="25" t="s">
        <v>4420</v>
      </c>
      <c r="AW54" s="30">
        <v>46557</v>
      </c>
      <c r="AX54" s="28">
        <v>45463</v>
      </c>
      <c r="AY54" s="28">
        <v>46557</v>
      </c>
      <c r="AZ54" s="28"/>
      <c r="BA54" s="28"/>
      <c r="BB54" s="28"/>
      <c r="BC54" s="28"/>
      <c r="BD54" s="25"/>
      <c r="BE54" s="25"/>
      <c r="BF54" s="25"/>
      <c r="BG54" s="25"/>
      <c r="BH54" s="25"/>
      <c r="BI54" s="27"/>
    </row>
    <row r="55" spans="1:61" ht="15.6" x14ac:dyDescent="0.25">
      <c r="A55" s="25">
        <v>53</v>
      </c>
      <c r="B55" s="25" t="s">
        <v>4421</v>
      </c>
      <c r="C55" s="25" t="s">
        <v>4002</v>
      </c>
      <c r="D55" s="26" t="s">
        <v>3975</v>
      </c>
      <c r="E55" s="26" t="s">
        <v>3975</v>
      </c>
      <c r="F55" s="25" t="s">
        <v>376</v>
      </c>
      <c r="G55" s="25"/>
      <c r="H55" s="25"/>
      <c r="I55" s="25"/>
      <c r="J55" s="25" t="s">
        <v>4422</v>
      </c>
      <c r="K55" s="25" t="s">
        <v>361</v>
      </c>
      <c r="L55" s="25" t="s">
        <v>4423</v>
      </c>
      <c r="M55" s="25" t="s">
        <v>4029</v>
      </c>
      <c r="N55" s="27" t="s">
        <v>4424</v>
      </c>
      <c r="O55" s="27" t="s">
        <v>4031</v>
      </c>
      <c r="P55" s="28">
        <v>44288</v>
      </c>
      <c r="Q55" s="28">
        <v>51593</v>
      </c>
      <c r="R55" s="25" t="str">
        <f t="shared" si="5"/>
        <v>男</v>
      </c>
      <c r="S55" s="25" t="s">
        <v>4032</v>
      </c>
      <c r="T55" s="28" t="str">
        <f t="shared" si="1"/>
        <v>1990-09-25</v>
      </c>
      <c r="U55" s="25">
        <f t="shared" ca="1" si="4"/>
        <v>35</v>
      </c>
      <c r="V55" s="25">
        <v>15887859881</v>
      </c>
      <c r="W55" s="28">
        <v>42171</v>
      </c>
      <c r="X55" s="28">
        <v>42171</v>
      </c>
      <c r="Y55" s="29" t="str">
        <f t="shared" ca="1" si="2"/>
        <v>10年9个月</v>
      </c>
      <c r="Z55" s="25" t="s">
        <v>1287</v>
      </c>
      <c r="AA55" s="26" t="str">
        <f t="shared" ca="1" si="3"/>
        <v>12年0个月</v>
      </c>
      <c r="AB55" s="25" t="s">
        <v>4034</v>
      </c>
      <c r="AC55" s="25" t="s">
        <v>3985</v>
      </c>
      <c r="AD55" s="25" t="s">
        <v>4035</v>
      </c>
      <c r="AE55" s="25"/>
      <c r="AF55" s="25"/>
      <c r="AG55" s="27"/>
      <c r="AH55" s="25"/>
      <c r="AI55" s="25"/>
      <c r="AJ55" s="25"/>
      <c r="AK55" s="27"/>
      <c r="AL55" s="25" t="s">
        <v>81</v>
      </c>
      <c r="AM55" s="25" t="s">
        <v>4038</v>
      </c>
      <c r="AN55" s="27" t="s">
        <v>4039</v>
      </c>
      <c r="AO55" s="25" t="s">
        <v>4425</v>
      </c>
      <c r="AP55" s="27" t="s">
        <v>4426</v>
      </c>
      <c r="AQ55" s="25"/>
      <c r="AR55" s="27" t="s">
        <v>4106</v>
      </c>
      <c r="AS55" s="26" t="s">
        <v>3990</v>
      </c>
      <c r="AT55" s="25" t="s">
        <v>4043</v>
      </c>
      <c r="AU55" s="25" t="s">
        <v>4427</v>
      </c>
      <c r="AV55" s="25" t="s">
        <v>4428</v>
      </c>
      <c r="AW55" s="30">
        <v>47330</v>
      </c>
      <c r="AX55" s="28">
        <v>42171</v>
      </c>
      <c r="AY55" s="28">
        <v>42490</v>
      </c>
      <c r="AZ55" s="28">
        <v>43585</v>
      </c>
      <c r="BA55" s="28">
        <v>45504</v>
      </c>
      <c r="BB55" s="28">
        <v>47330</v>
      </c>
      <c r="BC55" s="25"/>
      <c r="BD55" s="25"/>
      <c r="BE55" s="25"/>
      <c r="BF55" s="25"/>
      <c r="BG55" s="25"/>
      <c r="BH55" s="25"/>
      <c r="BI55" s="27"/>
    </row>
    <row r="56" spans="1:61" ht="15.6" x14ac:dyDescent="0.25">
      <c r="A56" s="25">
        <v>54</v>
      </c>
      <c r="B56" s="25" t="s">
        <v>4429</v>
      </c>
      <c r="C56" s="25" t="s">
        <v>4002</v>
      </c>
      <c r="D56" s="26" t="s">
        <v>3975</v>
      </c>
      <c r="E56" s="26" t="s">
        <v>3975</v>
      </c>
      <c r="F56" s="25" t="s">
        <v>376</v>
      </c>
      <c r="G56" s="25"/>
      <c r="H56" s="25"/>
      <c r="I56" s="25"/>
      <c r="J56" s="25" t="s">
        <v>4230</v>
      </c>
      <c r="K56" s="25" t="s">
        <v>361</v>
      </c>
      <c r="L56" s="25" t="s">
        <v>4423</v>
      </c>
      <c r="M56" s="25" t="s">
        <v>4029</v>
      </c>
      <c r="N56" s="27" t="s">
        <v>4430</v>
      </c>
      <c r="O56" s="27" t="s">
        <v>4031</v>
      </c>
      <c r="P56" s="28">
        <v>43368</v>
      </c>
      <c r="Q56" s="28">
        <v>47021</v>
      </c>
      <c r="R56" s="25" t="str">
        <f t="shared" si="5"/>
        <v>女</v>
      </c>
      <c r="S56" s="25" t="s">
        <v>3984</v>
      </c>
      <c r="T56" s="28" t="str">
        <f t="shared" si="1"/>
        <v>1993-07-04</v>
      </c>
      <c r="U56" s="25">
        <f t="shared" ca="1" si="4"/>
        <v>32</v>
      </c>
      <c r="V56" s="25">
        <v>13619689816</v>
      </c>
      <c r="W56" s="28">
        <v>42584</v>
      </c>
      <c r="X56" s="45">
        <v>42584</v>
      </c>
      <c r="Y56" s="29" t="str">
        <f t="shared" ca="1" si="2"/>
        <v>9年8个月</v>
      </c>
      <c r="Z56" s="25"/>
      <c r="AA56" s="26" t="str">
        <f t="shared" ca="1" si="3"/>
        <v>9年8个月</v>
      </c>
      <c r="AB56" s="25" t="s">
        <v>4034</v>
      </c>
      <c r="AC56" s="25" t="s">
        <v>119</v>
      </c>
      <c r="AD56" s="25" t="s">
        <v>3986</v>
      </c>
      <c r="AE56" s="25" t="s">
        <v>692</v>
      </c>
      <c r="AF56" s="25" t="s">
        <v>1012</v>
      </c>
      <c r="AG56" s="27" t="s">
        <v>4431</v>
      </c>
      <c r="AH56" s="25"/>
      <c r="AI56" s="25"/>
      <c r="AJ56" s="25"/>
      <c r="AK56" s="27"/>
      <c r="AL56" s="25" t="s">
        <v>81</v>
      </c>
      <c r="AM56" s="25" t="s">
        <v>3987</v>
      </c>
      <c r="AN56" s="27" t="s">
        <v>4432</v>
      </c>
      <c r="AO56" s="25" t="s">
        <v>4433</v>
      </c>
      <c r="AP56" s="27" t="s">
        <v>4434</v>
      </c>
      <c r="AQ56" s="25"/>
      <c r="AR56" s="25" t="s">
        <v>4418</v>
      </c>
      <c r="AS56" s="26" t="s">
        <v>4011</v>
      </c>
      <c r="AT56" s="25" t="s">
        <v>4043</v>
      </c>
      <c r="AU56" s="25" t="s">
        <v>4435</v>
      </c>
      <c r="AV56" s="25" t="s">
        <v>4436</v>
      </c>
      <c r="AW56" s="30">
        <v>47695</v>
      </c>
      <c r="AX56" s="28">
        <v>42584</v>
      </c>
      <c r="AY56" s="28">
        <v>43678</v>
      </c>
      <c r="AZ56" s="28">
        <v>44773</v>
      </c>
      <c r="BA56" s="28">
        <v>45869</v>
      </c>
      <c r="BB56" s="28">
        <v>47695</v>
      </c>
      <c r="BC56" s="33"/>
      <c r="BD56" s="33"/>
      <c r="BE56" s="33"/>
      <c r="BF56" s="33"/>
      <c r="BG56" s="33"/>
      <c r="BH56" s="33"/>
      <c r="BI56" s="33"/>
    </row>
    <row r="57" spans="1:61" ht="15.6" x14ac:dyDescent="0.25">
      <c r="A57" s="25">
        <v>55</v>
      </c>
      <c r="B57" s="25" t="s">
        <v>4437</v>
      </c>
      <c r="C57" s="25" t="s">
        <v>4002</v>
      </c>
      <c r="D57" s="26" t="s">
        <v>3975</v>
      </c>
      <c r="E57" s="26" t="s">
        <v>3975</v>
      </c>
      <c r="F57" s="25" t="s">
        <v>376</v>
      </c>
      <c r="G57" s="25"/>
      <c r="H57" s="25"/>
      <c r="I57" s="25"/>
      <c r="J57" s="25" t="s">
        <v>4230</v>
      </c>
      <c r="K57" s="25" t="s">
        <v>361</v>
      </c>
      <c r="L57" s="25" t="s">
        <v>4423</v>
      </c>
      <c r="M57" s="25" t="s">
        <v>4029</v>
      </c>
      <c r="N57" s="27" t="s">
        <v>4438</v>
      </c>
      <c r="O57" s="27" t="s">
        <v>4031</v>
      </c>
      <c r="P57" s="28">
        <v>45475</v>
      </c>
      <c r="Q57" s="28">
        <v>52780</v>
      </c>
      <c r="R57" s="25" t="str">
        <f t="shared" si="5"/>
        <v>男</v>
      </c>
      <c r="S57" s="25" t="s">
        <v>4032</v>
      </c>
      <c r="T57" s="28" t="str">
        <f t="shared" si="1"/>
        <v>1990-12-12</v>
      </c>
      <c r="U57" s="25">
        <f t="shared" ca="1" si="4"/>
        <v>35</v>
      </c>
      <c r="V57" s="25">
        <v>13099992915</v>
      </c>
      <c r="W57" s="28">
        <v>45922</v>
      </c>
      <c r="X57" s="45">
        <v>45922</v>
      </c>
      <c r="Y57" s="29" t="str">
        <f t="shared" ca="1" si="2"/>
        <v>0年6个月</v>
      </c>
      <c r="Z57" s="25" t="s">
        <v>4332</v>
      </c>
      <c r="AA57" s="26" t="str">
        <f t="shared" ca="1" si="3"/>
        <v>7年7个月</v>
      </c>
      <c r="AB57" s="25" t="s">
        <v>4049</v>
      </c>
      <c r="AC57" s="25" t="s">
        <v>119</v>
      </c>
      <c r="AD57" s="25" t="s">
        <v>4084</v>
      </c>
      <c r="AE57" s="25"/>
      <c r="AF57" s="25"/>
      <c r="AG57" s="27"/>
      <c r="AH57" s="25"/>
      <c r="AI57" s="25"/>
      <c r="AJ57" s="25"/>
      <c r="AK57" s="27"/>
      <c r="AL57" s="25" t="s">
        <v>87</v>
      </c>
      <c r="AM57" s="25" t="s">
        <v>3987</v>
      </c>
      <c r="AN57" s="27" t="s">
        <v>4439</v>
      </c>
      <c r="AO57" s="25" t="s">
        <v>4440</v>
      </c>
      <c r="AP57" s="27"/>
      <c r="AQ57" s="25"/>
      <c r="AR57" s="25" t="s">
        <v>4441</v>
      </c>
      <c r="AS57" s="26" t="s">
        <v>4011</v>
      </c>
      <c r="AT57" s="25" t="s">
        <v>4043</v>
      </c>
      <c r="AU57" s="25" t="s">
        <v>4442</v>
      </c>
      <c r="AV57" s="25" t="s">
        <v>4442</v>
      </c>
      <c r="AW57" s="30">
        <v>46286</v>
      </c>
      <c r="AX57" s="28">
        <v>45922</v>
      </c>
      <c r="AY57" s="28">
        <v>46286</v>
      </c>
      <c r="AZ57" s="28"/>
      <c r="BA57" s="28"/>
      <c r="BB57" s="28"/>
      <c r="BC57" s="33"/>
      <c r="BD57" s="33"/>
      <c r="BE57" s="33"/>
      <c r="BF57" s="33"/>
      <c r="BG57" s="33"/>
      <c r="BH57" s="33"/>
      <c r="BI57" s="33"/>
    </row>
    <row r="58" spans="1:61" ht="15.6" x14ac:dyDescent="0.25">
      <c r="A58" s="25">
        <v>56</v>
      </c>
      <c r="B58" s="25" t="s">
        <v>4443</v>
      </c>
      <c r="C58" s="25" t="s">
        <v>4002</v>
      </c>
      <c r="D58" s="26" t="s">
        <v>3975</v>
      </c>
      <c r="E58" s="26" t="s">
        <v>3975</v>
      </c>
      <c r="F58" s="25" t="s">
        <v>4444</v>
      </c>
      <c r="G58" s="25"/>
      <c r="H58" s="25"/>
      <c r="I58" s="25"/>
      <c r="J58" s="25" t="s">
        <v>4445</v>
      </c>
      <c r="K58" s="25" t="s">
        <v>676</v>
      </c>
      <c r="L58" s="25" t="s">
        <v>4071</v>
      </c>
      <c r="M58" s="25" t="s">
        <v>4017</v>
      </c>
      <c r="N58" s="27" t="s">
        <v>4446</v>
      </c>
      <c r="O58" s="27" t="s">
        <v>3981</v>
      </c>
      <c r="P58" s="28">
        <v>38879</v>
      </c>
      <c r="Q58" s="28">
        <v>46184</v>
      </c>
      <c r="R58" s="25" t="str">
        <f t="shared" si="5"/>
        <v>男</v>
      </c>
      <c r="S58" s="25" t="s">
        <v>3984</v>
      </c>
      <c r="T58" s="28" t="str">
        <f t="shared" si="1"/>
        <v>1969-09-10</v>
      </c>
      <c r="U58" s="25">
        <f t="shared" ca="1" si="4"/>
        <v>56</v>
      </c>
      <c r="V58" s="25">
        <v>13888308180</v>
      </c>
      <c r="W58" s="28">
        <v>38248</v>
      </c>
      <c r="X58" s="43">
        <v>38248</v>
      </c>
      <c r="Y58" s="29" t="str">
        <f t="shared" ca="1" si="2"/>
        <v>21年6个月</v>
      </c>
      <c r="Z58" s="25" t="s">
        <v>4272</v>
      </c>
      <c r="AA58" s="26" t="str">
        <f t="shared" ca="1" si="3"/>
        <v>31年10个月</v>
      </c>
      <c r="AB58" s="25" t="s">
        <v>29</v>
      </c>
      <c r="AC58" s="25" t="s">
        <v>3985</v>
      </c>
      <c r="AD58" s="25" t="s">
        <v>3986</v>
      </c>
      <c r="AE58" s="25" t="s">
        <v>3525</v>
      </c>
      <c r="AF58" s="25" t="s">
        <v>1012</v>
      </c>
      <c r="AG58" s="27" t="s">
        <v>4177</v>
      </c>
      <c r="AH58" s="25"/>
      <c r="AI58" s="25"/>
      <c r="AJ58" s="25"/>
      <c r="AK58" s="27"/>
      <c r="AL58" s="25" t="s">
        <v>87</v>
      </c>
      <c r="AM58" s="25" t="s">
        <v>4038</v>
      </c>
      <c r="AN58" s="27" t="s">
        <v>4039</v>
      </c>
      <c r="AO58" s="25" t="s">
        <v>4062</v>
      </c>
      <c r="AP58" s="27" t="s">
        <v>4447</v>
      </c>
      <c r="AQ58" s="25"/>
      <c r="AR58" s="25" t="s">
        <v>4448</v>
      </c>
      <c r="AS58" s="26" t="s">
        <v>4011</v>
      </c>
      <c r="AT58" s="25" t="s">
        <v>668</v>
      </c>
      <c r="AU58" s="25" t="s">
        <v>3524</v>
      </c>
      <c r="AV58" s="25" t="s">
        <v>3524</v>
      </c>
      <c r="AW58" s="30" t="s">
        <v>3991</v>
      </c>
      <c r="AX58" s="28">
        <v>39448</v>
      </c>
      <c r="AY58" s="25" t="s">
        <v>3991</v>
      </c>
      <c r="AZ58" s="25"/>
      <c r="BA58" s="25"/>
      <c r="BB58" s="25"/>
      <c r="BC58" s="25"/>
      <c r="BD58" s="25"/>
      <c r="BE58" s="25"/>
      <c r="BF58" s="25"/>
      <c r="BG58" s="25"/>
      <c r="BH58" s="25"/>
      <c r="BI58" s="27"/>
    </row>
    <row r="59" spans="1:61" ht="15.6" x14ac:dyDescent="0.25">
      <c r="A59" s="25">
        <v>57</v>
      </c>
      <c r="B59" s="25" t="s">
        <v>4449</v>
      </c>
      <c r="C59" s="25" t="s">
        <v>4002</v>
      </c>
      <c r="D59" s="26" t="s">
        <v>3975</v>
      </c>
      <c r="E59" s="26" t="s">
        <v>3975</v>
      </c>
      <c r="F59" s="25" t="s">
        <v>4444</v>
      </c>
      <c r="G59" s="25"/>
      <c r="H59" s="25"/>
      <c r="I59" s="25"/>
      <c r="J59" s="47" t="s">
        <v>4450</v>
      </c>
      <c r="K59" s="25" t="s">
        <v>361</v>
      </c>
      <c r="L59" s="25" t="s">
        <v>1553</v>
      </c>
      <c r="M59" s="25" t="s">
        <v>4029</v>
      </c>
      <c r="N59" s="27" t="s">
        <v>4451</v>
      </c>
      <c r="O59" s="27" t="s">
        <v>4452</v>
      </c>
      <c r="P59" s="28">
        <v>39134</v>
      </c>
      <c r="Q59" s="28">
        <v>46439</v>
      </c>
      <c r="R59" s="25" t="str">
        <f t="shared" si="5"/>
        <v>男</v>
      </c>
      <c r="S59" s="25" t="s">
        <v>4254</v>
      </c>
      <c r="T59" s="28" t="str">
        <f t="shared" si="1"/>
        <v>1974-09-12</v>
      </c>
      <c r="U59" s="25">
        <f t="shared" ca="1" si="4"/>
        <v>51</v>
      </c>
      <c r="V59" s="25">
        <v>18287127806</v>
      </c>
      <c r="W59" s="28">
        <v>41290</v>
      </c>
      <c r="X59" s="43">
        <v>41290</v>
      </c>
      <c r="Y59" s="29" t="str">
        <f t="shared" ca="1" si="2"/>
        <v>13年2个月</v>
      </c>
      <c r="Z59" s="25" t="s">
        <v>4453</v>
      </c>
      <c r="AA59" s="26" t="str">
        <f t="shared" ca="1" si="3"/>
        <v>18年2个月</v>
      </c>
      <c r="AB59" s="25" t="s">
        <v>29</v>
      </c>
      <c r="AC59" s="25" t="s">
        <v>3985</v>
      </c>
      <c r="AD59" s="25" t="s">
        <v>3986</v>
      </c>
      <c r="AE59" s="25"/>
      <c r="AF59" s="25"/>
      <c r="AG59" s="27"/>
      <c r="AH59" s="25"/>
      <c r="AI59" s="25"/>
      <c r="AJ59" s="25"/>
      <c r="AK59" s="27"/>
      <c r="AL59" s="25" t="s">
        <v>81</v>
      </c>
      <c r="AM59" s="25" t="s">
        <v>3987</v>
      </c>
      <c r="AN59" s="27"/>
      <c r="AO59" s="25" t="s">
        <v>4062</v>
      </c>
      <c r="AP59" s="27" t="s">
        <v>4454</v>
      </c>
      <c r="AQ59" s="25"/>
      <c r="AR59" s="25" t="s">
        <v>4455</v>
      </c>
      <c r="AS59" s="26" t="s">
        <v>3990</v>
      </c>
      <c r="AT59" s="25" t="s">
        <v>4456</v>
      </c>
      <c r="AU59" s="25" t="s">
        <v>2817</v>
      </c>
      <c r="AV59" s="25" t="s">
        <v>2817</v>
      </c>
      <c r="AW59" s="30" t="s">
        <v>3991</v>
      </c>
      <c r="AX59" s="28">
        <v>41290</v>
      </c>
      <c r="AY59" s="28">
        <v>41654</v>
      </c>
      <c r="AZ59" s="28">
        <v>43480</v>
      </c>
      <c r="BA59" s="28">
        <v>44773</v>
      </c>
      <c r="BB59" s="28">
        <v>45869</v>
      </c>
      <c r="BC59" s="25" t="s">
        <v>3991</v>
      </c>
      <c r="BD59" s="25"/>
      <c r="BE59" s="25"/>
      <c r="BF59" s="25"/>
      <c r="BG59" s="25"/>
      <c r="BH59" s="25"/>
      <c r="BI59" s="27"/>
    </row>
    <row r="60" spans="1:61" ht="15.6" x14ac:dyDescent="0.25">
      <c r="A60" s="25">
        <v>58</v>
      </c>
      <c r="B60" s="25" t="s">
        <v>4457</v>
      </c>
      <c r="C60" s="25" t="s">
        <v>4002</v>
      </c>
      <c r="D60" s="26" t="s">
        <v>3975</v>
      </c>
      <c r="E60" s="26" t="s">
        <v>3975</v>
      </c>
      <c r="F60" s="25" t="s">
        <v>4444</v>
      </c>
      <c r="G60" s="25"/>
      <c r="H60" s="25"/>
      <c r="I60" s="25"/>
      <c r="J60" s="47" t="s">
        <v>4458</v>
      </c>
      <c r="K60" s="25" t="s">
        <v>361</v>
      </c>
      <c r="L60" s="25" t="s">
        <v>1553</v>
      </c>
      <c r="M60" s="25" t="s">
        <v>4029</v>
      </c>
      <c r="N60" s="27" t="s">
        <v>4459</v>
      </c>
      <c r="O60" s="27" t="s">
        <v>4460</v>
      </c>
      <c r="P60" s="28">
        <v>42976</v>
      </c>
      <c r="Q60" s="28">
        <v>50281</v>
      </c>
      <c r="R60" s="25" t="str">
        <f t="shared" si="5"/>
        <v>男</v>
      </c>
      <c r="S60" s="25" t="s">
        <v>4082</v>
      </c>
      <c r="T60" s="28" t="str">
        <f t="shared" si="1"/>
        <v>1982-09-15</v>
      </c>
      <c r="U60" s="25">
        <f t="shared" ca="1" si="4"/>
        <v>43</v>
      </c>
      <c r="V60" s="25">
        <v>15987104100</v>
      </c>
      <c r="W60" s="28">
        <v>38852</v>
      </c>
      <c r="X60" s="28">
        <v>38852</v>
      </c>
      <c r="Y60" s="29" t="str">
        <f t="shared" ca="1" si="2"/>
        <v>19年10个月</v>
      </c>
      <c r="Z60" s="25"/>
      <c r="AA60" s="26" t="str">
        <f t="shared" ca="1" si="3"/>
        <v>19年10个月</v>
      </c>
      <c r="AB60" s="25" t="s">
        <v>4034</v>
      </c>
      <c r="AC60" s="25" t="s">
        <v>3985</v>
      </c>
      <c r="AD60" s="25" t="s">
        <v>3986</v>
      </c>
      <c r="AE60" s="25" t="s">
        <v>1654</v>
      </c>
      <c r="AF60" s="25" t="s">
        <v>437</v>
      </c>
      <c r="AG60" s="27" t="s">
        <v>3846</v>
      </c>
      <c r="AH60" s="25"/>
      <c r="AI60" s="25"/>
      <c r="AJ60" s="25"/>
      <c r="AK60" s="27"/>
      <c r="AL60" s="25" t="s">
        <v>81</v>
      </c>
      <c r="AM60" s="25" t="s">
        <v>3987</v>
      </c>
      <c r="AN60" s="27" t="s">
        <v>4461</v>
      </c>
      <c r="AO60" s="25" t="s">
        <v>4462</v>
      </c>
      <c r="AP60" s="27" t="s">
        <v>4463</v>
      </c>
      <c r="AQ60" s="25">
        <v>211</v>
      </c>
      <c r="AR60" s="25" t="s">
        <v>4464</v>
      </c>
      <c r="AS60" s="26" t="s">
        <v>4011</v>
      </c>
      <c r="AT60" s="25" t="s">
        <v>4419</v>
      </c>
      <c r="AU60" s="25" t="s">
        <v>4465</v>
      </c>
      <c r="AV60" s="25" t="s">
        <v>4466</v>
      </c>
      <c r="AW60" s="30" t="s">
        <v>3991</v>
      </c>
      <c r="AX60" s="28">
        <v>39769</v>
      </c>
      <c r="AY60" s="28" t="s">
        <v>3991</v>
      </c>
      <c r="AZ60" s="28"/>
      <c r="BA60" s="28"/>
      <c r="BB60" s="28"/>
      <c r="BC60" s="25"/>
      <c r="BD60" s="25"/>
      <c r="BE60" s="25"/>
      <c r="BF60" s="25"/>
      <c r="BG60" s="25"/>
      <c r="BH60" s="25"/>
      <c r="BI60" s="27"/>
    </row>
    <row r="61" spans="1:61" ht="15.6" x14ac:dyDescent="0.25">
      <c r="A61" s="25">
        <v>59</v>
      </c>
      <c r="B61" s="25" t="s">
        <v>4467</v>
      </c>
      <c r="C61" s="25" t="s">
        <v>4002</v>
      </c>
      <c r="D61" s="26" t="s">
        <v>3975</v>
      </c>
      <c r="E61" s="26" t="s">
        <v>3975</v>
      </c>
      <c r="F61" s="25" t="s">
        <v>4444</v>
      </c>
      <c r="G61" s="25"/>
      <c r="H61" s="25"/>
      <c r="I61" s="25"/>
      <c r="J61" s="47" t="s">
        <v>4458</v>
      </c>
      <c r="K61" s="25" t="s">
        <v>361</v>
      </c>
      <c r="L61" s="25" t="s">
        <v>1553</v>
      </c>
      <c r="M61" s="25" t="s">
        <v>4029</v>
      </c>
      <c r="N61" s="27" t="s">
        <v>4468</v>
      </c>
      <c r="O61" s="27" t="s">
        <v>4005</v>
      </c>
      <c r="P61" s="28">
        <v>43143</v>
      </c>
      <c r="Q61" s="28">
        <v>50448</v>
      </c>
      <c r="R61" s="25" t="str">
        <f t="shared" si="5"/>
        <v>男</v>
      </c>
      <c r="S61" s="25" t="s">
        <v>4082</v>
      </c>
      <c r="T61" s="28" t="str">
        <f t="shared" si="1"/>
        <v>1987-10-19</v>
      </c>
      <c r="U61" s="25">
        <f t="shared" ca="1" si="4"/>
        <v>38</v>
      </c>
      <c r="V61" s="25">
        <v>18063845354</v>
      </c>
      <c r="W61" s="28">
        <v>45908</v>
      </c>
      <c r="X61" s="28">
        <v>45908</v>
      </c>
      <c r="Y61" s="29" t="str">
        <f t="shared" ca="1" si="2"/>
        <v>0年7个月</v>
      </c>
      <c r="Z61" s="25" t="s">
        <v>442</v>
      </c>
      <c r="AA61" s="26" t="str">
        <f t="shared" ca="1" si="3"/>
        <v>15年5个月</v>
      </c>
      <c r="AB61" s="25" t="s">
        <v>4034</v>
      </c>
      <c r="AC61" s="25" t="s">
        <v>28</v>
      </c>
      <c r="AD61" s="25" t="s">
        <v>4084</v>
      </c>
      <c r="AE61" s="25" t="s">
        <v>4469</v>
      </c>
      <c r="AF61" s="25" t="s">
        <v>437</v>
      </c>
      <c r="AG61" s="27" t="s">
        <v>4470</v>
      </c>
      <c r="AH61" s="25"/>
      <c r="AI61" s="25"/>
      <c r="AJ61" s="25"/>
      <c r="AK61" s="27"/>
      <c r="AL61" s="25" t="s">
        <v>81</v>
      </c>
      <c r="AM61" s="25" t="s">
        <v>3987</v>
      </c>
      <c r="AN61" s="27" t="s">
        <v>4471</v>
      </c>
      <c r="AO61" s="25" t="s">
        <v>4472</v>
      </c>
      <c r="AP61" s="27" t="s">
        <v>4473</v>
      </c>
      <c r="AQ61" s="25" t="s">
        <v>4474</v>
      </c>
      <c r="AR61" s="25" t="s">
        <v>4475</v>
      </c>
      <c r="AS61" s="26" t="s">
        <v>4011</v>
      </c>
      <c r="AT61" s="25" t="s">
        <v>4476</v>
      </c>
      <c r="AU61" s="25" t="s">
        <v>4477</v>
      </c>
      <c r="AV61" s="25" t="s">
        <v>4477</v>
      </c>
      <c r="AW61" s="30">
        <v>46272</v>
      </c>
      <c r="AX61" s="28">
        <v>45908</v>
      </c>
      <c r="AY61" s="28">
        <v>46272</v>
      </c>
      <c r="AZ61" s="28"/>
      <c r="BA61" s="28"/>
      <c r="BB61" s="28"/>
      <c r="BC61" s="25"/>
      <c r="BD61" s="25"/>
      <c r="BE61" s="25"/>
      <c r="BF61" s="25"/>
      <c r="BG61" s="25"/>
      <c r="BH61" s="25"/>
      <c r="BI61" s="27"/>
    </row>
    <row r="62" spans="1:61" ht="15.6" x14ac:dyDescent="0.25">
      <c r="A62" s="25">
        <v>60</v>
      </c>
      <c r="B62" s="25" t="s">
        <v>4478</v>
      </c>
      <c r="C62" s="25" t="s">
        <v>4002</v>
      </c>
      <c r="D62" s="26" t="s">
        <v>3975</v>
      </c>
      <c r="E62" s="26" t="s">
        <v>3975</v>
      </c>
      <c r="F62" s="25" t="s">
        <v>4444</v>
      </c>
      <c r="G62" s="25"/>
      <c r="H62" s="25"/>
      <c r="I62" s="25"/>
      <c r="J62" s="47" t="s">
        <v>4458</v>
      </c>
      <c r="K62" s="25" t="s">
        <v>361</v>
      </c>
      <c r="L62" s="25" t="s">
        <v>1553</v>
      </c>
      <c r="M62" s="25" t="s">
        <v>4029</v>
      </c>
      <c r="N62" s="27" t="s">
        <v>4479</v>
      </c>
      <c r="O62" s="27" t="s">
        <v>4073</v>
      </c>
      <c r="P62" s="28">
        <v>43488</v>
      </c>
      <c r="Q62" s="28">
        <v>47141</v>
      </c>
      <c r="R62" s="25" t="str">
        <f>IF(MOD(RIGHT(LEFT(N62,17)),2),"男","女")</f>
        <v>男</v>
      </c>
      <c r="S62" s="25" t="s">
        <v>3984</v>
      </c>
      <c r="T62" s="28" t="str">
        <f>TEXT(MID(N62,7,6+(LEN(N62)=18)*2),"0-00-00")</f>
        <v>1999-07-05</v>
      </c>
      <c r="U62" s="25">
        <f ca="1">DATEDIF(T62,TODAY(),"Y")</f>
        <v>26</v>
      </c>
      <c r="V62" s="25">
        <v>13669702096</v>
      </c>
      <c r="W62" s="28">
        <v>45909</v>
      </c>
      <c r="X62" s="28">
        <v>45909</v>
      </c>
      <c r="Y62" s="29" t="str">
        <f ca="1">DATEDIF(X62,TODAY(),"Y")&amp;"年"&amp;TEXT(DATEDIF(X62,TODAY(),"YM"),"0")&amp;"个月"</f>
        <v>0年7个月</v>
      </c>
      <c r="Z62" s="25" t="s">
        <v>4480</v>
      </c>
      <c r="AA62" s="26"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5" t="s">
        <v>4049</v>
      </c>
      <c r="AC62" s="25" t="s">
        <v>28</v>
      </c>
      <c r="AD62" s="25" t="s">
        <v>4084</v>
      </c>
      <c r="AE62" s="25" t="s">
        <v>4481</v>
      </c>
      <c r="AF62" s="25" t="s">
        <v>4050</v>
      </c>
      <c r="AG62" s="27" t="s">
        <v>4482</v>
      </c>
      <c r="AH62" s="25"/>
      <c r="AI62" s="25"/>
      <c r="AJ62" s="25"/>
      <c r="AK62" s="27"/>
      <c r="AL62" s="25" t="s">
        <v>81</v>
      </c>
      <c r="AM62" s="25" t="s">
        <v>3987</v>
      </c>
      <c r="AN62" s="27" t="s">
        <v>4483</v>
      </c>
      <c r="AO62" s="25" t="s">
        <v>4484</v>
      </c>
      <c r="AP62" s="27" t="s">
        <v>4485</v>
      </c>
      <c r="AQ62" s="25">
        <v>211</v>
      </c>
      <c r="AR62" s="27" t="s">
        <v>4486</v>
      </c>
      <c r="AS62" s="26" t="s">
        <v>4011</v>
      </c>
      <c r="AT62" s="25" t="s">
        <v>4487</v>
      </c>
      <c r="AU62" s="25" t="s">
        <v>4488</v>
      </c>
      <c r="AV62" s="25" t="s">
        <v>4488</v>
      </c>
      <c r="AW62" s="30">
        <v>46273</v>
      </c>
      <c r="AX62" s="28">
        <v>45909</v>
      </c>
      <c r="AY62" s="28">
        <v>46273</v>
      </c>
      <c r="AZ62" s="28"/>
      <c r="BA62" s="28"/>
      <c r="BB62" s="28"/>
      <c r="BC62" s="25"/>
      <c r="BD62" s="25"/>
      <c r="BE62" s="25"/>
      <c r="BF62" s="25"/>
      <c r="BG62" s="25"/>
      <c r="BH62" s="25"/>
      <c r="BI62" s="27"/>
    </row>
    <row r="63" spans="1:61" ht="15.6" x14ac:dyDescent="0.25">
      <c r="A63" s="25">
        <v>61</v>
      </c>
      <c r="B63" s="25" t="s">
        <v>4489</v>
      </c>
      <c r="C63" s="25" t="s">
        <v>4002</v>
      </c>
      <c r="D63" s="26" t="s">
        <v>3975</v>
      </c>
      <c r="E63" s="26" t="s">
        <v>3975</v>
      </c>
      <c r="F63" s="25" t="s">
        <v>4444</v>
      </c>
      <c r="G63" s="25"/>
      <c r="H63" s="25"/>
      <c r="I63" s="25"/>
      <c r="J63" s="47" t="s">
        <v>3329</v>
      </c>
      <c r="K63" s="25" t="s">
        <v>361</v>
      </c>
      <c r="L63" s="25" t="s">
        <v>4423</v>
      </c>
      <c r="M63" s="25" t="s">
        <v>4029</v>
      </c>
      <c r="N63" s="27" t="s">
        <v>4490</v>
      </c>
      <c r="O63" s="27" t="s">
        <v>4031</v>
      </c>
      <c r="P63" s="28">
        <v>45623</v>
      </c>
      <c r="Q63" s="28">
        <v>52928</v>
      </c>
      <c r="R63" s="25" t="str">
        <f t="shared" si="5"/>
        <v>女</v>
      </c>
      <c r="S63" s="25" t="s">
        <v>4491</v>
      </c>
      <c r="T63" s="28" t="str">
        <f t="shared" si="1"/>
        <v>1987-12-05</v>
      </c>
      <c r="U63" s="25">
        <f t="shared" ca="1" si="4"/>
        <v>38</v>
      </c>
      <c r="V63" s="25">
        <v>15912134701</v>
      </c>
      <c r="W63" s="28">
        <v>39326</v>
      </c>
      <c r="X63" s="41">
        <v>39326</v>
      </c>
      <c r="Y63" s="29" t="str">
        <f t="shared" ca="1" si="2"/>
        <v>18年7个月</v>
      </c>
      <c r="Z63" s="25"/>
      <c r="AA63" s="26" t="str">
        <f t="shared" ca="1" si="3"/>
        <v>18年7个月</v>
      </c>
      <c r="AB63" s="25" t="s">
        <v>4034</v>
      </c>
      <c r="AC63" s="25" t="s">
        <v>3985</v>
      </c>
      <c r="AD63" s="25" t="s">
        <v>4035</v>
      </c>
      <c r="AE63" s="25"/>
      <c r="AF63" s="25"/>
      <c r="AG63" s="27"/>
      <c r="AH63" s="25"/>
      <c r="AI63" s="25"/>
      <c r="AJ63" s="25"/>
      <c r="AK63" s="27"/>
      <c r="AL63" s="25" t="s">
        <v>305</v>
      </c>
      <c r="AM63" s="25"/>
      <c r="AN63" s="27" t="s">
        <v>4039</v>
      </c>
      <c r="AO63" s="25" t="s">
        <v>4196</v>
      </c>
      <c r="AP63" s="27" t="s">
        <v>4492</v>
      </c>
      <c r="AQ63" s="25"/>
      <c r="AR63" s="25" t="s">
        <v>4493</v>
      </c>
      <c r="AS63" s="26" t="s">
        <v>3990</v>
      </c>
      <c r="AT63" s="25" t="s">
        <v>4043</v>
      </c>
      <c r="AU63" s="25" t="s">
        <v>4494</v>
      </c>
      <c r="AV63" s="25" t="s">
        <v>4494</v>
      </c>
      <c r="AW63" s="30" t="s">
        <v>3991</v>
      </c>
      <c r="AX63" s="46">
        <v>39387</v>
      </c>
      <c r="AY63" s="28">
        <v>40117</v>
      </c>
      <c r="AZ63" s="28">
        <v>40847</v>
      </c>
      <c r="BA63" s="25" t="s">
        <v>3991</v>
      </c>
      <c r="BB63" s="28"/>
      <c r="BC63" s="25"/>
      <c r="BD63" s="25"/>
      <c r="BE63" s="25"/>
      <c r="BF63" s="25"/>
      <c r="BG63" s="25"/>
      <c r="BH63" s="25"/>
      <c r="BI63" s="27"/>
    </row>
    <row r="64" spans="1:61" ht="15.6" x14ac:dyDescent="0.25">
      <c r="A64" s="25">
        <v>62</v>
      </c>
      <c r="B64" s="25" t="s">
        <v>4495</v>
      </c>
      <c r="C64" s="25" t="s">
        <v>4002</v>
      </c>
      <c r="D64" s="26" t="s">
        <v>3975</v>
      </c>
      <c r="E64" s="26" t="s">
        <v>3975</v>
      </c>
      <c r="F64" s="25" t="s">
        <v>4444</v>
      </c>
      <c r="G64" s="25"/>
      <c r="H64" s="25"/>
      <c r="I64" s="25"/>
      <c r="J64" s="47" t="s">
        <v>4496</v>
      </c>
      <c r="K64" s="25" t="s">
        <v>361</v>
      </c>
      <c r="L64" s="25" t="s">
        <v>4423</v>
      </c>
      <c r="M64" s="25" t="s">
        <v>4029</v>
      </c>
      <c r="N64" s="27" t="s">
        <v>2371</v>
      </c>
      <c r="O64" s="27" t="s">
        <v>4497</v>
      </c>
      <c r="P64" s="28">
        <v>44377</v>
      </c>
      <c r="Q64" s="28">
        <v>51682</v>
      </c>
      <c r="R64" s="25" t="str">
        <f t="shared" si="5"/>
        <v>男</v>
      </c>
      <c r="S64" s="25" t="s">
        <v>27</v>
      </c>
      <c r="T64" s="28" t="str">
        <f t="shared" si="1"/>
        <v>1991-03-01</v>
      </c>
      <c r="U64" s="25">
        <f t="shared" ca="1" si="4"/>
        <v>35</v>
      </c>
      <c r="V64" s="25">
        <v>18213450997</v>
      </c>
      <c r="W64" s="28">
        <v>45717</v>
      </c>
      <c r="X64" s="28">
        <v>41821</v>
      </c>
      <c r="Y64" s="29" t="str">
        <f t="shared" ca="1" si="2"/>
        <v>11年9个月</v>
      </c>
      <c r="Z64" s="25"/>
      <c r="AA64" s="26" t="str">
        <f t="shared" ca="1" si="3"/>
        <v>11年9个月</v>
      </c>
      <c r="AB64" s="25" t="s">
        <v>4034</v>
      </c>
      <c r="AC64" s="25" t="s">
        <v>28</v>
      </c>
      <c r="AD64" s="25" t="s">
        <v>4234</v>
      </c>
      <c r="AE64" s="25"/>
      <c r="AF64" s="25"/>
      <c r="AG64" s="27"/>
      <c r="AH64" s="25"/>
      <c r="AI64" s="25"/>
      <c r="AJ64" s="25"/>
      <c r="AK64" s="27"/>
      <c r="AL64" s="25" t="s">
        <v>305</v>
      </c>
      <c r="AM64" s="25"/>
      <c r="AN64" s="27" t="s">
        <v>4039</v>
      </c>
      <c r="AO64" s="25" t="s">
        <v>559</v>
      </c>
      <c r="AP64" s="27" t="s">
        <v>4498</v>
      </c>
      <c r="AQ64" s="25"/>
      <c r="AR64" s="27" t="s">
        <v>1835</v>
      </c>
      <c r="AS64" s="26" t="s">
        <v>3990</v>
      </c>
      <c r="AT64" s="25" t="s">
        <v>4137</v>
      </c>
      <c r="AU64" s="25" t="s">
        <v>2368</v>
      </c>
      <c r="AV64" s="25" t="s">
        <v>4499</v>
      </c>
      <c r="AW64" s="30">
        <v>47695</v>
      </c>
      <c r="AX64" s="28">
        <v>45717</v>
      </c>
      <c r="AY64" s="28">
        <v>47695</v>
      </c>
      <c r="AZ64" s="28"/>
      <c r="BA64" s="28"/>
      <c r="BB64" s="28"/>
      <c r="BC64" s="25"/>
      <c r="BD64" s="25"/>
      <c r="BE64" s="25"/>
      <c r="BF64" s="25"/>
      <c r="BG64" s="25"/>
      <c r="BH64" s="25"/>
      <c r="BI64" s="27"/>
    </row>
    <row r="65" spans="1:61" ht="15.6" x14ac:dyDescent="0.25">
      <c r="A65" s="25">
        <v>63</v>
      </c>
      <c r="B65" s="25" t="s">
        <v>4500</v>
      </c>
      <c r="C65" s="25" t="s">
        <v>4002</v>
      </c>
      <c r="D65" s="26" t="s">
        <v>3975</v>
      </c>
      <c r="E65" s="26" t="s">
        <v>3975</v>
      </c>
      <c r="F65" s="25" t="s">
        <v>4444</v>
      </c>
      <c r="G65" s="25"/>
      <c r="H65" s="25"/>
      <c r="I65" s="25"/>
      <c r="J65" s="47" t="s">
        <v>4496</v>
      </c>
      <c r="K65" s="25" t="s">
        <v>361</v>
      </c>
      <c r="L65" s="25" t="s">
        <v>4423</v>
      </c>
      <c r="M65" s="25" t="s">
        <v>4029</v>
      </c>
      <c r="N65" s="27" t="s">
        <v>4501</v>
      </c>
      <c r="O65" s="27" t="s">
        <v>4031</v>
      </c>
      <c r="P65" s="28">
        <v>43035</v>
      </c>
      <c r="Q65" s="28">
        <v>46687</v>
      </c>
      <c r="R65" s="25" t="str">
        <f t="shared" si="5"/>
        <v>男</v>
      </c>
      <c r="S65" s="25" t="s">
        <v>4502</v>
      </c>
      <c r="T65" s="28" t="str">
        <f t="shared" si="1"/>
        <v>1997-09-15</v>
      </c>
      <c r="U65" s="25">
        <f t="shared" ca="1" si="4"/>
        <v>28</v>
      </c>
      <c r="V65" s="25">
        <v>18787056473</v>
      </c>
      <c r="W65" s="28">
        <v>45717</v>
      </c>
      <c r="X65" s="28">
        <v>42549</v>
      </c>
      <c r="Y65" s="29" t="str">
        <f t="shared" ca="1" si="2"/>
        <v>9年9个月</v>
      </c>
      <c r="Z65" s="25"/>
      <c r="AA65" s="26" t="str">
        <f t="shared" ca="1" si="3"/>
        <v>9年9个月</v>
      </c>
      <c r="AB65" s="25" t="s">
        <v>4034</v>
      </c>
      <c r="AC65" s="25" t="s">
        <v>119</v>
      </c>
      <c r="AD65" s="25" t="s">
        <v>4035</v>
      </c>
      <c r="AE65" s="25"/>
      <c r="AF65" s="25"/>
      <c r="AG65" s="27"/>
      <c r="AH65" s="25"/>
      <c r="AI65" s="25"/>
      <c r="AJ65" s="25"/>
      <c r="AK65" s="27"/>
      <c r="AL65" s="25" t="s">
        <v>4503</v>
      </c>
      <c r="AM65" s="25"/>
      <c r="AN65" s="27" t="s">
        <v>4039</v>
      </c>
      <c r="AO65" s="25" t="s">
        <v>4504</v>
      </c>
      <c r="AP65" s="27" t="s">
        <v>4505</v>
      </c>
      <c r="AQ65" s="25"/>
      <c r="AR65" s="25" t="s">
        <v>4506</v>
      </c>
      <c r="AS65" s="26" t="s">
        <v>3990</v>
      </c>
      <c r="AT65" s="25" t="s">
        <v>4043</v>
      </c>
      <c r="AU65" s="25" t="s">
        <v>4507</v>
      </c>
      <c r="AV65" s="25" t="s">
        <v>4507</v>
      </c>
      <c r="AW65" s="30">
        <v>46965</v>
      </c>
      <c r="AX65" s="28">
        <v>45717</v>
      </c>
      <c r="AY65" s="28">
        <v>46965</v>
      </c>
      <c r="AZ65" s="28"/>
      <c r="BA65" s="25"/>
      <c r="BB65" s="25"/>
      <c r="BC65" s="25"/>
      <c r="BD65" s="25"/>
      <c r="BE65" s="25"/>
      <c r="BF65" s="25"/>
      <c r="BG65" s="25"/>
      <c r="BH65" s="25"/>
      <c r="BI65" s="25"/>
    </row>
    <row r="66" spans="1:61" ht="15.6" x14ac:dyDescent="0.25">
      <c r="A66" s="25">
        <v>64</v>
      </c>
      <c r="B66" s="25" t="s">
        <v>4508</v>
      </c>
      <c r="C66" s="25" t="s">
        <v>4002</v>
      </c>
      <c r="D66" s="26" t="s">
        <v>3975</v>
      </c>
      <c r="E66" s="26" t="s">
        <v>3975</v>
      </c>
      <c r="F66" s="25" t="s">
        <v>4444</v>
      </c>
      <c r="G66" s="25"/>
      <c r="H66" s="25"/>
      <c r="I66" s="25"/>
      <c r="J66" s="47" t="s">
        <v>4509</v>
      </c>
      <c r="K66" s="25" t="s">
        <v>361</v>
      </c>
      <c r="L66" s="25" t="s">
        <v>4423</v>
      </c>
      <c r="M66" s="25" t="s">
        <v>4029</v>
      </c>
      <c r="N66" s="27" t="s">
        <v>4510</v>
      </c>
      <c r="O66" s="27" t="s">
        <v>4031</v>
      </c>
      <c r="P66" s="28">
        <v>42533</v>
      </c>
      <c r="Q66" s="28">
        <v>49838</v>
      </c>
      <c r="R66" s="25" t="str">
        <f t="shared" si="5"/>
        <v>女</v>
      </c>
      <c r="S66" s="25" t="s">
        <v>3984</v>
      </c>
      <c r="T66" s="28" t="str">
        <f t="shared" si="1"/>
        <v>1986-02-10</v>
      </c>
      <c r="U66" s="25">
        <f t="shared" ca="1" si="4"/>
        <v>40</v>
      </c>
      <c r="V66" s="25">
        <v>18687821791</v>
      </c>
      <c r="W66" s="28">
        <v>45717</v>
      </c>
      <c r="X66" s="28">
        <v>41555</v>
      </c>
      <c r="Y66" s="29" t="str">
        <f t="shared" ca="1" si="2"/>
        <v>12年6个月</v>
      </c>
      <c r="Z66" s="25" t="s">
        <v>4511</v>
      </c>
      <c r="AA66" s="26" t="str">
        <f t="shared" ca="1" si="3"/>
        <v>14年3个月</v>
      </c>
      <c r="AB66" s="25" t="s">
        <v>29</v>
      </c>
      <c r="AC66" s="25" t="s">
        <v>3985</v>
      </c>
      <c r="AD66" s="25" t="s">
        <v>3986</v>
      </c>
      <c r="AE66" s="33"/>
      <c r="AF66" s="33"/>
      <c r="AG66" s="34"/>
      <c r="AH66" s="25" t="s">
        <v>4102</v>
      </c>
      <c r="AI66" s="25" t="s">
        <v>4493</v>
      </c>
      <c r="AJ66" s="25" t="s">
        <v>4050</v>
      </c>
      <c r="AK66" s="27" t="s">
        <v>4512</v>
      </c>
      <c r="AL66" s="25" t="s">
        <v>81</v>
      </c>
      <c r="AM66" s="25" t="s">
        <v>4038</v>
      </c>
      <c r="AN66" s="27" t="s">
        <v>4039</v>
      </c>
      <c r="AO66" s="25" t="s">
        <v>4513</v>
      </c>
      <c r="AP66" s="27" t="s">
        <v>4514</v>
      </c>
      <c r="AQ66" s="25"/>
      <c r="AR66" s="27" t="s">
        <v>4136</v>
      </c>
      <c r="AS66" s="26" t="s">
        <v>3990</v>
      </c>
      <c r="AT66" s="25" t="s">
        <v>294</v>
      </c>
      <c r="AU66" s="25" t="s">
        <v>4515</v>
      </c>
      <c r="AV66" s="25" t="s">
        <v>4515</v>
      </c>
      <c r="AW66" s="30" t="s">
        <v>3991</v>
      </c>
      <c r="AX66" s="28">
        <v>45717</v>
      </c>
      <c r="AY66" s="28" t="s">
        <v>3991</v>
      </c>
      <c r="AZ66" s="28"/>
      <c r="BA66" s="28"/>
      <c r="BB66" s="28"/>
      <c r="BC66" s="25"/>
      <c r="BD66" s="25"/>
      <c r="BE66" s="25"/>
      <c r="BF66" s="25"/>
      <c r="BG66" s="25"/>
      <c r="BH66" s="25"/>
      <c r="BI66" s="27"/>
    </row>
    <row r="67" spans="1:61" ht="15.6" x14ac:dyDescent="0.25">
      <c r="A67" s="25">
        <v>65</v>
      </c>
      <c r="B67" s="25" t="s">
        <v>4516</v>
      </c>
      <c r="C67" s="25" t="s">
        <v>4002</v>
      </c>
      <c r="D67" s="26" t="s">
        <v>3975</v>
      </c>
      <c r="E67" s="26" t="s">
        <v>3975</v>
      </c>
      <c r="F67" s="25" t="s">
        <v>1515</v>
      </c>
      <c r="G67" s="25"/>
      <c r="H67" s="25"/>
      <c r="I67" s="25"/>
      <c r="J67" s="25" t="s">
        <v>4517</v>
      </c>
      <c r="K67" s="25" t="s">
        <v>676</v>
      </c>
      <c r="L67" s="25" t="s">
        <v>4016</v>
      </c>
      <c r="M67" s="25" t="s">
        <v>4017</v>
      </c>
      <c r="N67" s="27" t="s">
        <v>4518</v>
      </c>
      <c r="O67" s="27" t="s">
        <v>4519</v>
      </c>
      <c r="P67" s="28">
        <v>42532</v>
      </c>
      <c r="Q67" s="28">
        <v>49837</v>
      </c>
      <c r="R67" s="25" t="str">
        <f t="shared" si="5"/>
        <v>男</v>
      </c>
      <c r="S67" s="25" t="s">
        <v>3984</v>
      </c>
      <c r="T67" s="28" t="str">
        <f t="shared" si="1"/>
        <v>1986-08-09</v>
      </c>
      <c r="U67" s="25">
        <f t="shared" ca="1" si="4"/>
        <v>39</v>
      </c>
      <c r="V67" s="25">
        <v>13987107003</v>
      </c>
      <c r="W67" s="28">
        <v>41204</v>
      </c>
      <c r="X67" s="28">
        <v>41204</v>
      </c>
      <c r="Y67" s="29" t="str">
        <f t="shared" ca="1" si="2"/>
        <v>13年5个月</v>
      </c>
      <c r="Z67" s="25" t="s">
        <v>4520</v>
      </c>
      <c r="AA67" s="26" t="str">
        <f t="shared" ca="1" si="3"/>
        <v>15年4个月</v>
      </c>
      <c r="AB67" s="25" t="s">
        <v>253</v>
      </c>
      <c r="AC67" s="25" t="s">
        <v>3985</v>
      </c>
      <c r="AD67" s="25" t="s">
        <v>3986</v>
      </c>
      <c r="AE67" s="25" t="s">
        <v>4521</v>
      </c>
      <c r="AF67" s="25" t="s">
        <v>4050</v>
      </c>
      <c r="AG67" s="27" t="s">
        <v>4522</v>
      </c>
      <c r="AH67" s="25" t="s">
        <v>4036</v>
      </c>
      <c r="AI67" s="25" t="s">
        <v>965</v>
      </c>
      <c r="AJ67" s="25" t="s">
        <v>964</v>
      </c>
      <c r="AK67" s="27" t="s">
        <v>4523</v>
      </c>
      <c r="AL67" s="25" t="s">
        <v>305</v>
      </c>
      <c r="AM67" s="25"/>
      <c r="AN67" s="27" t="s">
        <v>4039</v>
      </c>
      <c r="AO67" s="25" t="s">
        <v>4524</v>
      </c>
      <c r="AP67" s="27" t="s">
        <v>4525</v>
      </c>
      <c r="AQ67" s="25"/>
      <c r="AR67" s="25" t="s">
        <v>4526</v>
      </c>
      <c r="AS67" s="26" t="s">
        <v>4011</v>
      </c>
      <c r="AT67" s="25" t="s">
        <v>4527</v>
      </c>
      <c r="AU67" s="25" t="s">
        <v>4528</v>
      </c>
      <c r="AV67" s="25" t="s">
        <v>2872</v>
      </c>
      <c r="AW67" s="30" t="s">
        <v>3991</v>
      </c>
      <c r="AX67" s="28">
        <v>41204</v>
      </c>
      <c r="AY67" s="28">
        <v>41569</v>
      </c>
      <c r="AZ67" s="28">
        <v>42665</v>
      </c>
      <c r="BA67" s="28">
        <v>44408</v>
      </c>
      <c r="BB67" s="28" t="s">
        <v>3991</v>
      </c>
      <c r="BC67" s="25"/>
      <c r="BD67" s="25"/>
      <c r="BE67" s="25"/>
      <c r="BF67" s="25"/>
      <c r="BG67" s="25"/>
      <c r="BH67" s="25"/>
      <c r="BI67" s="27"/>
    </row>
    <row r="68" spans="1:61" ht="15.6" x14ac:dyDescent="0.25">
      <c r="A68" s="25">
        <v>66</v>
      </c>
      <c r="B68" s="25" t="s">
        <v>4529</v>
      </c>
      <c r="C68" s="25" t="s">
        <v>4002</v>
      </c>
      <c r="D68" s="26" t="s">
        <v>3975</v>
      </c>
      <c r="E68" s="26" t="s">
        <v>3975</v>
      </c>
      <c r="F68" s="25" t="s">
        <v>1515</v>
      </c>
      <c r="G68" s="25"/>
      <c r="H68" s="25"/>
      <c r="I68" s="25"/>
      <c r="J68" s="25" t="s">
        <v>4530</v>
      </c>
      <c r="K68" s="25" t="s">
        <v>361</v>
      </c>
      <c r="L68" s="25" t="s">
        <v>4100</v>
      </c>
      <c r="M68" s="25" t="s">
        <v>4029</v>
      </c>
      <c r="N68" s="27" t="s">
        <v>4531</v>
      </c>
      <c r="O68" s="27" t="s">
        <v>4532</v>
      </c>
      <c r="P68" s="28">
        <v>43807</v>
      </c>
      <c r="Q68" s="28">
        <v>47460</v>
      </c>
      <c r="R68" s="25" t="str">
        <f t="shared" si="5"/>
        <v>男</v>
      </c>
      <c r="S68" s="25" t="s">
        <v>3984</v>
      </c>
      <c r="T68" s="28" t="str">
        <f t="shared" si="1"/>
        <v>2001-12-24</v>
      </c>
      <c r="U68" s="25">
        <f t="shared" ca="1" si="4"/>
        <v>24</v>
      </c>
      <c r="V68" s="25">
        <v>18213161608</v>
      </c>
      <c r="W68" s="28">
        <v>46098</v>
      </c>
      <c r="X68" s="28">
        <v>46098</v>
      </c>
      <c r="Y68" s="29" t="str">
        <f t="shared" ca="1" si="2"/>
        <v>0年0个月</v>
      </c>
      <c r="Z68" s="25" t="s">
        <v>4533</v>
      </c>
      <c r="AA68" s="26" t="str">
        <f t="shared" ca="1" si="3"/>
        <v>0年6个月</v>
      </c>
      <c r="AB68" s="25" t="s">
        <v>253</v>
      </c>
      <c r="AC68" s="25" t="s">
        <v>4534</v>
      </c>
      <c r="AD68" s="25" t="s">
        <v>4035</v>
      </c>
      <c r="AE68" s="25"/>
      <c r="AF68" s="25"/>
      <c r="AG68" s="27"/>
      <c r="AH68" s="25"/>
      <c r="AI68" s="25"/>
      <c r="AJ68" s="25"/>
      <c r="AK68" s="27"/>
      <c r="AL68" s="25" t="s">
        <v>81</v>
      </c>
      <c r="AM68" s="25" t="s">
        <v>3987</v>
      </c>
      <c r="AN68" s="27" t="s">
        <v>4535</v>
      </c>
      <c r="AO68" s="25" t="s">
        <v>4536</v>
      </c>
      <c r="AP68" s="27" t="s">
        <v>4537</v>
      </c>
      <c r="AQ68" s="25"/>
      <c r="AR68" s="25" t="s">
        <v>4538</v>
      </c>
      <c r="AS68" s="26" t="s">
        <v>4011</v>
      </c>
      <c r="AT68" s="25" t="s">
        <v>4225</v>
      </c>
      <c r="AU68" s="25" t="s">
        <v>4539</v>
      </c>
      <c r="AV68" s="25" t="s">
        <v>4540</v>
      </c>
      <c r="AW68" s="30">
        <v>46462</v>
      </c>
      <c r="AX68" s="28">
        <v>46098</v>
      </c>
      <c r="AY68" s="28">
        <v>46462</v>
      </c>
      <c r="AZ68" s="28"/>
      <c r="BA68" s="28"/>
      <c r="BB68" s="28"/>
      <c r="BC68" s="25"/>
      <c r="BD68" s="25"/>
      <c r="BE68" s="25"/>
      <c r="BF68" s="25"/>
      <c r="BG68" s="25"/>
      <c r="BH68" s="25"/>
      <c r="BI68" s="27"/>
    </row>
    <row r="69" spans="1:61" ht="15.6" x14ac:dyDescent="0.25">
      <c r="A69" s="25">
        <v>67</v>
      </c>
      <c r="B69" s="25" t="s">
        <v>4541</v>
      </c>
      <c r="C69" s="25" t="s">
        <v>4002</v>
      </c>
      <c r="D69" s="26" t="s">
        <v>3975</v>
      </c>
      <c r="E69" s="26" t="s">
        <v>3975</v>
      </c>
      <c r="F69" s="25" t="s">
        <v>1515</v>
      </c>
      <c r="G69" s="25"/>
      <c r="H69" s="25"/>
      <c r="I69" s="25"/>
      <c r="J69" s="25" t="s">
        <v>4542</v>
      </c>
      <c r="K69" s="25" t="s">
        <v>556</v>
      </c>
      <c r="L69" s="25" t="s">
        <v>4543</v>
      </c>
      <c r="M69" s="25" t="s">
        <v>4029</v>
      </c>
      <c r="N69" s="27" t="s">
        <v>4544</v>
      </c>
      <c r="O69" s="27" t="s">
        <v>4031</v>
      </c>
      <c r="P69" s="28">
        <v>45428</v>
      </c>
      <c r="Q69" s="28">
        <v>52733</v>
      </c>
      <c r="R69" s="25" t="str">
        <f t="shared" si="5"/>
        <v>男</v>
      </c>
      <c r="S69" s="25" t="s">
        <v>3984</v>
      </c>
      <c r="T69" s="28" t="str">
        <f t="shared" ref="T69:T132" si="6">TEXT(MID(N69,7,6+(LEN(N69)=18)*2),"0-00-00")</f>
        <v>1993-09-01</v>
      </c>
      <c r="U69" s="25">
        <f t="shared" ca="1" si="4"/>
        <v>32</v>
      </c>
      <c r="V69" s="25">
        <v>13529284154</v>
      </c>
      <c r="W69" s="28">
        <v>41752</v>
      </c>
      <c r="X69" s="28">
        <v>41752</v>
      </c>
      <c r="Y69" s="29" t="str">
        <f t="shared" ref="Y69:Y132" ca="1" si="7">DATEDIF(X69,TODAY(),"Y")&amp;"年"&amp;TEXT(DATEDIF(X69,TODAY(),"YM"),"0")&amp;"个月"</f>
        <v>11年11个月</v>
      </c>
      <c r="Z69" s="25"/>
      <c r="AA69" s="26"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5" t="s">
        <v>29</v>
      </c>
      <c r="AC69" s="25" t="s">
        <v>3985</v>
      </c>
      <c r="AD69" s="25" t="s">
        <v>3986</v>
      </c>
      <c r="AE69" s="25" t="s">
        <v>2506</v>
      </c>
      <c r="AF69" s="25" t="s">
        <v>4050</v>
      </c>
      <c r="AG69" s="27" t="s">
        <v>3843</v>
      </c>
      <c r="AH69" s="25"/>
      <c r="AI69" s="25"/>
      <c r="AJ69" s="25"/>
      <c r="AK69" s="27"/>
      <c r="AL69" s="25" t="s">
        <v>305</v>
      </c>
      <c r="AM69" s="25"/>
      <c r="AN69" s="27" t="s">
        <v>4039</v>
      </c>
      <c r="AO69" s="25" t="s">
        <v>4513</v>
      </c>
      <c r="AP69" s="27" t="s">
        <v>4545</v>
      </c>
      <c r="AQ69" s="25"/>
      <c r="AR69" s="25" t="s">
        <v>4546</v>
      </c>
      <c r="AS69" s="26" t="s">
        <v>3990</v>
      </c>
      <c r="AT69" s="25" t="s">
        <v>294</v>
      </c>
      <c r="AU69" s="25" t="s">
        <v>4547</v>
      </c>
      <c r="AV69" s="25" t="s">
        <v>4548</v>
      </c>
      <c r="AW69" s="30">
        <v>46234</v>
      </c>
      <c r="AX69" s="28">
        <v>41752</v>
      </c>
      <c r="AY69" s="28">
        <v>42117</v>
      </c>
      <c r="AZ69" s="28">
        <v>43312</v>
      </c>
      <c r="BA69" s="28">
        <v>44408</v>
      </c>
      <c r="BB69" s="28">
        <v>46234</v>
      </c>
      <c r="BC69" s="25"/>
      <c r="BD69" s="25"/>
      <c r="BE69" s="25"/>
      <c r="BF69" s="25"/>
      <c r="BG69" s="25"/>
      <c r="BH69" s="25"/>
      <c r="BI69" s="25"/>
    </row>
    <row r="70" spans="1:61" ht="15.6" x14ac:dyDescent="0.25">
      <c r="A70" s="25">
        <v>68</v>
      </c>
      <c r="B70" s="25" t="s">
        <v>4549</v>
      </c>
      <c r="C70" s="25" t="s">
        <v>4002</v>
      </c>
      <c r="D70" s="26" t="s">
        <v>3975</v>
      </c>
      <c r="E70" s="26" t="s">
        <v>3975</v>
      </c>
      <c r="F70" s="25" t="s">
        <v>1515</v>
      </c>
      <c r="G70" s="25"/>
      <c r="H70" s="25"/>
      <c r="I70" s="25"/>
      <c r="J70" s="25" t="s">
        <v>4550</v>
      </c>
      <c r="K70" s="25" t="s">
        <v>556</v>
      </c>
      <c r="L70" s="25" t="s">
        <v>4543</v>
      </c>
      <c r="M70" s="25" t="s">
        <v>4029</v>
      </c>
      <c r="N70" s="27" t="s">
        <v>4551</v>
      </c>
      <c r="O70" s="27" t="s">
        <v>4552</v>
      </c>
      <c r="P70" s="28">
        <v>45838</v>
      </c>
      <c r="Q70" s="28">
        <v>53143</v>
      </c>
      <c r="R70" s="25" t="str">
        <f t="shared" si="5"/>
        <v>女</v>
      </c>
      <c r="S70" s="25" t="s">
        <v>3984</v>
      </c>
      <c r="T70" s="28" t="str">
        <f t="shared" si="6"/>
        <v>1994-09-03</v>
      </c>
      <c r="U70" s="25">
        <f t="shared" ca="1" si="4"/>
        <v>31</v>
      </c>
      <c r="V70" s="25">
        <v>18487144094</v>
      </c>
      <c r="W70" s="28">
        <v>42552</v>
      </c>
      <c r="X70" s="28">
        <v>42552</v>
      </c>
      <c r="Y70" s="29" t="str">
        <f t="shared" ca="1" si="7"/>
        <v>9年9个月</v>
      </c>
      <c r="Z70" s="25"/>
      <c r="AA70" s="26" t="str">
        <f t="shared" ca="1" si="8"/>
        <v>9年9个月</v>
      </c>
      <c r="AB70" s="25" t="s">
        <v>29</v>
      </c>
      <c r="AC70" s="25" t="s">
        <v>119</v>
      </c>
      <c r="AD70" s="25" t="s">
        <v>4035</v>
      </c>
      <c r="AE70" s="25" t="s">
        <v>4469</v>
      </c>
      <c r="AF70" s="25" t="s">
        <v>4050</v>
      </c>
      <c r="AG70" s="27" t="s">
        <v>4553</v>
      </c>
      <c r="AH70" s="25" t="s">
        <v>4102</v>
      </c>
      <c r="AI70" s="25" t="s">
        <v>2093</v>
      </c>
      <c r="AJ70" s="25" t="s">
        <v>4050</v>
      </c>
      <c r="AK70" s="27" t="s">
        <v>4554</v>
      </c>
      <c r="AL70" s="25" t="s">
        <v>305</v>
      </c>
      <c r="AM70" s="25"/>
      <c r="AN70" s="27" t="s">
        <v>4039</v>
      </c>
      <c r="AO70" s="25" t="s">
        <v>4524</v>
      </c>
      <c r="AP70" s="27" t="s">
        <v>4555</v>
      </c>
      <c r="AQ70" s="25"/>
      <c r="AR70" s="25" t="s">
        <v>4408</v>
      </c>
      <c r="AS70" s="26" t="s">
        <v>3990</v>
      </c>
      <c r="AT70" s="25" t="s">
        <v>4137</v>
      </c>
      <c r="AU70" s="25" t="s">
        <v>4556</v>
      </c>
      <c r="AV70" s="25" t="s">
        <v>4557</v>
      </c>
      <c r="AW70" s="30">
        <v>47695</v>
      </c>
      <c r="AX70" s="28">
        <v>42552</v>
      </c>
      <c r="AY70" s="28">
        <v>42947</v>
      </c>
      <c r="AZ70" s="28">
        <v>43677</v>
      </c>
      <c r="BA70" s="28">
        <v>44773</v>
      </c>
      <c r="BB70" s="28">
        <v>45869</v>
      </c>
      <c r="BC70" s="28">
        <v>47695</v>
      </c>
      <c r="BD70" s="25"/>
      <c r="BE70" s="25"/>
      <c r="BF70" s="25"/>
      <c r="BG70" s="25"/>
      <c r="BH70" s="25"/>
      <c r="BI70" s="25"/>
    </row>
    <row r="71" spans="1:61" ht="15.6" x14ac:dyDescent="0.25">
      <c r="A71" s="25">
        <v>69</v>
      </c>
      <c r="B71" s="25" t="s">
        <v>4558</v>
      </c>
      <c r="C71" s="25" t="s">
        <v>4002</v>
      </c>
      <c r="D71" s="26" t="s">
        <v>3975</v>
      </c>
      <c r="E71" s="26" t="s">
        <v>3975</v>
      </c>
      <c r="F71" s="25" t="s">
        <v>1515</v>
      </c>
      <c r="G71" s="25"/>
      <c r="H71" s="25"/>
      <c r="I71" s="25"/>
      <c r="J71" s="25" t="s">
        <v>4550</v>
      </c>
      <c r="K71" s="25" t="s">
        <v>556</v>
      </c>
      <c r="L71" s="25" t="s">
        <v>4543</v>
      </c>
      <c r="M71" s="25" t="s">
        <v>4029</v>
      </c>
      <c r="N71" s="27" t="s">
        <v>4559</v>
      </c>
      <c r="O71" s="27" t="s">
        <v>4031</v>
      </c>
      <c r="P71" s="28">
        <v>45539</v>
      </c>
      <c r="Q71" s="28">
        <v>52844</v>
      </c>
      <c r="R71" s="25" t="str">
        <f t="shared" si="5"/>
        <v>男</v>
      </c>
      <c r="S71" s="25" t="s">
        <v>3984</v>
      </c>
      <c r="T71" s="28" t="str">
        <f t="shared" si="6"/>
        <v>1998-05-01</v>
      </c>
      <c r="U71" s="25">
        <f t="shared" ref="U71:U134" ca="1" si="9">DATEDIF(T71,TODAY(),"Y")</f>
        <v>27</v>
      </c>
      <c r="V71" s="25">
        <v>15812027534</v>
      </c>
      <c r="W71" s="28">
        <v>44630</v>
      </c>
      <c r="X71" s="28">
        <v>44630</v>
      </c>
      <c r="Y71" s="29" t="str">
        <f t="shared" ca="1" si="7"/>
        <v>4年1个月</v>
      </c>
      <c r="Z71" s="25"/>
      <c r="AA71" s="26" t="str">
        <f t="shared" ca="1" si="8"/>
        <v>4年1个月</v>
      </c>
      <c r="AB71" s="25" t="s">
        <v>4049</v>
      </c>
      <c r="AC71" s="25" t="s">
        <v>272</v>
      </c>
      <c r="AD71" s="25" t="s">
        <v>4035</v>
      </c>
      <c r="AE71" s="25"/>
      <c r="AF71" s="25"/>
      <c r="AG71" s="27"/>
      <c r="AH71" s="25" t="s">
        <v>4036</v>
      </c>
      <c r="AI71" s="25" t="s">
        <v>965</v>
      </c>
      <c r="AJ71" s="25" t="s">
        <v>964</v>
      </c>
      <c r="AK71" s="27" t="s">
        <v>4560</v>
      </c>
      <c r="AL71" s="25" t="s">
        <v>305</v>
      </c>
      <c r="AM71" s="25"/>
      <c r="AN71" s="27" t="s">
        <v>4039</v>
      </c>
      <c r="AO71" s="25" t="s">
        <v>4524</v>
      </c>
      <c r="AP71" s="27" t="s">
        <v>4561</v>
      </c>
      <c r="AQ71" s="25"/>
      <c r="AR71" s="25" t="s">
        <v>4562</v>
      </c>
      <c r="AS71" s="26" t="s">
        <v>3990</v>
      </c>
      <c r="AT71" s="25" t="s">
        <v>294</v>
      </c>
      <c r="AU71" s="25" t="s">
        <v>4563</v>
      </c>
      <c r="AV71" s="25" t="s">
        <v>4563</v>
      </c>
      <c r="AW71" s="30">
        <v>46234</v>
      </c>
      <c r="AX71" s="28">
        <v>44630</v>
      </c>
      <c r="AY71" s="28">
        <v>44994</v>
      </c>
      <c r="AZ71" s="28">
        <v>46234</v>
      </c>
      <c r="BA71" s="28"/>
      <c r="BB71" s="28"/>
      <c r="BC71" s="25"/>
      <c r="BD71" s="25"/>
      <c r="BE71" s="25"/>
      <c r="BF71" s="25"/>
      <c r="BG71" s="25"/>
      <c r="BH71" s="25"/>
      <c r="BI71" s="25"/>
    </row>
    <row r="72" spans="1:61" ht="15.6" x14ac:dyDescent="0.25">
      <c r="A72" s="25">
        <v>70</v>
      </c>
      <c r="B72" s="25" t="s">
        <v>4564</v>
      </c>
      <c r="C72" s="25" t="s">
        <v>4002</v>
      </c>
      <c r="D72" s="26" t="s">
        <v>3975</v>
      </c>
      <c r="E72" s="26" t="s">
        <v>3975</v>
      </c>
      <c r="F72" s="25" t="s">
        <v>1515</v>
      </c>
      <c r="G72" s="25"/>
      <c r="H72" s="25"/>
      <c r="I72" s="25"/>
      <c r="J72" s="25" t="s">
        <v>4550</v>
      </c>
      <c r="K72" s="25" t="s">
        <v>556</v>
      </c>
      <c r="L72" s="25" t="s">
        <v>4543</v>
      </c>
      <c r="M72" s="25" t="s">
        <v>4029</v>
      </c>
      <c r="N72" s="27" t="s">
        <v>4565</v>
      </c>
      <c r="O72" s="27" t="s">
        <v>4566</v>
      </c>
      <c r="P72" s="28">
        <v>46017</v>
      </c>
      <c r="Q72" s="28">
        <v>53322</v>
      </c>
      <c r="R72" s="25" t="str">
        <f t="shared" si="5"/>
        <v>男</v>
      </c>
      <c r="S72" s="25" t="s">
        <v>3984</v>
      </c>
      <c r="T72" s="28" t="str">
        <f t="shared" si="6"/>
        <v>1991-02-13</v>
      </c>
      <c r="U72" s="25">
        <f t="shared" ca="1" si="9"/>
        <v>35</v>
      </c>
      <c r="V72" s="25">
        <v>15825281364</v>
      </c>
      <c r="W72" s="28">
        <v>45717</v>
      </c>
      <c r="X72" s="43">
        <v>41821</v>
      </c>
      <c r="Y72" s="29" t="str">
        <f t="shared" ca="1" si="7"/>
        <v>11年9个月</v>
      </c>
      <c r="Z72" s="25"/>
      <c r="AA72" s="26" t="str">
        <f t="shared" ca="1" si="8"/>
        <v>11年9个月</v>
      </c>
      <c r="AB72" s="25" t="s">
        <v>253</v>
      </c>
      <c r="AC72" s="25" t="s">
        <v>3985</v>
      </c>
      <c r="AD72" s="25" t="s">
        <v>4035</v>
      </c>
      <c r="AE72" s="25"/>
      <c r="AF72" s="25"/>
      <c r="AG72" s="27"/>
      <c r="AH72" s="25" t="s">
        <v>4036</v>
      </c>
      <c r="AI72" s="25" t="s">
        <v>1326</v>
      </c>
      <c r="AJ72" s="25" t="s">
        <v>4050</v>
      </c>
      <c r="AK72" s="27" t="s">
        <v>4567</v>
      </c>
      <c r="AL72" s="25" t="s">
        <v>305</v>
      </c>
      <c r="AM72" s="25"/>
      <c r="AN72" s="27" t="s">
        <v>4039</v>
      </c>
      <c r="AO72" s="25" t="s">
        <v>1410</v>
      </c>
      <c r="AP72" s="27" t="s">
        <v>4568</v>
      </c>
      <c r="AQ72" s="25"/>
      <c r="AR72" s="25" t="s">
        <v>4569</v>
      </c>
      <c r="AS72" s="26" t="s">
        <v>3990</v>
      </c>
      <c r="AT72" s="25" t="s">
        <v>4456</v>
      </c>
      <c r="AU72" s="25" t="s">
        <v>4570</v>
      </c>
      <c r="AV72" s="25" t="s">
        <v>2385</v>
      </c>
      <c r="AW72" s="30">
        <v>46965</v>
      </c>
      <c r="AX72" s="28">
        <v>45717</v>
      </c>
      <c r="AY72" s="28">
        <v>46965</v>
      </c>
      <c r="AZ72" s="28"/>
      <c r="BA72" s="28"/>
      <c r="BB72" s="28"/>
      <c r="BC72" s="25"/>
      <c r="BD72" s="25"/>
      <c r="BE72" s="25"/>
      <c r="BF72" s="25"/>
      <c r="BG72" s="25"/>
      <c r="BH72" s="25"/>
      <c r="BI72" s="27"/>
    </row>
    <row r="73" spans="1:61" ht="15.6" x14ac:dyDescent="0.25">
      <c r="A73" s="25">
        <v>71</v>
      </c>
      <c r="B73" s="25" t="s">
        <v>4571</v>
      </c>
      <c r="C73" s="25" t="s">
        <v>4002</v>
      </c>
      <c r="D73" s="26" t="s">
        <v>3975</v>
      </c>
      <c r="E73" s="26" t="s">
        <v>3975</v>
      </c>
      <c r="F73" s="25" t="s">
        <v>1515</v>
      </c>
      <c r="G73" s="25"/>
      <c r="H73" s="25"/>
      <c r="I73" s="25"/>
      <c r="J73" s="25" t="s">
        <v>4550</v>
      </c>
      <c r="K73" s="25" t="s">
        <v>556</v>
      </c>
      <c r="L73" s="25" t="s">
        <v>4543</v>
      </c>
      <c r="M73" s="25" t="s">
        <v>4029</v>
      </c>
      <c r="N73" s="27" t="s">
        <v>4572</v>
      </c>
      <c r="O73" s="27" t="s">
        <v>4573</v>
      </c>
      <c r="P73" s="28">
        <v>43360</v>
      </c>
      <c r="Q73" s="28">
        <v>50665</v>
      </c>
      <c r="R73" s="25" t="str">
        <f t="shared" si="5"/>
        <v>男</v>
      </c>
      <c r="S73" s="25" t="s">
        <v>3984</v>
      </c>
      <c r="T73" s="28" t="str">
        <f t="shared" si="6"/>
        <v>1992-08-15</v>
      </c>
      <c r="U73" s="25">
        <f t="shared" ca="1" si="9"/>
        <v>33</v>
      </c>
      <c r="V73" s="25">
        <v>18314166250</v>
      </c>
      <c r="W73" s="28">
        <v>45717</v>
      </c>
      <c r="X73" s="43">
        <v>41821</v>
      </c>
      <c r="Y73" s="29" t="str">
        <f t="shared" ca="1" si="7"/>
        <v>11年9个月</v>
      </c>
      <c r="Z73" s="25"/>
      <c r="AA73" s="26" t="str">
        <f t="shared" ca="1" si="8"/>
        <v>11年9个月</v>
      </c>
      <c r="AB73" s="25" t="s">
        <v>253</v>
      </c>
      <c r="AC73" s="25" t="s">
        <v>3985</v>
      </c>
      <c r="AD73" s="25" t="s">
        <v>4035</v>
      </c>
      <c r="AE73" s="25"/>
      <c r="AF73" s="25"/>
      <c r="AG73" s="27"/>
      <c r="AH73" s="25"/>
      <c r="AI73" s="25"/>
      <c r="AJ73" s="25"/>
      <c r="AK73" s="27"/>
      <c r="AL73" s="25" t="s">
        <v>305</v>
      </c>
      <c r="AM73" s="25"/>
      <c r="AN73" s="27" t="s">
        <v>4039</v>
      </c>
      <c r="AO73" s="25" t="s">
        <v>1410</v>
      </c>
      <c r="AP73" s="27" t="s">
        <v>4574</v>
      </c>
      <c r="AQ73" s="25"/>
      <c r="AR73" s="25" t="s">
        <v>4408</v>
      </c>
      <c r="AS73" s="26" t="s">
        <v>3990</v>
      </c>
      <c r="AT73" s="25" t="s">
        <v>4239</v>
      </c>
      <c r="AU73" s="25" t="s">
        <v>2376</v>
      </c>
      <c r="AV73" s="25" t="s">
        <v>2376</v>
      </c>
      <c r="AW73" s="30">
        <v>46965</v>
      </c>
      <c r="AX73" s="28">
        <v>45717</v>
      </c>
      <c r="AY73" s="28">
        <v>46965</v>
      </c>
      <c r="AZ73" s="28"/>
      <c r="BA73" s="28"/>
      <c r="BB73" s="25"/>
      <c r="BC73" s="25"/>
      <c r="BD73" s="25"/>
      <c r="BE73" s="25"/>
      <c r="BF73" s="25"/>
      <c r="BG73" s="25"/>
      <c r="BH73" s="25"/>
      <c r="BI73" s="27"/>
    </row>
    <row r="74" spans="1:61" ht="15.6" x14ac:dyDescent="0.25">
      <c r="A74" s="25">
        <v>72</v>
      </c>
      <c r="B74" s="25" t="s">
        <v>4575</v>
      </c>
      <c r="C74" s="25" t="s">
        <v>4002</v>
      </c>
      <c r="D74" s="26" t="s">
        <v>3975</v>
      </c>
      <c r="E74" s="26" t="s">
        <v>3975</v>
      </c>
      <c r="F74" s="25" t="s">
        <v>459</v>
      </c>
      <c r="G74" s="25" t="s">
        <v>4576</v>
      </c>
      <c r="H74" s="25"/>
      <c r="I74" s="25"/>
      <c r="J74" s="25" t="s">
        <v>4577</v>
      </c>
      <c r="K74" s="25" t="s">
        <v>676</v>
      </c>
      <c r="L74" s="25" t="s">
        <v>4016</v>
      </c>
      <c r="M74" s="25" t="s">
        <v>4080</v>
      </c>
      <c r="N74" s="27" t="s">
        <v>4578</v>
      </c>
      <c r="O74" s="27" t="s">
        <v>4579</v>
      </c>
      <c r="P74" s="28">
        <v>43209</v>
      </c>
      <c r="Q74" s="28">
        <v>50514</v>
      </c>
      <c r="R74" s="25" t="str">
        <f t="shared" si="5"/>
        <v>女</v>
      </c>
      <c r="S74" s="25" t="s">
        <v>4082</v>
      </c>
      <c r="T74" s="28" t="str">
        <f t="shared" si="6"/>
        <v>1991-04-28</v>
      </c>
      <c r="U74" s="25">
        <f t="shared" ca="1" si="9"/>
        <v>34</v>
      </c>
      <c r="V74" s="25">
        <v>15912591533</v>
      </c>
      <c r="W74" s="28">
        <v>41821</v>
      </c>
      <c r="X74" s="43">
        <v>41821</v>
      </c>
      <c r="Y74" s="29" t="str">
        <f t="shared" ca="1" si="7"/>
        <v>11年9个月</v>
      </c>
      <c r="Z74" s="25"/>
      <c r="AA74" s="26" t="str">
        <f t="shared" ca="1" si="8"/>
        <v>11年9个月</v>
      </c>
      <c r="AB74" s="25" t="s">
        <v>4131</v>
      </c>
      <c r="AC74" s="25" t="s">
        <v>119</v>
      </c>
      <c r="AD74" s="25" t="s">
        <v>4035</v>
      </c>
      <c r="AE74" s="25"/>
      <c r="AF74" s="25"/>
      <c r="AG74" s="27"/>
      <c r="AH74" s="25"/>
      <c r="AI74" s="25"/>
      <c r="AJ74" s="25"/>
      <c r="AK74" s="27"/>
      <c r="AL74" s="25" t="s">
        <v>81</v>
      </c>
      <c r="AM74" s="25" t="s">
        <v>4038</v>
      </c>
      <c r="AN74" s="27" t="s">
        <v>4039</v>
      </c>
      <c r="AO74" s="25" t="s">
        <v>4580</v>
      </c>
      <c r="AP74" s="27" t="s">
        <v>4581</v>
      </c>
      <c r="AQ74" s="25"/>
      <c r="AR74" s="25" t="s">
        <v>4188</v>
      </c>
      <c r="AS74" s="26" t="s">
        <v>4011</v>
      </c>
      <c r="AT74" s="26" t="s">
        <v>4419</v>
      </c>
      <c r="AU74" s="25" t="s">
        <v>4582</v>
      </c>
      <c r="AV74" s="25" t="s">
        <v>4582</v>
      </c>
      <c r="AW74" s="30" t="s">
        <v>3991</v>
      </c>
      <c r="AX74" s="28">
        <v>41821</v>
      </c>
      <c r="AY74" s="28">
        <v>42216</v>
      </c>
      <c r="AZ74" s="28">
        <v>44043</v>
      </c>
      <c r="BA74" s="28" t="s">
        <v>3991</v>
      </c>
      <c r="BB74" s="28"/>
      <c r="BC74" s="25"/>
      <c r="BD74" s="25"/>
      <c r="BE74" s="25"/>
      <c r="BF74" s="25"/>
      <c r="BG74" s="25"/>
      <c r="BH74" s="25"/>
      <c r="BI74" s="27"/>
    </row>
    <row r="75" spans="1:61" ht="15.6" x14ac:dyDescent="0.25">
      <c r="A75" s="25">
        <v>73</v>
      </c>
      <c r="B75" s="25" t="s">
        <v>4583</v>
      </c>
      <c r="C75" s="25" t="s">
        <v>4002</v>
      </c>
      <c r="D75" s="26" t="s">
        <v>3975</v>
      </c>
      <c r="E75" s="26" t="s">
        <v>3975</v>
      </c>
      <c r="F75" s="25" t="s">
        <v>459</v>
      </c>
      <c r="G75" s="25" t="s">
        <v>4576</v>
      </c>
      <c r="H75" s="25"/>
      <c r="I75" s="25"/>
      <c r="J75" s="25" t="s">
        <v>4584</v>
      </c>
      <c r="K75" s="25" t="s">
        <v>361</v>
      </c>
      <c r="L75" s="25" t="s">
        <v>4423</v>
      </c>
      <c r="M75" s="25" t="s">
        <v>4029</v>
      </c>
      <c r="N75" s="27" t="s">
        <v>4585</v>
      </c>
      <c r="O75" s="27" t="s">
        <v>4031</v>
      </c>
      <c r="P75" s="28">
        <v>42482</v>
      </c>
      <c r="Q75" s="28">
        <v>49787</v>
      </c>
      <c r="R75" s="25" t="str">
        <f t="shared" si="5"/>
        <v>女</v>
      </c>
      <c r="S75" s="25" t="s">
        <v>3984</v>
      </c>
      <c r="T75" s="28" t="str">
        <f t="shared" si="6"/>
        <v>1989-12-04</v>
      </c>
      <c r="U75" s="25">
        <f t="shared" ca="1" si="9"/>
        <v>36</v>
      </c>
      <c r="V75" s="25">
        <v>13577197144</v>
      </c>
      <c r="W75" s="28">
        <v>41806</v>
      </c>
      <c r="X75" s="28">
        <v>41806</v>
      </c>
      <c r="Y75" s="29" t="str">
        <f t="shared" ca="1" si="7"/>
        <v>11年9个月</v>
      </c>
      <c r="Z75" s="25" t="s">
        <v>949</v>
      </c>
      <c r="AA75" s="26" t="str">
        <f t="shared" ca="1" si="8"/>
        <v>12年0个月</v>
      </c>
      <c r="AB75" s="25" t="s">
        <v>4034</v>
      </c>
      <c r="AC75" s="25" t="s">
        <v>28</v>
      </c>
      <c r="AD75" s="25" t="s">
        <v>4035</v>
      </c>
      <c r="AE75" s="25"/>
      <c r="AF75" s="25"/>
      <c r="AG75" s="27"/>
      <c r="AH75" s="25" t="s">
        <v>4036</v>
      </c>
      <c r="AI75" s="25" t="s">
        <v>1665</v>
      </c>
      <c r="AJ75" s="25" t="s">
        <v>4050</v>
      </c>
      <c r="AK75" s="27"/>
      <c r="AL75" s="25" t="s">
        <v>81</v>
      </c>
      <c r="AM75" s="25" t="s">
        <v>4038</v>
      </c>
      <c r="AN75" s="27" t="s">
        <v>4039</v>
      </c>
      <c r="AO75" s="25" t="s">
        <v>4279</v>
      </c>
      <c r="AP75" s="27" t="s">
        <v>4586</v>
      </c>
      <c r="AQ75" s="25"/>
      <c r="AR75" s="25" t="s">
        <v>4493</v>
      </c>
      <c r="AS75" s="26" t="s">
        <v>4011</v>
      </c>
      <c r="AT75" s="25" t="s">
        <v>294</v>
      </c>
      <c r="AU75" s="25" t="s">
        <v>4587</v>
      </c>
      <c r="AV75" s="25" t="s">
        <v>4588</v>
      </c>
      <c r="AW75" s="30" t="s">
        <v>3991</v>
      </c>
      <c r="AX75" s="28">
        <v>41806</v>
      </c>
      <c r="AY75" s="28">
        <v>42947</v>
      </c>
      <c r="AZ75" s="28">
        <v>44773</v>
      </c>
      <c r="BA75" s="28" t="s">
        <v>3991</v>
      </c>
      <c r="BB75" s="28"/>
      <c r="BC75" s="25"/>
      <c r="BD75" s="25"/>
      <c r="BE75" s="25"/>
      <c r="BF75" s="25"/>
      <c r="BG75" s="25"/>
      <c r="BH75" s="25"/>
      <c r="BI75" s="25"/>
    </row>
    <row r="76" spans="1:61" ht="15.6" x14ac:dyDescent="0.25">
      <c r="A76" s="25">
        <v>74</v>
      </c>
      <c r="B76" s="25" t="s">
        <v>4589</v>
      </c>
      <c r="C76" s="25" t="s">
        <v>4002</v>
      </c>
      <c r="D76" s="26" t="s">
        <v>3975</v>
      </c>
      <c r="E76" s="26" t="s">
        <v>3975</v>
      </c>
      <c r="F76" s="25" t="s">
        <v>459</v>
      </c>
      <c r="G76" s="25" t="s">
        <v>4576</v>
      </c>
      <c r="H76" s="48"/>
      <c r="I76" s="48"/>
      <c r="J76" s="25" t="s">
        <v>4590</v>
      </c>
      <c r="K76" s="25" t="s">
        <v>361</v>
      </c>
      <c r="L76" s="25" t="s">
        <v>4028</v>
      </c>
      <c r="M76" s="25" t="s">
        <v>4029</v>
      </c>
      <c r="N76" s="27" t="s">
        <v>4591</v>
      </c>
      <c r="O76" s="27" t="s">
        <v>4031</v>
      </c>
      <c r="P76" s="28">
        <v>44225</v>
      </c>
      <c r="Q76" s="28">
        <v>51530</v>
      </c>
      <c r="R76" s="25" t="str">
        <f t="shared" si="5"/>
        <v>女</v>
      </c>
      <c r="S76" s="25" t="s">
        <v>3984</v>
      </c>
      <c r="T76" s="28" t="str">
        <f t="shared" si="6"/>
        <v>1994-11-24</v>
      </c>
      <c r="U76" s="25">
        <f t="shared" ca="1" si="9"/>
        <v>31</v>
      </c>
      <c r="V76" s="25">
        <v>13678706283</v>
      </c>
      <c r="W76" s="28">
        <v>43530</v>
      </c>
      <c r="X76" s="45">
        <v>43530</v>
      </c>
      <c r="Y76" s="29" t="str">
        <f t="shared" ca="1" si="7"/>
        <v>7年1个月</v>
      </c>
      <c r="Z76" s="25" t="s">
        <v>4592</v>
      </c>
      <c r="AA76" s="26" t="str">
        <f t="shared" ca="1" si="8"/>
        <v>9年4个月</v>
      </c>
      <c r="AB76" s="25" t="s">
        <v>4034</v>
      </c>
      <c r="AC76" s="25" t="s">
        <v>3985</v>
      </c>
      <c r="AD76" s="25" t="s">
        <v>4035</v>
      </c>
      <c r="AE76" s="25"/>
      <c r="AF76" s="25"/>
      <c r="AG76" s="27"/>
      <c r="AH76" s="25"/>
      <c r="AI76" s="25"/>
      <c r="AJ76" s="25"/>
      <c r="AK76" s="27"/>
      <c r="AL76" s="25" t="s">
        <v>305</v>
      </c>
      <c r="AM76" s="25"/>
      <c r="AN76" s="27" t="s">
        <v>4039</v>
      </c>
      <c r="AO76" s="25" t="s">
        <v>4593</v>
      </c>
      <c r="AP76" s="27" t="s">
        <v>4594</v>
      </c>
      <c r="AQ76" s="25"/>
      <c r="AR76" s="25" t="s">
        <v>4042</v>
      </c>
      <c r="AS76" s="26" t="s">
        <v>3990</v>
      </c>
      <c r="AT76" s="25" t="s">
        <v>294</v>
      </c>
      <c r="AU76" s="25" t="s">
        <v>4595</v>
      </c>
      <c r="AV76" s="25" t="s">
        <v>4595</v>
      </c>
      <c r="AW76" s="30" t="s">
        <v>3991</v>
      </c>
      <c r="AX76" s="28">
        <v>43530</v>
      </c>
      <c r="AY76" s="28">
        <v>43895</v>
      </c>
      <c r="AZ76" s="28">
        <v>44773</v>
      </c>
      <c r="BA76" s="28">
        <v>45869</v>
      </c>
      <c r="BB76" s="25" t="s">
        <v>3991</v>
      </c>
      <c r="BC76" s="28"/>
      <c r="BD76" s="25"/>
      <c r="BE76" s="25"/>
      <c r="BF76" s="25"/>
      <c r="BG76" s="49"/>
      <c r="BH76" s="49"/>
      <c r="BI76" s="50" t="s">
        <v>4596</v>
      </c>
    </row>
    <row r="77" spans="1:61" ht="15.6" x14ac:dyDescent="0.25">
      <c r="A77" s="25">
        <v>75</v>
      </c>
      <c r="B77" s="25" t="s">
        <v>4597</v>
      </c>
      <c r="C77" s="25" t="s">
        <v>4002</v>
      </c>
      <c r="D77" s="26" t="s">
        <v>3975</v>
      </c>
      <c r="E77" s="26" t="s">
        <v>3975</v>
      </c>
      <c r="F77" s="25" t="s">
        <v>459</v>
      </c>
      <c r="G77" s="25" t="s">
        <v>4576</v>
      </c>
      <c r="H77" s="48"/>
      <c r="I77" s="48"/>
      <c r="J77" s="25" t="s">
        <v>4590</v>
      </c>
      <c r="K77" s="25" t="s">
        <v>361</v>
      </c>
      <c r="L77" s="25" t="s">
        <v>4028</v>
      </c>
      <c r="M77" s="25" t="s">
        <v>4029</v>
      </c>
      <c r="N77" s="27" t="s">
        <v>4598</v>
      </c>
      <c r="O77" s="27" t="s">
        <v>4073</v>
      </c>
      <c r="P77" s="28">
        <v>45940</v>
      </c>
      <c r="Q77" s="28">
        <v>53245</v>
      </c>
      <c r="R77" s="25" t="str">
        <f t="shared" si="5"/>
        <v>男</v>
      </c>
      <c r="S77" s="25" t="s">
        <v>3984</v>
      </c>
      <c r="T77" s="28" t="str">
        <f t="shared" si="6"/>
        <v>1995-07-22</v>
      </c>
      <c r="U77" s="25">
        <f t="shared" ca="1" si="9"/>
        <v>30</v>
      </c>
      <c r="V77" s="25">
        <v>15288485330</v>
      </c>
      <c r="W77" s="28">
        <v>45481</v>
      </c>
      <c r="X77" s="28">
        <v>45481</v>
      </c>
      <c r="Y77" s="29" t="str">
        <f t="shared" ca="1" si="7"/>
        <v>1年9个月</v>
      </c>
      <c r="Z77" s="25" t="s">
        <v>4599</v>
      </c>
      <c r="AA77" s="26" t="str">
        <f t="shared" ca="1" si="8"/>
        <v>7年8个月</v>
      </c>
      <c r="AB77" s="25" t="s">
        <v>4049</v>
      </c>
      <c r="AC77" s="25" t="s">
        <v>3985</v>
      </c>
      <c r="AD77" s="25" t="s">
        <v>3986</v>
      </c>
      <c r="AE77" s="25"/>
      <c r="AF77" s="25"/>
      <c r="AG77" s="27"/>
      <c r="AH77" s="25"/>
      <c r="AI77" s="25"/>
      <c r="AJ77" s="25"/>
      <c r="AK77" s="27"/>
      <c r="AL77" s="25" t="s">
        <v>87</v>
      </c>
      <c r="AM77" s="25" t="s">
        <v>3987</v>
      </c>
      <c r="AN77" s="27" t="s">
        <v>4600</v>
      </c>
      <c r="AO77" s="25" t="s">
        <v>4601</v>
      </c>
      <c r="AP77" s="27" t="s">
        <v>4602</v>
      </c>
      <c r="AQ77" s="25"/>
      <c r="AR77" s="27" t="s">
        <v>4603</v>
      </c>
      <c r="AS77" s="26" t="s">
        <v>3990</v>
      </c>
      <c r="AT77" s="25" t="s">
        <v>4487</v>
      </c>
      <c r="AU77" s="25" t="s">
        <v>4604</v>
      </c>
      <c r="AV77" s="25" t="s">
        <v>4604</v>
      </c>
      <c r="AW77" s="30">
        <v>46575</v>
      </c>
      <c r="AX77" s="28">
        <v>45481</v>
      </c>
      <c r="AY77" s="28">
        <v>46575</v>
      </c>
      <c r="AZ77" s="28"/>
      <c r="BA77" s="28"/>
      <c r="BB77" s="28"/>
      <c r="BC77" s="25"/>
      <c r="BD77" s="25"/>
      <c r="BE77" s="25"/>
      <c r="BF77" s="25"/>
      <c r="BG77" s="25"/>
      <c r="BH77" s="25"/>
      <c r="BI77" s="27"/>
    </row>
    <row r="78" spans="1:61" ht="15.6" x14ac:dyDescent="0.25">
      <c r="A78" s="25">
        <v>76</v>
      </c>
      <c r="B78" s="25" t="s">
        <v>4605</v>
      </c>
      <c r="C78" s="25" t="s">
        <v>4002</v>
      </c>
      <c r="D78" s="26" t="s">
        <v>3975</v>
      </c>
      <c r="E78" s="26" t="s">
        <v>3975</v>
      </c>
      <c r="F78" s="25" t="s">
        <v>459</v>
      </c>
      <c r="G78" s="25"/>
      <c r="H78" s="25"/>
      <c r="I78" s="25"/>
      <c r="J78" s="25" t="s">
        <v>4606</v>
      </c>
      <c r="K78" s="25" t="s">
        <v>361</v>
      </c>
      <c r="L78" s="25" t="s">
        <v>4100</v>
      </c>
      <c r="M78" s="25" t="s">
        <v>4029</v>
      </c>
      <c r="N78" s="27" t="s">
        <v>4607</v>
      </c>
      <c r="O78" s="27" t="s">
        <v>4129</v>
      </c>
      <c r="P78" s="28">
        <v>44215</v>
      </c>
      <c r="Q78" s="28">
        <v>47867</v>
      </c>
      <c r="R78" s="25" t="str">
        <f t="shared" si="5"/>
        <v>男</v>
      </c>
      <c r="S78" s="25" t="s">
        <v>3984</v>
      </c>
      <c r="T78" s="28" t="str">
        <f t="shared" si="6"/>
        <v>2001-11-03</v>
      </c>
      <c r="U78" s="25">
        <f t="shared" ca="1" si="9"/>
        <v>24</v>
      </c>
      <c r="V78" s="25">
        <v>15887410346</v>
      </c>
      <c r="W78" s="28">
        <v>45474</v>
      </c>
      <c r="X78" s="28">
        <v>45474</v>
      </c>
      <c r="Y78" s="29" t="str">
        <f t="shared" ca="1" si="7"/>
        <v>1年9个月</v>
      </c>
      <c r="Z78" s="25"/>
      <c r="AA78" s="26" t="str">
        <f t="shared" ca="1" si="8"/>
        <v>1年9个月</v>
      </c>
      <c r="AB78" s="25" t="s">
        <v>4049</v>
      </c>
      <c r="AC78" s="25" t="s">
        <v>272</v>
      </c>
      <c r="AD78" s="25" t="s">
        <v>4035</v>
      </c>
      <c r="AE78" s="25"/>
      <c r="AF78" s="25"/>
      <c r="AG78" s="27"/>
      <c r="AH78" s="25"/>
      <c r="AI78" s="25"/>
      <c r="AJ78" s="25"/>
      <c r="AK78" s="27"/>
      <c r="AL78" s="25" t="s">
        <v>81</v>
      </c>
      <c r="AM78" s="25" t="s">
        <v>3987</v>
      </c>
      <c r="AN78" s="27" t="s">
        <v>4608</v>
      </c>
      <c r="AO78" s="25" t="s">
        <v>4236</v>
      </c>
      <c r="AP78" s="27" t="s">
        <v>4609</v>
      </c>
      <c r="AQ78" s="25"/>
      <c r="AR78" s="25" t="s">
        <v>4238</v>
      </c>
      <c r="AS78" s="26" t="s">
        <v>4065</v>
      </c>
      <c r="AT78" s="25" t="s">
        <v>4225</v>
      </c>
      <c r="AU78" s="25" t="s">
        <v>4610</v>
      </c>
      <c r="AV78" s="25" t="s">
        <v>4611</v>
      </c>
      <c r="AW78" s="30">
        <v>46934</v>
      </c>
      <c r="AX78" s="28">
        <v>45474</v>
      </c>
      <c r="AY78" s="28">
        <v>45838</v>
      </c>
      <c r="AZ78" s="28">
        <v>46934</v>
      </c>
      <c r="BA78" s="28"/>
      <c r="BB78" s="28"/>
      <c r="BC78" s="25"/>
      <c r="BD78" s="25"/>
      <c r="BE78" s="25"/>
      <c r="BF78" s="25"/>
      <c r="BG78" s="25"/>
      <c r="BH78" s="25"/>
      <c r="BI78" s="27"/>
    </row>
    <row r="79" spans="1:61" ht="15.6" x14ac:dyDescent="0.25">
      <c r="A79" s="25">
        <v>77</v>
      </c>
      <c r="B79" s="25" t="s">
        <v>4612</v>
      </c>
      <c r="C79" s="25" t="s">
        <v>4002</v>
      </c>
      <c r="D79" s="26" t="s">
        <v>3975</v>
      </c>
      <c r="E79" s="26" t="s">
        <v>3975</v>
      </c>
      <c r="F79" s="25" t="s">
        <v>459</v>
      </c>
      <c r="G79" s="25"/>
      <c r="H79" s="25"/>
      <c r="I79" s="25"/>
      <c r="J79" s="25" t="s">
        <v>4613</v>
      </c>
      <c r="K79" s="25" t="s">
        <v>399</v>
      </c>
      <c r="L79" s="25" t="s">
        <v>4614</v>
      </c>
      <c r="M79" s="25" t="s">
        <v>4029</v>
      </c>
      <c r="N79" s="27" t="s">
        <v>2199</v>
      </c>
      <c r="O79" s="27" t="s">
        <v>4615</v>
      </c>
      <c r="P79" s="28">
        <v>44756</v>
      </c>
      <c r="Q79" s="28">
        <v>52061</v>
      </c>
      <c r="R79" s="25" t="str">
        <f t="shared" si="5"/>
        <v>女</v>
      </c>
      <c r="S79" s="25" t="s">
        <v>4032</v>
      </c>
      <c r="T79" s="28" t="str">
        <f t="shared" si="6"/>
        <v>1991-08-20</v>
      </c>
      <c r="U79" s="25">
        <f t="shared" ca="1" si="9"/>
        <v>34</v>
      </c>
      <c r="V79" s="25">
        <v>13638761712</v>
      </c>
      <c r="W79" s="28">
        <v>42263</v>
      </c>
      <c r="X79" s="28">
        <v>42263</v>
      </c>
      <c r="Y79" s="29" t="str">
        <f t="shared" ca="1" si="7"/>
        <v>10年6个月</v>
      </c>
      <c r="Z79" s="25" t="s">
        <v>4327</v>
      </c>
      <c r="AA79" s="26" t="str">
        <f t="shared" ca="1" si="8"/>
        <v>11年6个月</v>
      </c>
      <c r="AB79" s="25" t="s">
        <v>4034</v>
      </c>
      <c r="AC79" s="25" t="s">
        <v>4616</v>
      </c>
      <c r="AD79" s="25" t="s">
        <v>4035</v>
      </c>
      <c r="AE79" s="33"/>
      <c r="AF79" s="33"/>
      <c r="AG79" s="34"/>
      <c r="AH79" s="25" t="s">
        <v>4102</v>
      </c>
      <c r="AI79" s="25" t="s">
        <v>4613</v>
      </c>
      <c r="AJ79" s="25" t="s">
        <v>1012</v>
      </c>
      <c r="AK79" s="27" t="s">
        <v>4617</v>
      </c>
      <c r="AL79" s="25" t="s">
        <v>81</v>
      </c>
      <c r="AM79" s="25" t="s">
        <v>3987</v>
      </c>
      <c r="AN79" s="27" t="s">
        <v>4618</v>
      </c>
      <c r="AO79" s="25" t="s">
        <v>4619</v>
      </c>
      <c r="AP79" s="27" t="s">
        <v>4620</v>
      </c>
      <c r="AQ79" s="25"/>
      <c r="AR79" s="25" t="s">
        <v>4621</v>
      </c>
      <c r="AS79" s="26" t="s">
        <v>3990</v>
      </c>
      <c r="AT79" s="25" t="s">
        <v>4239</v>
      </c>
      <c r="AU79" s="25" t="s">
        <v>4622</v>
      </c>
      <c r="AV79" s="25" t="s">
        <v>2194</v>
      </c>
      <c r="AW79" s="51" t="s">
        <v>3991</v>
      </c>
      <c r="AX79" s="45">
        <v>42263</v>
      </c>
      <c r="AY79" s="45">
        <v>43358</v>
      </c>
      <c r="AZ79" s="28">
        <v>45138</v>
      </c>
      <c r="BA79" s="28" t="s">
        <v>3991</v>
      </c>
      <c r="BB79" s="28"/>
      <c r="BC79" s="25"/>
      <c r="BD79" s="25"/>
      <c r="BE79" s="25"/>
      <c r="BF79" s="25"/>
      <c r="BG79" s="25"/>
      <c r="BH79" s="25"/>
      <c r="BI79" s="25"/>
    </row>
    <row r="80" spans="1:61" ht="15.6" x14ac:dyDescent="0.25">
      <c r="A80" s="25">
        <v>78</v>
      </c>
      <c r="B80" s="25" t="s">
        <v>4623</v>
      </c>
      <c r="C80" s="25" t="s">
        <v>4002</v>
      </c>
      <c r="D80" s="26" t="s">
        <v>3975</v>
      </c>
      <c r="E80" s="26" t="s">
        <v>3975</v>
      </c>
      <c r="F80" s="25" t="s">
        <v>459</v>
      </c>
      <c r="G80" s="25"/>
      <c r="H80" s="25"/>
      <c r="I80" s="25"/>
      <c r="J80" s="25" t="s">
        <v>4624</v>
      </c>
      <c r="K80" s="25" t="s">
        <v>399</v>
      </c>
      <c r="L80" s="25" t="s">
        <v>4625</v>
      </c>
      <c r="M80" s="25" t="s">
        <v>4029</v>
      </c>
      <c r="N80" s="27" t="s">
        <v>4626</v>
      </c>
      <c r="O80" s="27" t="s">
        <v>4031</v>
      </c>
      <c r="P80" s="28">
        <v>43395</v>
      </c>
      <c r="Q80" s="28">
        <v>50700</v>
      </c>
      <c r="R80" s="25" t="str">
        <f t="shared" si="5"/>
        <v>男</v>
      </c>
      <c r="S80" s="25" t="s">
        <v>3984</v>
      </c>
      <c r="T80" s="28" t="str">
        <f t="shared" si="6"/>
        <v>1990-10-05</v>
      </c>
      <c r="U80" s="25">
        <f t="shared" ca="1" si="9"/>
        <v>35</v>
      </c>
      <c r="V80" s="25">
        <v>13008692052</v>
      </c>
      <c r="W80" s="28">
        <v>41848</v>
      </c>
      <c r="X80" s="28">
        <v>41848</v>
      </c>
      <c r="Y80" s="29" t="str">
        <f t="shared" ca="1" si="7"/>
        <v>11年8个月</v>
      </c>
      <c r="Z80" s="25"/>
      <c r="AA80" s="26" t="str">
        <f t="shared" ca="1" si="8"/>
        <v>11年8个月</v>
      </c>
      <c r="AB80" s="25" t="s">
        <v>29</v>
      </c>
      <c r="AC80" s="25" t="s">
        <v>3985</v>
      </c>
      <c r="AD80" s="25" t="s">
        <v>3986</v>
      </c>
      <c r="AE80" s="33"/>
      <c r="AF80" s="33"/>
      <c r="AG80" s="34"/>
      <c r="AH80" s="25" t="s">
        <v>4102</v>
      </c>
      <c r="AI80" s="25" t="s">
        <v>2349</v>
      </c>
      <c r="AJ80" s="25" t="s">
        <v>437</v>
      </c>
      <c r="AK80" s="27" t="s">
        <v>4627</v>
      </c>
      <c r="AL80" s="25" t="s">
        <v>81</v>
      </c>
      <c r="AM80" s="25" t="s">
        <v>3987</v>
      </c>
      <c r="AN80" s="27" t="s">
        <v>4628</v>
      </c>
      <c r="AO80" s="25" t="s">
        <v>4629</v>
      </c>
      <c r="AP80" s="27" t="s">
        <v>4630</v>
      </c>
      <c r="AQ80" s="25"/>
      <c r="AR80" s="27" t="s">
        <v>4631</v>
      </c>
      <c r="AS80" s="26" t="s">
        <v>4011</v>
      </c>
      <c r="AT80" s="25" t="s">
        <v>294</v>
      </c>
      <c r="AU80" s="25" t="s">
        <v>4632</v>
      </c>
      <c r="AV80" s="25" t="s">
        <v>4633</v>
      </c>
      <c r="AW80" s="30" t="s">
        <v>3991</v>
      </c>
      <c r="AX80" s="28">
        <v>41851</v>
      </c>
      <c r="AY80" s="28">
        <v>42216</v>
      </c>
      <c r="AZ80" s="28">
        <v>44043</v>
      </c>
      <c r="BA80" s="28">
        <v>45138</v>
      </c>
      <c r="BB80" s="28" t="s">
        <v>3991</v>
      </c>
      <c r="BC80" s="25"/>
      <c r="BD80" s="25"/>
      <c r="BE80" s="25"/>
      <c r="BF80" s="25"/>
      <c r="BG80" s="25"/>
      <c r="BH80" s="25"/>
      <c r="BI80" s="27"/>
    </row>
    <row r="81" spans="1:61" ht="15.6" x14ac:dyDescent="0.25">
      <c r="A81" s="25">
        <v>79</v>
      </c>
      <c r="B81" s="25" t="s">
        <v>4634</v>
      </c>
      <c r="C81" s="25" t="s">
        <v>4002</v>
      </c>
      <c r="D81" s="26" t="s">
        <v>3975</v>
      </c>
      <c r="E81" s="26" t="s">
        <v>3975</v>
      </c>
      <c r="F81" s="25" t="s">
        <v>459</v>
      </c>
      <c r="G81" s="25"/>
      <c r="H81" s="25"/>
      <c r="I81" s="25"/>
      <c r="J81" s="25" t="s">
        <v>4624</v>
      </c>
      <c r="K81" s="25" t="s">
        <v>399</v>
      </c>
      <c r="L81" s="25" t="s">
        <v>4625</v>
      </c>
      <c r="M81" s="25" t="s">
        <v>4029</v>
      </c>
      <c r="N81" s="27" t="s">
        <v>4635</v>
      </c>
      <c r="O81" s="27" t="s">
        <v>4636</v>
      </c>
      <c r="P81" s="28">
        <v>43247</v>
      </c>
      <c r="Q81" s="28">
        <v>46900</v>
      </c>
      <c r="R81" s="25" t="str">
        <f t="shared" si="5"/>
        <v>男</v>
      </c>
      <c r="S81" s="25" t="s">
        <v>3984</v>
      </c>
      <c r="T81" s="28" t="str">
        <f t="shared" si="6"/>
        <v>2002-04-17</v>
      </c>
      <c r="U81" s="25">
        <f t="shared" ca="1" si="9"/>
        <v>23</v>
      </c>
      <c r="V81" s="25">
        <v>18222763276</v>
      </c>
      <c r="W81" s="28">
        <v>45901</v>
      </c>
      <c r="X81" s="28">
        <v>45901</v>
      </c>
      <c r="Y81" s="29" t="str">
        <f t="shared" ca="1" si="7"/>
        <v>0年7个月</v>
      </c>
      <c r="Z81" s="25"/>
      <c r="AA81" s="26" t="str">
        <f t="shared" ca="1" si="8"/>
        <v>0年7个月</v>
      </c>
      <c r="AB81" s="25" t="s">
        <v>4049</v>
      </c>
      <c r="AC81" s="25" t="s">
        <v>272</v>
      </c>
      <c r="AD81" s="25" t="s">
        <v>3986</v>
      </c>
      <c r="AE81" s="25"/>
      <c r="AF81" s="25"/>
      <c r="AG81" s="27"/>
      <c r="AH81" s="25"/>
      <c r="AI81" s="25"/>
      <c r="AJ81" s="25"/>
      <c r="AK81" s="27"/>
      <c r="AL81" s="25" t="s">
        <v>81</v>
      </c>
      <c r="AM81" s="25" t="s">
        <v>3987</v>
      </c>
      <c r="AN81" s="27" t="s">
        <v>4637</v>
      </c>
      <c r="AO81" s="25" t="s">
        <v>4293</v>
      </c>
      <c r="AP81" s="27" t="s">
        <v>4638</v>
      </c>
      <c r="AQ81" s="25" t="s">
        <v>4474</v>
      </c>
      <c r="AR81" s="27" t="s">
        <v>4639</v>
      </c>
      <c r="AS81" s="26" t="s">
        <v>4011</v>
      </c>
      <c r="AT81" s="25" t="s">
        <v>4640</v>
      </c>
      <c r="AU81" s="25" t="s">
        <v>4641</v>
      </c>
      <c r="AV81" s="25" t="s">
        <v>4642</v>
      </c>
      <c r="AW81" s="30">
        <v>46265</v>
      </c>
      <c r="AX81" s="28">
        <v>45901</v>
      </c>
      <c r="AY81" s="28">
        <v>46265</v>
      </c>
      <c r="AZ81" s="28"/>
      <c r="BA81" s="28"/>
      <c r="BB81" s="28"/>
      <c r="BC81" s="25"/>
      <c r="BD81" s="25"/>
      <c r="BE81" s="25"/>
      <c r="BF81" s="25"/>
      <c r="BG81" s="25"/>
      <c r="BH81" s="25"/>
      <c r="BI81" s="27"/>
    </row>
    <row r="82" spans="1:61" ht="15.6" x14ac:dyDescent="0.25">
      <c r="A82" s="25">
        <v>80</v>
      </c>
      <c r="B82" s="25" t="s">
        <v>4643</v>
      </c>
      <c r="C82" s="25" t="s">
        <v>4002</v>
      </c>
      <c r="D82" s="26" t="s">
        <v>3975</v>
      </c>
      <c r="E82" s="26" t="s">
        <v>3975</v>
      </c>
      <c r="F82" s="25" t="s">
        <v>459</v>
      </c>
      <c r="G82" s="25"/>
      <c r="H82" s="25"/>
      <c r="I82" s="25"/>
      <c r="J82" s="25" t="s">
        <v>4644</v>
      </c>
      <c r="K82" s="25" t="s">
        <v>361</v>
      </c>
      <c r="L82" s="25" t="s">
        <v>4100</v>
      </c>
      <c r="M82" s="25" t="s">
        <v>4029</v>
      </c>
      <c r="N82" s="27" t="s">
        <v>4645</v>
      </c>
      <c r="O82" s="27" t="s">
        <v>4019</v>
      </c>
      <c r="P82" s="28">
        <v>41621</v>
      </c>
      <c r="Q82" s="28">
        <v>48926</v>
      </c>
      <c r="R82" s="25" t="str">
        <f t="shared" si="5"/>
        <v>女</v>
      </c>
      <c r="S82" s="25" t="s">
        <v>3984</v>
      </c>
      <c r="T82" s="28" t="str">
        <f t="shared" si="6"/>
        <v>1983-03-04</v>
      </c>
      <c r="U82" s="25">
        <f t="shared" ca="1" si="9"/>
        <v>43</v>
      </c>
      <c r="V82" s="25">
        <v>13708807976</v>
      </c>
      <c r="W82" s="28">
        <v>44144</v>
      </c>
      <c r="X82" s="28">
        <v>44144</v>
      </c>
      <c r="Y82" s="29" t="str">
        <f t="shared" ca="1" si="7"/>
        <v>5年5个月</v>
      </c>
      <c r="Z82" s="25" t="s">
        <v>4646</v>
      </c>
      <c r="AA82" s="26" t="str">
        <f t="shared" ca="1" si="8"/>
        <v>14年10个月</v>
      </c>
      <c r="AB82" s="28" t="s">
        <v>4034</v>
      </c>
      <c r="AC82" s="25" t="s">
        <v>3985</v>
      </c>
      <c r="AD82" s="25" t="s">
        <v>3986</v>
      </c>
      <c r="AE82" s="25" t="s">
        <v>692</v>
      </c>
      <c r="AF82" s="25" t="s">
        <v>437</v>
      </c>
      <c r="AG82" s="27" t="s">
        <v>3869</v>
      </c>
      <c r="AH82" s="25" t="s">
        <v>4102</v>
      </c>
      <c r="AI82" s="25" t="s">
        <v>1597</v>
      </c>
      <c r="AJ82" s="25"/>
      <c r="AK82" s="27" t="s">
        <v>4647</v>
      </c>
      <c r="AL82" s="25" t="s">
        <v>87</v>
      </c>
      <c r="AM82" s="25" t="s">
        <v>3987</v>
      </c>
      <c r="AN82" s="27" t="s">
        <v>4648</v>
      </c>
      <c r="AO82" s="52" t="s">
        <v>4649</v>
      </c>
      <c r="AP82" s="53" t="s">
        <v>4650</v>
      </c>
      <c r="AQ82" s="25">
        <v>211</v>
      </c>
      <c r="AR82" s="27" t="s">
        <v>4651</v>
      </c>
      <c r="AS82" s="26" t="s">
        <v>4011</v>
      </c>
      <c r="AT82" s="25" t="s">
        <v>4207</v>
      </c>
      <c r="AU82" s="25" t="s">
        <v>4652</v>
      </c>
      <c r="AV82" s="25" t="s">
        <v>4652</v>
      </c>
      <c r="AW82" s="30">
        <v>46599</v>
      </c>
      <c r="AX82" s="28">
        <v>44144</v>
      </c>
      <c r="AY82" s="28">
        <v>44873</v>
      </c>
      <c r="AZ82" s="28">
        <v>46599</v>
      </c>
      <c r="BA82" s="28"/>
      <c r="BB82" s="28"/>
      <c r="BC82" s="25"/>
      <c r="BD82" s="25"/>
      <c r="BE82" s="25"/>
      <c r="BF82" s="33"/>
      <c r="BG82" s="33"/>
      <c r="BH82" s="33"/>
      <c r="BI82" s="25"/>
    </row>
    <row r="83" spans="1:61" ht="15.6" x14ac:dyDescent="0.25">
      <c r="A83" s="25">
        <v>81</v>
      </c>
      <c r="B83" s="25" t="s">
        <v>4653</v>
      </c>
      <c r="C83" s="25" t="s">
        <v>4002</v>
      </c>
      <c r="D83" s="26" t="s">
        <v>3975</v>
      </c>
      <c r="E83" s="26" t="s">
        <v>3975</v>
      </c>
      <c r="F83" s="25" t="s">
        <v>459</v>
      </c>
      <c r="G83" s="25"/>
      <c r="H83" s="25"/>
      <c r="I83" s="25"/>
      <c r="J83" s="25" t="s">
        <v>4644</v>
      </c>
      <c r="K83" s="25" t="s">
        <v>361</v>
      </c>
      <c r="L83" s="25" t="s">
        <v>4100</v>
      </c>
      <c r="M83" s="25" t="s">
        <v>4029</v>
      </c>
      <c r="N83" s="27" t="s">
        <v>4654</v>
      </c>
      <c r="O83" s="27" t="s">
        <v>4397</v>
      </c>
      <c r="P83" s="28">
        <v>44118</v>
      </c>
      <c r="Q83" s="28">
        <v>47770</v>
      </c>
      <c r="R83" s="25" t="str">
        <f t="shared" si="5"/>
        <v>女</v>
      </c>
      <c r="S83" s="25" t="s">
        <v>3984</v>
      </c>
      <c r="T83" s="28" t="str">
        <f t="shared" si="6"/>
        <v>2001-06-15</v>
      </c>
      <c r="U83" s="25">
        <f t="shared" ca="1" si="9"/>
        <v>24</v>
      </c>
      <c r="V83" s="25">
        <v>18508866030</v>
      </c>
      <c r="W83" s="28">
        <v>45901</v>
      </c>
      <c r="X83" s="28">
        <v>45901</v>
      </c>
      <c r="Y83" s="29" t="str">
        <f t="shared" ca="1" si="7"/>
        <v>0年7个月</v>
      </c>
      <c r="Z83" s="25" t="s">
        <v>4655</v>
      </c>
      <c r="AA83" s="26" t="str">
        <f t="shared" ca="1" si="8"/>
        <v>1年3个月</v>
      </c>
      <c r="AB83" s="28" t="s">
        <v>4049</v>
      </c>
      <c r="AC83" s="25" t="s">
        <v>272</v>
      </c>
      <c r="AD83" s="25" t="s">
        <v>4084</v>
      </c>
      <c r="AE83" s="25"/>
      <c r="AF83" s="25"/>
      <c r="AG83" s="27"/>
      <c r="AH83" s="25"/>
      <c r="AI83" s="25"/>
      <c r="AJ83" s="25"/>
      <c r="AK83" s="27"/>
      <c r="AL83" s="25" t="s">
        <v>81</v>
      </c>
      <c r="AM83" s="25" t="s">
        <v>3987</v>
      </c>
      <c r="AN83" s="27" t="s">
        <v>4656</v>
      </c>
      <c r="AO83" s="52" t="s">
        <v>4484</v>
      </c>
      <c r="AP83" s="53" t="s">
        <v>4657</v>
      </c>
      <c r="AQ83" s="25">
        <v>211</v>
      </c>
      <c r="AR83" s="27" t="s">
        <v>4538</v>
      </c>
      <c r="AS83" s="26" t="s">
        <v>4011</v>
      </c>
      <c r="AT83" s="25" t="s">
        <v>4658</v>
      </c>
      <c r="AU83" s="25" t="s">
        <v>4659</v>
      </c>
      <c r="AV83" s="25" t="s">
        <v>4659</v>
      </c>
      <c r="AW83" s="30">
        <v>46265</v>
      </c>
      <c r="AX83" s="28">
        <v>45901</v>
      </c>
      <c r="AY83" s="28">
        <v>46265</v>
      </c>
      <c r="AZ83" s="28"/>
      <c r="BA83" s="28"/>
      <c r="BB83" s="28"/>
      <c r="BC83" s="25"/>
      <c r="BD83" s="25"/>
      <c r="BE83" s="25"/>
      <c r="BF83" s="33"/>
      <c r="BG83" s="33"/>
      <c r="BH83" s="33"/>
      <c r="BI83" s="25"/>
    </row>
    <row r="84" spans="1:61" ht="15.6" x14ac:dyDescent="0.25">
      <c r="A84" s="25">
        <v>82</v>
      </c>
      <c r="B84" s="25" t="s">
        <v>4660</v>
      </c>
      <c r="C84" s="25" t="s">
        <v>4002</v>
      </c>
      <c r="D84" s="26" t="s">
        <v>3975</v>
      </c>
      <c r="E84" s="26" t="s">
        <v>3975</v>
      </c>
      <c r="F84" s="25" t="s">
        <v>459</v>
      </c>
      <c r="G84" s="25"/>
      <c r="H84" s="25"/>
      <c r="I84" s="25"/>
      <c r="J84" s="25" t="s">
        <v>4661</v>
      </c>
      <c r="K84" s="25" t="s">
        <v>399</v>
      </c>
      <c r="L84" s="25" t="s">
        <v>4662</v>
      </c>
      <c r="M84" s="25" t="s">
        <v>4029</v>
      </c>
      <c r="N84" s="27" t="s">
        <v>4663</v>
      </c>
      <c r="O84" s="27" t="s">
        <v>4664</v>
      </c>
      <c r="P84" s="28">
        <v>42433</v>
      </c>
      <c r="Q84" s="28">
        <v>49738</v>
      </c>
      <c r="R84" s="25" t="str">
        <f t="shared" si="5"/>
        <v>男</v>
      </c>
      <c r="S84" s="25" t="s">
        <v>3984</v>
      </c>
      <c r="T84" s="28" t="str">
        <f t="shared" si="6"/>
        <v>1989-03-23</v>
      </c>
      <c r="U84" s="25">
        <f t="shared" ca="1" si="9"/>
        <v>37</v>
      </c>
      <c r="V84" s="25">
        <v>13099910170</v>
      </c>
      <c r="W84" s="28">
        <v>44272</v>
      </c>
      <c r="X84" s="28">
        <v>44272</v>
      </c>
      <c r="Y84" s="29" t="str">
        <f t="shared" ca="1" si="7"/>
        <v>5年0个月</v>
      </c>
      <c r="Z84" s="25" t="s">
        <v>4665</v>
      </c>
      <c r="AA84" s="26" t="str">
        <f t="shared" ca="1" si="8"/>
        <v>7年6个月</v>
      </c>
      <c r="AB84" s="25" t="s">
        <v>4034</v>
      </c>
      <c r="AC84" s="25" t="s">
        <v>4176</v>
      </c>
      <c r="AD84" s="25" t="s">
        <v>3986</v>
      </c>
      <c r="AE84" s="25"/>
      <c r="AF84" s="25"/>
      <c r="AG84" s="27"/>
      <c r="AH84" s="25"/>
      <c r="AI84" s="25"/>
      <c r="AJ84" s="25"/>
      <c r="AK84" s="27"/>
      <c r="AL84" s="25" t="s">
        <v>87</v>
      </c>
      <c r="AM84" s="25" t="s">
        <v>3987</v>
      </c>
      <c r="AN84" s="27" t="s">
        <v>4666</v>
      </c>
      <c r="AO84" s="52" t="s">
        <v>4062</v>
      </c>
      <c r="AP84" s="53" t="s">
        <v>4667</v>
      </c>
      <c r="AQ84" s="25"/>
      <c r="AR84" s="27" t="s">
        <v>4668</v>
      </c>
      <c r="AS84" s="26" t="s">
        <v>4011</v>
      </c>
      <c r="AT84" s="25" t="s">
        <v>4207</v>
      </c>
      <c r="AU84" s="25" t="s">
        <v>4669</v>
      </c>
      <c r="AV84" s="25" t="s">
        <v>4670</v>
      </c>
      <c r="AW84" s="30" t="s">
        <v>3991</v>
      </c>
      <c r="AX84" s="28">
        <v>44272</v>
      </c>
      <c r="AY84" s="28">
        <v>44636</v>
      </c>
      <c r="AZ84" s="28">
        <v>45869</v>
      </c>
      <c r="BA84" s="25" t="s">
        <v>3991</v>
      </c>
      <c r="BB84" s="28"/>
      <c r="BC84" s="25"/>
      <c r="BD84" s="25"/>
      <c r="BE84" s="25"/>
      <c r="BF84" s="33"/>
      <c r="BG84" s="33"/>
      <c r="BH84" s="33"/>
      <c r="BI84" s="25"/>
    </row>
    <row r="85" spans="1:61" ht="15.6" x14ac:dyDescent="0.25">
      <c r="A85" s="25">
        <v>83</v>
      </c>
      <c r="B85" s="25" t="s">
        <v>4671</v>
      </c>
      <c r="C85" s="25" t="s">
        <v>4002</v>
      </c>
      <c r="D85" s="26" t="s">
        <v>3975</v>
      </c>
      <c r="E85" s="26" t="s">
        <v>3975</v>
      </c>
      <c r="F85" s="25" t="s">
        <v>4672</v>
      </c>
      <c r="G85" s="25"/>
      <c r="H85" s="25"/>
      <c r="I85" s="25"/>
      <c r="J85" s="25" t="s">
        <v>4673</v>
      </c>
      <c r="K85" s="25" t="s">
        <v>399</v>
      </c>
      <c r="L85" s="25" t="s">
        <v>1553</v>
      </c>
      <c r="M85" s="25" t="s">
        <v>4029</v>
      </c>
      <c r="N85" s="27" t="s">
        <v>4674</v>
      </c>
      <c r="O85" s="27" t="s">
        <v>4005</v>
      </c>
      <c r="P85" s="28">
        <v>44984</v>
      </c>
      <c r="Q85" s="28">
        <v>52289</v>
      </c>
      <c r="R85" s="25" t="str">
        <f t="shared" si="5"/>
        <v>男</v>
      </c>
      <c r="S85" s="25" t="s">
        <v>3984</v>
      </c>
      <c r="T85" s="28" t="str">
        <f t="shared" si="6"/>
        <v>1987-06-21</v>
      </c>
      <c r="U85" s="25">
        <f t="shared" ca="1" si="9"/>
        <v>38</v>
      </c>
      <c r="V85" s="25">
        <v>15877971809</v>
      </c>
      <c r="W85" s="28">
        <v>42515</v>
      </c>
      <c r="X85" s="28">
        <v>42515</v>
      </c>
      <c r="Y85" s="29" t="str">
        <f t="shared" ca="1" si="7"/>
        <v>9年10个月</v>
      </c>
      <c r="Z85" s="25" t="s">
        <v>1758</v>
      </c>
      <c r="AA85" s="26" t="str">
        <f t="shared" ca="1" si="8"/>
        <v>15年1个月</v>
      </c>
      <c r="AB85" s="25" t="s">
        <v>29</v>
      </c>
      <c r="AC85" s="25" t="s">
        <v>3985</v>
      </c>
      <c r="AD85" s="25" t="s">
        <v>3986</v>
      </c>
      <c r="AE85" s="25" t="s">
        <v>1708</v>
      </c>
      <c r="AF85" s="25" t="s">
        <v>437</v>
      </c>
      <c r="AG85" s="27" t="s">
        <v>3893</v>
      </c>
      <c r="AH85" s="25"/>
      <c r="AI85" s="25"/>
      <c r="AJ85" s="25"/>
      <c r="AK85" s="27"/>
      <c r="AL85" s="25" t="s">
        <v>81</v>
      </c>
      <c r="AM85" s="25" t="s">
        <v>3987</v>
      </c>
      <c r="AN85" s="27" t="s">
        <v>4675</v>
      </c>
      <c r="AO85" s="25" t="s">
        <v>4062</v>
      </c>
      <c r="AP85" s="27" t="s">
        <v>4675</v>
      </c>
      <c r="AQ85" s="25"/>
      <c r="AR85" s="25" t="s">
        <v>4676</v>
      </c>
      <c r="AS85" s="26" t="s">
        <v>4011</v>
      </c>
      <c r="AT85" s="25" t="s">
        <v>4476</v>
      </c>
      <c r="AU85" s="25" t="s">
        <v>2108</v>
      </c>
      <c r="AV85" s="25" t="s">
        <v>4677</v>
      </c>
      <c r="AW85" s="30" t="s">
        <v>3991</v>
      </c>
      <c r="AX85" s="45">
        <v>42515</v>
      </c>
      <c r="AY85" s="45">
        <v>42879</v>
      </c>
      <c r="AZ85" s="28">
        <v>44043</v>
      </c>
      <c r="BA85" s="28">
        <v>45138</v>
      </c>
      <c r="BB85" s="28" t="s">
        <v>3991</v>
      </c>
      <c r="BC85" s="25"/>
      <c r="BD85" s="25"/>
      <c r="BE85" s="25"/>
      <c r="BF85" s="25"/>
      <c r="BG85" s="25"/>
      <c r="BH85" s="25"/>
      <c r="BI85" s="54" t="s">
        <v>4678</v>
      </c>
    </row>
    <row r="86" spans="1:61" ht="15.6" x14ac:dyDescent="0.25">
      <c r="A86" s="25">
        <v>84</v>
      </c>
      <c r="B86" s="25" t="s">
        <v>4679</v>
      </c>
      <c r="C86" s="25" t="s">
        <v>4002</v>
      </c>
      <c r="D86" s="26" t="s">
        <v>3975</v>
      </c>
      <c r="E86" s="26" t="s">
        <v>3975</v>
      </c>
      <c r="F86" s="25" t="s">
        <v>4672</v>
      </c>
      <c r="G86" s="25"/>
      <c r="H86" s="25"/>
      <c r="I86" s="25"/>
      <c r="J86" s="25" t="s">
        <v>4680</v>
      </c>
      <c r="K86" s="25" t="s">
        <v>399</v>
      </c>
      <c r="L86" s="25" t="s">
        <v>4662</v>
      </c>
      <c r="M86" s="25" t="s">
        <v>4029</v>
      </c>
      <c r="N86" s="27" t="s">
        <v>4681</v>
      </c>
      <c r="O86" s="27" t="s">
        <v>4682</v>
      </c>
      <c r="P86" s="28">
        <v>45344</v>
      </c>
      <c r="Q86" s="28">
        <v>52649</v>
      </c>
      <c r="R86" s="25" t="str">
        <f t="shared" si="5"/>
        <v>男</v>
      </c>
      <c r="S86" s="25" t="s">
        <v>3984</v>
      </c>
      <c r="T86" s="28" t="str">
        <f t="shared" si="6"/>
        <v>1997-04-09</v>
      </c>
      <c r="U86" s="25">
        <f t="shared" ca="1" si="9"/>
        <v>29</v>
      </c>
      <c r="V86" s="25">
        <v>15111380386</v>
      </c>
      <c r="W86" s="28">
        <v>45510</v>
      </c>
      <c r="X86" s="28">
        <v>45510</v>
      </c>
      <c r="Y86" s="29" t="str">
        <f t="shared" ca="1" si="7"/>
        <v>1年8个月</v>
      </c>
      <c r="Z86" s="25" t="s">
        <v>4083</v>
      </c>
      <c r="AA86" s="26" t="str">
        <f t="shared" ca="1" si="8"/>
        <v>6年5个月</v>
      </c>
      <c r="AB86" s="25" t="s">
        <v>4049</v>
      </c>
      <c r="AC86" s="25" t="s">
        <v>119</v>
      </c>
      <c r="AD86" s="25" t="s">
        <v>4035</v>
      </c>
      <c r="AE86" s="25"/>
      <c r="AF86" s="25"/>
      <c r="AG86" s="27"/>
      <c r="AH86" s="25"/>
      <c r="AI86" s="25"/>
      <c r="AJ86" s="25"/>
      <c r="AK86" s="27"/>
      <c r="AL86" s="25" t="s">
        <v>81</v>
      </c>
      <c r="AM86" s="25" t="s">
        <v>3987</v>
      </c>
      <c r="AN86" s="27" t="s">
        <v>4683</v>
      </c>
      <c r="AO86" s="25" t="s">
        <v>4484</v>
      </c>
      <c r="AP86" s="27" t="s">
        <v>4684</v>
      </c>
      <c r="AQ86" s="25">
        <v>211</v>
      </c>
      <c r="AR86" s="27" t="s">
        <v>4538</v>
      </c>
      <c r="AS86" s="26" t="s">
        <v>4011</v>
      </c>
      <c r="AT86" s="25" t="s">
        <v>4137</v>
      </c>
      <c r="AU86" s="25" t="s">
        <v>4685</v>
      </c>
      <c r="AV86" s="25" t="s">
        <v>4686</v>
      </c>
      <c r="AW86" s="30">
        <v>46965</v>
      </c>
      <c r="AX86" s="28">
        <v>45510</v>
      </c>
      <c r="AY86" s="28">
        <v>45874</v>
      </c>
      <c r="AZ86" s="28">
        <v>46965</v>
      </c>
      <c r="BA86" s="28"/>
      <c r="BB86" s="28"/>
      <c r="BC86" s="25"/>
      <c r="BD86" s="25"/>
      <c r="BE86" s="25"/>
      <c r="BF86" s="25"/>
      <c r="BG86" s="25"/>
      <c r="BH86" s="25"/>
      <c r="BI86" s="27"/>
    </row>
    <row r="87" spans="1:61" ht="15.6" x14ac:dyDescent="0.25">
      <c r="A87" s="25">
        <v>85</v>
      </c>
      <c r="B87" s="25" t="s">
        <v>4687</v>
      </c>
      <c r="C87" s="25" t="s">
        <v>3974</v>
      </c>
      <c r="D87" s="26" t="s">
        <v>3975</v>
      </c>
      <c r="E87" s="26" t="s">
        <v>3975</v>
      </c>
      <c r="F87" s="25" t="s">
        <v>4672</v>
      </c>
      <c r="G87" s="25"/>
      <c r="H87" s="25"/>
      <c r="I87" s="25"/>
      <c r="J87" s="25" t="s">
        <v>4688</v>
      </c>
      <c r="K87" s="25" t="s">
        <v>556</v>
      </c>
      <c r="L87" s="25" t="s">
        <v>4543</v>
      </c>
      <c r="M87" s="25" t="s">
        <v>4029</v>
      </c>
      <c r="N87" s="27" t="s">
        <v>4689</v>
      </c>
      <c r="O87" s="27" t="s">
        <v>3981</v>
      </c>
      <c r="P87" s="28">
        <v>40158</v>
      </c>
      <c r="Q87" s="28" t="s">
        <v>3983</v>
      </c>
      <c r="R87" s="25" t="str">
        <f t="shared" si="5"/>
        <v>男</v>
      </c>
      <c r="S87" s="25" t="s">
        <v>3984</v>
      </c>
      <c r="T87" s="28" t="str">
        <f t="shared" si="6"/>
        <v>1963-06-13</v>
      </c>
      <c r="U87" s="25">
        <f t="shared" ca="1" si="9"/>
        <v>62</v>
      </c>
      <c r="V87" s="25">
        <v>15887299917</v>
      </c>
      <c r="W87" s="28">
        <v>45822</v>
      </c>
      <c r="X87" s="28">
        <v>37377</v>
      </c>
      <c r="Y87" s="29" t="str">
        <f t="shared" ca="1" si="7"/>
        <v>23年11个月</v>
      </c>
      <c r="Z87" s="25" t="s">
        <v>4327</v>
      </c>
      <c r="AA87" s="26" t="str">
        <f t="shared" ca="1" si="8"/>
        <v>24年11个月</v>
      </c>
      <c r="AB87" s="25" t="s">
        <v>29</v>
      </c>
      <c r="AC87" s="25" t="s">
        <v>3985</v>
      </c>
      <c r="AD87" s="25" t="s">
        <v>4035</v>
      </c>
      <c r="AE87" s="25"/>
      <c r="AF87" s="25"/>
      <c r="AG87" s="27"/>
      <c r="AH87" s="25"/>
      <c r="AI87" s="25"/>
      <c r="AJ87" s="25"/>
      <c r="AK87" s="27"/>
      <c r="AL87" s="25" t="s">
        <v>120</v>
      </c>
      <c r="AM87" s="25"/>
      <c r="AN87" s="27" t="s">
        <v>4039</v>
      </c>
      <c r="AO87" s="25" t="s">
        <v>3567</v>
      </c>
      <c r="AP87" s="27"/>
      <c r="AQ87" s="25"/>
      <c r="AR87" s="25"/>
      <c r="AS87" s="26" t="s">
        <v>4011</v>
      </c>
      <c r="AT87" s="25" t="s">
        <v>668</v>
      </c>
      <c r="AU87" s="25" t="s">
        <v>3563</v>
      </c>
      <c r="AV87" s="25" t="s">
        <v>3563</v>
      </c>
      <c r="AW87" s="30">
        <v>46203</v>
      </c>
      <c r="AX87" s="28">
        <v>45091</v>
      </c>
      <c r="AY87" s="28">
        <v>45456</v>
      </c>
      <c r="AZ87" s="28">
        <v>45821</v>
      </c>
      <c r="BA87" s="28">
        <v>46203</v>
      </c>
      <c r="BB87" s="28"/>
      <c r="BC87" s="25"/>
      <c r="BD87" s="25"/>
      <c r="BE87" s="25"/>
      <c r="BF87" s="25"/>
      <c r="BG87" s="25"/>
      <c r="BH87" s="25"/>
      <c r="BI87" s="27"/>
    </row>
    <row r="88" spans="1:61" ht="15.6" x14ac:dyDescent="0.25">
      <c r="A88" s="25">
        <v>86</v>
      </c>
      <c r="B88" s="25" t="s">
        <v>4690</v>
      </c>
      <c r="C88" s="25" t="s">
        <v>4002</v>
      </c>
      <c r="D88" s="26" t="s">
        <v>3975</v>
      </c>
      <c r="E88" s="26" t="s">
        <v>3975</v>
      </c>
      <c r="F88" s="25" t="s">
        <v>4672</v>
      </c>
      <c r="G88" s="25"/>
      <c r="H88" s="25"/>
      <c r="I88" s="25"/>
      <c r="J88" s="25" t="s">
        <v>4691</v>
      </c>
      <c r="K88" s="25" t="s">
        <v>399</v>
      </c>
      <c r="L88" s="25" t="s">
        <v>4662</v>
      </c>
      <c r="M88" s="25" t="s">
        <v>4029</v>
      </c>
      <c r="N88" s="27" t="s">
        <v>4692</v>
      </c>
      <c r="O88" s="27" t="s">
        <v>4693</v>
      </c>
      <c r="P88" s="28">
        <v>43591</v>
      </c>
      <c r="Q88" s="28">
        <v>50896</v>
      </c>
      <c r="R88" s="25" t="str">
        <f t="shared" si="5"/>
        <v>男</v>
      </c>
      <c r="S88" s="25" t="s">
        <v>3984</v>
      </c>
      <c r="T88" s="28" t="str">
        <f t="shared" si="6"/>
        <v>1987-10-01</v>
      </c>
      <c r="U88" s="25">
        <f t="shared" ca="1" si="9"/>
        <v>38</v>
      </c>
      <c r="V88" s="25">
        <v>13529290631</v>
      </c>
      <c r="W88" s="28">
        <v>41763</v>
      </c>
      <c r="X88" s="28">
        <v>41763</v>
      </c>
      <c r="Y88" s="29" t="str">
        <f t="shared" ca="1" si="7"/>
        <v>11年11个月</v>
      </c>
      <c r="Z88" s="25" t="s">
        <v>4694</v>
      </c>
      <c r="AA88" s="26" t="str">
        <f t="shared" ca="1" si="8"/>
        <v>14年9个月</v>
      </c>
      <c r="AB88" s="25" t="s">
        <v>4034</v>
      </c>
      <c r="AC88" s="25" t="s">
        <v>3985</v>
      </c>
      <c r="AD88" s="25" t="s">
        <v>3986</v>
      </c>
      <c r="AE88" s="25" t="s">
        <v>692</v>
      </c>
      <c r="AF88" s="25" t="s">
        <v>437</v>
      </c>
      <c r="AG88" s="27" t="s">
        <v>4695</v>
      </c>
      <c r="AH88" s="25"/>
      <c r="AI88" s="25"/>
      <c r="AJ88" s="25"/>
      <c r="AK88" s="27"/>
      <c r="AL88" s="25" t="s">
        <v>81</v>
      </c>
      <c r="AM88" s="25" t="s">
        <v>3987</v>
      </c>
      <c r="AN88" s="27" t="s">
        <v>4696</v>
      </c>
      <c r="AO88" s="25" t="s">
        <v>4157</v>
      </c>
      <c r="AP88" s="27" t="s">
        <v>4697</v>
      </c>
      <c r="AQ88" s="25"/>
      <c r="AR88" s="25" t="s">
        <v>4455</v>
      </c>
      <c r="AS88" s="26" t="s">
        <v>4011</v>
      </c>
      <c r="AT88" s="25" t="s">
        <v>4456</v>
      </c>
      <c r="AU88" s="25" t="s">
        <v>4698</v>
      </c>
      <c r="AV88" s="25" t="s">
        <v>4699</v>
      </c>
      <c r="AW88" s="30" t="s">
        <v>3991</v>
      </c>
      <c r="AX88" s="28">
        <v>41764</v>
      </c>
      <c r="AY88" s="28">
        <v>42128</v>
      </c>
      <c r="AZ88" s="28">
        <v>42947</v>
      </c>
      <c r="BA88" s="28">
        <v>44773</v>
      </c>
      <c r="BB88" s="28">
        <v>45869</v>
      </c>
      <c r="BC88" s="25" t="s">
        <v>3991</v>
      </c>
      <c r="BD88" s="25"/>
      <c r="BE88" s="25"/>
      <c r="BF88" s="25"/>
      <c r="BG88" s="25"/>
      <c r="BH88" s="25"/>
      <c r="BI88" s="27"/>
    </row>
    <row r="89" spans="1:61" ht="15.6" x14ac:dyDescent="0.25">
      <c r="A89" s="25">
        <v>87</v>
      </c>
      <c r="B89" s="25" t="s">
        <v>4700</v>
      </c>
      <c r="C89" s="25" t="s">
        <v>4002</v>
      </c>
      <c r="D89" s="26" t="s">
        <v>3975</v>
      </c>
      <c r="E89" s="26" t="s">
        <v>3975</v>
      </c>
      <c r="F89" s="25" t="s">
        <v>2012</v>
      </c>
      <c r="G89" s="25"/>
      <c r="H89" s="25"/>
      <c r="I89" s="25"/>
      <c r="J89" s="25" t="s">
        <v>4701</v>
      </c>
      <c r="K89" s="25" t="s">
        <v>361</v>
      </c>
      <c r="L89" s="25" t="s">
        <v>4100</v>
      </c>
      <c r="M89" s="25" t="s">
        <v>4029</v>
      </c>
      <c r="N89" s="27" t="s">
        <v>4702</v>
      </c>
      <c r="O89" s="27" t="s">
        <v>4703</v>
      </c>
      <c r="P89" s="28">
        <v>42827</v>
      </c>
      <c r="Q89" s="28">
        <v>50132</v>
      </c>
      <c r="R89" s="25" t="str">
        <f t="shared" si="5"/>
        <v>男</v>
      </c>
      <c r="S89" s="25" t="s">
        <v>3984</v>
      </c>
      <c r="T89" s="28" t="str">
        <f t="shared" si="6"/>
        <v>1984-02-07</v>
      </c>
      <c r="U89" s="25">
        <f t="shared" ca="1" si="9"/>
        <v>42</v>
      </c>
      <c r="V89" s="25">
        <v>15808878060</v>
      </c>
      <c r="W89" s="28">
        <v>42814</v>
      </c>
      <c r="X89" s="28">
        <v>42814</v>
      </c>
      <c r="Y89" s="29" t="str">
        <f t="shared" ca="1" si="7"/>
        <v>9年0个月</v>
      </c>
      <c r="Z89" s="25" t="s">
        <v>4033</v>
      </c>
      <c r="AA89" s="26" t="str">
        <f t="shared" ca="1" si="8"/>
        <v>17年0个月</v>
      </c>
      <c r="AB89" s="25" t="s">
        <v>4034</v>
      </c>
      <c r="AC89" s="25" t="s">
        <v>3985</v>
      </c>
      <c r="AD89" s="25" t="s">
        <v>4035</v>
      </c>
      <c r="AE89" s="25" t="s">
        <v>4704</v>
      </c>
      <c r="AF89" s="25" t="s">
        <v>437</v>
      </c>
      <c r="AG89" s="27" t="s">
        <v>4705</v>
      </c>
      <c r="AH89" s="25" t="s">
        <v>4036</v>
      </c>
      <c r="AI89" s="25" t="s">
        <v>4706</v>
      </c>
      <c r="AJ89" s="25" t="s">
        <v>1012</v>
      </c>
      <c r="AK89" s="27" t="s">
        <v>4707</v>
      </c>
      <c r="AL89" s="25" t="s">
        <v>81</v>
      </c>
      <c r="AM89" s="25" t="s">
        <v>4038</v>
      </c>
      <c r="AN89" s="27" t="s">
        <v>4039</v>
      </c>
      <c r="AO89" s="25" t="s">
        <v>4708</v>
      </c>
      <c r="AP89" s="27" t="s">
        <v>4709</v>
      </c>
      <c r="AQ89" s="25">
        <v>211</v>
      </c>
      <c r="AR89" s="25" t="s">
        <v>4710</v>
      </c>
      <c r="AS89" s="26" t="s">
        <v>4011</v>
      </c>
      <c r="AT89" s="25" t="s">
        <v>4711</v>
      </c>
      <c r="AU89" s="25" t="s">
        <v>4712</v>
      </c>
      <c r="AV89" s="25" t="s">
        <v>4713</v>
      </c>
      <c r="AW89" s="30" t="s">
        <v>3991</v>
      </c>
      <c r="AX89" s="28">
        <v>42814</v>
      </c>
      <c r="AY89" s="28">
        <v>43178</v>
      </c>
      <c r="AZ89" s="28">
        <v>45504</v>
      </c>
      <c r="BA89" s="28" t="s">
        <v>3991</v>
      </c>
      <c r="BB89" s="33"/>
      <c r="BC89" s="25"/>
      <c r="BD89" s="25"/>
      <c r="BE89" s="25"/>
      <c r="BF89" s="25"/>
      <c r="BG89" s="25"/>
      <c r="BH89" s="25"/>
      <c r="BI89" s="27"/>
    </row>
    <row r="90" spans="1:61" ht="15.6" x14ac:dyDescent="0.25">
      <c r="A90" s="25">
        <v>88</v>
      </c>
      <c r="B90" s="25" t="s">
        <v>4714</v>
      </c>
      <c r="C90" s="25" t="s">
        <v>4002</v>
      </c>
      <c r="D90" s="26" t="s">
        <v>3975</v>
      </c>
      <c r="E90" s="26" t="s">
        <v>3975</v>
      </c>
      <c r="F90" s="25" t="s">
        <v>533</v>
      </c>
      <c r="G90" s="25"/>
      <c r="H90" s="25"/>
      <c r="I90" s="25"/>
      <c r="J90" s="25" t="s">
        <v>4715</v>
      </c>
      <c r="K90" s="25" t="s">
        <v>676</v>
      </c>
      <c r="L90" s="25" t="s">
        <v>4071</v>
      </c>
      <c r="M90" s="25" t="s">
        <v>4017</v>
      </c>
      <c r="N90" s="27" t="s">
        <v>4716</v>
      </c>
      <c r="O90" s="27" t="s">
        <v>4717</v>
      </c>
      <c r="P90" s="28">
        <v>42403</v>
      </c>
      <c r="Q90" s="28">
        <v>53318</v>
      </c>
      <c r="R90" s="25" t="str">
        <f t="shared" si="5"/>
        <v>男</v>
      </c>
      <c r="S90" s="25" t="s">
        <v>3984</v>
      </c>
      <c r="T90" s="28" t="str">
        <f t="shared" si="6"/>
        <v>1995-10-01</v>
      </c>
      <c r="U90" s="25">
        <f t="shared" ca="1" si="9"/>
        <v>30</v>
      </c>
      <c r="V90" s="25">
        <v>15398544803</v>
      </c>
      <c r="W90" s="28">
        <v>44354</v>
      </c>
      <c r="X90" s="28">
        <v>44354</v>
      </c>
      <c r="Y90" s="29" t="str">
        <f t="shared" ca="1" si="7"/>
        <v>4年10个月</v>
      </c>
      <c r="Z90" s="25" t="s">
        <v>4718</v>
      </c>
      <c r="AA90" s="26" t="str">
        <f t="shared" ca="1" si="8"/>
        <v>6年10个月</v>
      </c>
      <c r="AB90" s="25" t="s">
        <v>4034</v>
      </c>
      <c r="AC90" s="25" t="s">
        <v>4176</v>
      </c>
      <c r="AD90" s="25" t="s">
        <v>4035</v>
      </c>
      <c r="AE90" s="25"/>
      <c r="AF90" s="25"/>
      <c r="AG90" s="27"/>
      <c r="AH90" s="25"/>
      <c r="AI90" s="25"/>
      <c r="AJ90" s="25"/>
      <c r="AK90" s="27"/>
      <c r="AL90" s="25" t="s">
        <v>81</v>
      </c>
      <c r="AM90" s="25" t="s">
        <v>3987</v>
      </c>
      <c r="AN90" s="27" t="s">
        <v>4719</v>
      </c>
      <c r="AO90" s="25" t="s">
        <v>4134</v>
      </c>
      <c r="AP90" s="27" t="s">
        <v>4720</v>
      </c>
      <c r="AQ90" s="25" t="s">
        <v>4474</v>
      </c>
      <c r="AR90" s="25" t="s">
        <v>4721</v>
      </c>
      <c r="AS90" s="26" t="s">
        <v>4088</v>
      </c>
      <c r="AT90" s="25" t="s">
        <v>4722</v>
      </c>
      <c r="AU90" s="25" t="s">
        <v>4723</v>
      </c>
      <c r="AV90" s="25" t="s">
        <v>4724</v>
      </c>
      <c r="AW90" s="30" t="s">
        <v>3991</v>
      </c>
      <c r="AX90" s="28">
        <v>44354</v>
      </c>
      <c r="AY90" s="28">
        <v>44718</v>
      </c>
      <c r="AZ90" s="28">
        <v>45869</v>
      </c>
      <c r="BA90" s="25" t="s">
        <v>3991</v>
      </c>
      <c r="BB90" s="28"/>
      <c r="BC90" s="25"/>
      <c r="BD90" s="25"/>
      <c r="BE90" s="25"/>
      <c r="BF90" s="25"/>
      <c r="BG90" s="25"/>
      <c r="BH90" s="25"/>
      <c r="BI90" s="27"/>
    </row>
    <row r="91" spans="1:61" ht="15.6" x14ac:dyDescent="0.25">
      <c r="A91" s="25">
        <v>89</v>
      </c>
      <c r="B91" s="25" t="s">
        <v>4725</v>
      </c>
      <c r="C91" s="25" t="s">
        <v>4002</v>
      </c>
      <c r="D91" s="26" t="s">
        <v>3975</v>
      </c>
      <c r="E91" s="26" t="s">
        <v>3975</v>
      </c>
      <c r="F91" s="25" t="s">
        <v>533</v>
      </c>
      <c r="G91" s="25"/>
      <c r="H91" s="25"/>
      <c r="I91" s="25"/>
      <c r="J91" s="25" t="s">
        <v>4726</v>
      </c>
      <c r="K91" s="25" t="s">
        <v>399</v>
      </c>
      <c r="L91" s="25" t="s">
        <v>1553</v>
      </c>
      <c r="M91" s="25" t="s">
        <v>4029</v>
      </c>
      <c r="N91" s="27" t="s">
        <v>4727</v>
      </c>
      <c r="O91" s="27" t="s">
        <v>4031</v>
      </c>
      <c r="P91" s="28">
        <v>44540</v>
      </c>
      <c r="Q91" s="28">
        <v>51845</v>
      </c>
      <c r="R91" s="25" t="str">
        <f t="shared" si="5"/>
        <v>女</v>
      </c>
      <c r="S91" s="25" t="s">
        <v>3984</v>
      </c>
      <c r="T91" s="28" t="str">
        <f t="shared" si="6"/>
        <v>1991-07-07</v>
      </c>
      <c r="U91" s="25">
        <f t="shared" ca="1" si="9"/>
        <v>34</v>
      </c>
      <c r="V91" s="25">
        <v>15969446996</v>
      </c>
      <c r="W91" s="28">
        <v>42325</v>
      </c>
      <c r="X91" s="28">
        <v>42325</v>
      </c>
      <c r="Y91" s="29" t="str">
        <f t="shared" ca="1" si="7"/>
        <v>10年4个月</v>
      </c>
      <c r="Z91" s="25"/>
      <c r="AA91" s="26" t="str">
        <f t="shared" ca="1" si="8"/>
        <v>10年4个月</v>
      </c>
      <c r="AB91" s="25" t="s">
        <v>4034</v>
      </c>
      <c r="AC91" s="25" t="s">
        <v>4616</v>
      </c>
      <c r="AD91" s="25" t="s">
        <v>4035</v>
      </c>
      <c r="AE91" s="25"/>
      <c r="AF91" s="25"/>
      <c r="AG91" s="27"/>
      <c r="AH91" s="25"/>
      <c r="AI91" s="25"/>
      <c r="AJ91" s="25"/>
      <c r="AK91" s="27"/>
      <c r="AL91" s="25" t="s">
        <v>81</v>
      </c>
      <c r="AM91" s="25" t="s">
        <v>3987</v>
      </c>
      <c r="AN91" s="27" t="s">
        <v>4728</v>
      </c>
      <c r="AO91" s="25" t="s">
        <v>2177</v>
      </c>
      <c r="AP91" s="27" t="s">
        <v>4729</v>
      </c>
      <c r="AQ91" s="25"/>
      <c r="AR91" s="25" t="s">
        <v>2178</v>
      </c>
      <c r="AS91" s="26" t="s">
        <v>4011</v>
      </c>
      <c r="AT91" s="25" t="s">
        <v>4043</v>
      </c>
      <c r="AU91" s="25" t="s">
        <v>4730</v>
      </c>
      <c r="AV91" s="25" t="s">
        <v>4731</v>
      </c>
      <c r="AW91" s="30" t="s">
        <v>3991</v>
      </c>
      <c r="AX91" s="45">
        <v>42325</v>
      </c>
      <c r="AY91" s="28">
        <v>43420</v>
      </c>
      <c r="AZ91" s="28">
        <v>45138</v>
      </c>
      <c r="BA91" s="28" t="s">
        <v>3991</v>
      </c>
      <c r="BB91" s="28"/>
      <c r="BC91" s="25"/>
      <c r="BD91" s="25"/>
      <c r="BE91" s="25"/>
      <c r="BF91" s="25"/>
      <c r="BG91" s="25"/>
      <c r="BH91" s="25"/>
      <c r="BI91" s="27"/>
    </row>
    <row r="92" spans="1:61" ht="15.6" x14ac:dyDescent="0.25">
      <c r="A92" s="25">
        <v>90</v>
      </c>
      <c r="B92" s="25" t="s">
        <v>4732</v>
      </c>
      <c r="C92" s="25" t="s">
        <v>4002</v>
      </c>
      <c r="D92" s="26" t="s">
        <v>3975</v>
      </c>
      <c r="E92" s="26" t="s">
        <v>3975</v>
      </c>
      <c r="F92" s="25" t="s">
        <v>533</v>
      </c>
      <c r="G92" s="25"/>
      <c r="H92" s="25"/>
      <c r="I92" s="25"/>
      <c r="J92" s="25" t="s">
        <v>4726</v>
      </c>
      <c r="K92" s="25" t="s">
        <v>399</v>
      </c>
      <c r="L92" s="25" t="s">
        <v>1553</v>
      </c>
      <c r="M92" s="25" t="s">
        <v>4029</v>
      </c>
      <c r="N92" s="27" t="s">
        <v>4733</v>
      </c>
      <c r="O92" s="27" t="s">
        <v>4734</v>
      </c>
      <c r="P92" s="28">
        <v>45176</v>
      </c>
      <c r="Q92" s="28">
        <v>52481</v>
      </c>
      <c r="R92" s="25" t="str">
        <f t="shared" si="5"/>
        <v>男</v>
      </c>
      <c r="S92" s="25" t="s">
        <v>3984</v>
      </c>
      <c r="T92" s="28" t="str">
        <f t="shared" si="6"/>
        <v>1996-08-20</v>
      </c>
      <c r="U92" s="25">
        <f t="shared" ca="1" si="9"/>
        <v>29</v>
      </c>
      <c r="V92" s="25">
        <v>17787276870</v>
      </c>
      <c r="W92" s="28">
        <v>45206</v>
      </c>
      <c r="X92" s="28">
        <v>45206</v>
      </c>
      <c r="Y92" s="29" t="str">
        <f t="shared" ca="1" si="7"/>
        <v>2年6个月</v>
      </c>
      <c r="Z92" s="25" t="s">
        <v>4735</v>
      </c>
      <c r="AA92" s="26" t="str">
        <f t="shared" ca="1" si="8"/>
        <v>4年1个月</v>
      </c>
      <c r="AB92" s="25" t="s">
        <v>4034</v>
      </c>
      <c r="AC92" s="25" t="s">
        <v>4176</v>
      </c>
      <c r="AD92" s="25" t="s">
        <v>4035</v>
      </c>
      <c r="AE92" s="25"/>
      <c r="AF92" s="25"/>
      <c r="AG92" s="27"/>
      <c r="AH92" s="25"/>
      <c r="AI92" s="25"/>
      <c r="AJ92" s="25"/>
      <c r="AK92" s="27"/>
      <c r="AL92" s="25" t="s">
        <v>81</v>
      </c>
      <c r="AM92" s="25" t="s">
        <v>3987</v>
      </c>
      <c r="AN92" s="27" t="s">
        <v>4736</v>
      </c>
      <c r="AO92" s="25" t="s">
        <v>4062</v>
      </c>
      <c r="AP92" s="27" t="s">
        <v>4737</v>
      </c>
      <c r="AQ92" s="25"/>
      <c r="AR92" s="25" t="s">
        <v>4738</v>
      </c>
      <c r="AS92" s="26" t="s">
        <v>4088</v>
      </c>
      <c r="AT92" s="25" t="s">
        <v>4739</v>
      </c>
      <c r="AU92" s="25" t="s">
        <v>4740</v>
      </c>
      <c r="AV92" s="55" t="s">
        <v>4741</v>
      </c>
      <c r="AW92" s="51">
        <v>46691</v>
      </c>
      <c r="AX92" s="45">
        <v>45206</v>
      </c>
      <c r="AY92" s="45">
        <v>45571</v>
      </c>
      <c r="AZ92" s="28">
        <v>46691</v>
      </c>
      <c r="BA92" s="28"/>
      <c r="BB92" s="28"/>
      <c r="BC92" s="25"/>
      <c r="BD92" s="25"/>
      <c r="BE92" s="25"/>
      <c r="BF92" s="25"/>
      <c r="BG92" s="25"/>
      <c r="BH92" s="25"/>
      <c r="BI92" s="27"/>
    </row>
    <row r="93" spans="1:61" ht="15.6" x14ac:dyDescent="0.25">
      <c r="A93" s="25">
        <v>91</v>
      </c>
      <c r="B93" s="25" t="s">
        <v>4742</v>
      </c>
      <c r="C93" s="25" t="s">
        <v>4002</v>
      </c>
      <c r="D93" s="26" t="s">
        <v>3975</v>
      </c>
      <c r="E93" s="26" t="s">
        <v>3975</v>
      </c>
      <c r="F93" s="25" t="s">
        <v>533</v>
      </c>
      <c r="G93" s="25"/>
      <c r="H93" s="25"/>
      <c r="I93" s="25"/>
      <c r="J93" s="25" t="s">
        <v>4726</v>
      </c>
      <c r="K93" s="25" t="s">
        <v>399</v>
      </c>
      <c r="L93" s="25" t="s">
        <v>1553</v>
      </c>
      <c r="M93" s="25" t="s">
        <v>4029</v>
      </c>
      <c r="N93" s="27" t="s">
        <v>4743</v>
      </c>
      <c r="O93" s="27" t="s">
        <v>4744</v>
      </c>
      <c r="P93" s="28">
        <v>44508</v>
      </c>
      <c r="Q93" s="28">
        <v>51813</v>
      </c>
      <c r="R93" s="25" t="str">
        <f t="shared" si="5"/>
        <v>女</v>
      </c>
      <c r="S93" s="25" t="s">
        <v>3984</v>
      </c>
      <c r="T93" s="28" t="str">
        <f t="shared" si="6"/>
        <v>1990-10-13</v>
      </c>
      <c r="U93" s="25">
        <f t="shared" ca="1" si="9"/>
        <v>35</v>
      </c>
      <c r="V93" s="25">
        <v>13629680852</v>
      </c>
      <c r="W93" s="28">
        <v>45155</v>
      </c>
      <c r="X93" s="28">
        <v>42338</v>
      </c>
      <c r="Y93" s="29" t="str">
        <f t="shared" ca="1" si="7"/>
        <v>10年4个月</v>
      </c>
      <c r="Z93" s="25"/>
      <c r="AA93" s="26" t="str">
        <f t="shared" ca="1" si="8"/>
        <v>10年4个月</v>
      </c>
      <c r="AB93" s="25" t="s">
        <v>29</v>
      </c>
      <c r="AC93" s="25" t="s">
        <v>3985</v>
      </c>
      <c r="AD93" s="25" t="s">
        <v>3986</v>
      </c>
      <c r="AE93" s="25"/>
      <c r="AF93" s="25"/>
      <c r="AG93" s="27"/>
      <c r="AH93" s="25"/>
      <c r="AI93" s="25"/>
      <c r="AJ93" s="25"/>
      <c r="AK93" s="27"/>
      <c r="AL93" s="25" t="s">
        <v>81</v>
      </c>
      <c r="AM93" s="25" t="s">
        <v>3987</v>
      </c>
      <c r="AN93" s="27" t="s">
        <v>4745</v>
      </c>
      <c r="AO93" s="25" t="s">
        <v>4746</v>
      </c>
      <c r="AP93" s="27" t="s">
        <v>4747</v>
      </c>
      <c r="AQ93" s="25"/>
      <c r="AR93" s="25" t="s">
        <v>4055</v>
      </c>
      <c r="AS93" s="26" t="s">
        <v>4011</v>
      </c>
      <c r="AT93" s="25" t="s">
        <v>4748</v>
      </c>
      <c r="AU93" s="25" t="s">
        <v>4749</v>
      </c>
      <c r="AV93" s="25" t="s">
        <v>4749</v>
      </c>
      <c r="AW93" s="30">
        <v>47695</v>
      </c>
      <c r="AX93" s="28">
        <v>45155</v>
      </c>
      <c r="AY93" s="28">
        <v>45885</v>
      </c>
      <c r="AZ93" s="28">
        <v>47695</v>
      </c>
      <c r="BA93" s="28"/>
      <c r="BB93" s="28"/>
      <c r="BC93" s="25"/>
      <c r="BD93" s="25"/>
      <c r="BE93" s="25"/>
      <c r="BF93" s="25"/>
      <c r="BG93" s="25"/>
      <c r="BH93" s="25"/>
      <c r="BI93" s="27"/>
    </row>
    <row r="94" spans="1:61" ht="15.6" x14ac:dyDescent="0.25">
      <c r="A94" s="25">
        <v>92</v>
      </c>
      <c r="B94" s="25" t="s">
        <v>4750</v>
      </c>
      <c r="C94" s="25" t="s">
        <v>4002</v>
      </c>
      <c r="D94" s="26" t="s">
        <v>3975</v>
      </c>
      <c r="E94" s="26" t="s">
        <v>3975</v>
      </c>
      <c r="F94" s="25" t="s">
        <v>533</v>
      </c>
      <c r="G94" s="25"/>
      <c r="H94" s="25"/>
      <c r="I94" s="25"/>
      <c r="J94" s="25" t="s">
        <v>4624</v>
      </c>
      <c r="K94" s="25" t="s">
        <v>399</v>
      </c>
      <c r="L94" s="25" t="s">
        <v>4625</v>
      </c>
      <c r="M94" s="25" t="s">
        <v>4029</v>
      </c>
      <c r="N94" s="27" t="s">
        <v>4751</v>
      </c>
      <c r="O94" s="27" t="s">
        <v>4752</v>
      </c>
      <c r="P94" s="28">
        <v>42269</v>
      </c>
      <c r="Q94" s="28">
        <v>49574</v>
      </c>
      <c r="R94" s="25" t="str">
        <f t="shared" si="5"/>
        <v>男</v>
      </c>
      <c r="S94" s="25" t="s">
        <v>3984</v>
      </c>
      <c r="T94" s="28" t="str">
        <f t="shared" si="6"/>
        <v>1988-10-18</v>
      </c>
      <c r="U94" s="25">
        <f t="shared" ca="1" si="9"/>
        <v>37</v>
      </c>
      <c r="V94" s="25">
        <v>15096999090</v>
      </c>
      <c r="W94" s="28">
        <v>42178</v>
      </c>
      <c r="X94" s="28">
        <v>42178</v>
      </c>
      <c r="Y94" s="29" t="str">
        <f t="shared" ca="1" si="7"/>
        <v>10年9个月</v>
      </c>
      <c r="Z94" s="25" t="s">
        <v>1287</v>
      </c>
      <c r="AA94" s="26" t="str">
        <f t="shared" ca="1" si="8"/>
        <v>12年0个月</v>
      </c>
      <c r="AB94" s="25" t="s">
        <v>4034</v>
      </c>
      <c r="AC94" s="25" t="s">
        <v>3985</v>
      </c>
      <c r="AD94" s="25" t="s">
        <v>4035</v>
      </c>
      <c r="AE94" s="25" t="s">
        <v>1654</v>
      </c>
      <c r="AF94" s="25" t="s">
        <v>1012</v>
      </c>
      <c r="AG94" s="27" t="s">
        <v>3892</v>
      </c>
      <c r="AH94" s="25"/>
      <c r="AI94" s="25"/>
      <c r="AJ94" s="25"/>
      <c r="AK94" s="27"/>
      <c r="AL94" s="25" t="s">
        <v>81</v>
      </c>
      <c r="AM94" s="25" t="s">
        <v>3987</v>
      </c>
      <c r="AN94" s="27" t="s">
        <v>4753</v>
      </c>
      <c r="AO94" s="25" t="s">
        <v>4062</v>
      </c>
      <c r="AP94" s="27" t="s">
        <v>4754</v>
      </c>
      <c r="AQ94" s="25"/>
      <c r="AR94" s="25" t="s">
        <v>4755</v>
      </c>
      <c r="AS94" s="26" t="s">
        <v>4011</v>
      </c>
      <c r="AT94" s="25" t="s">
        <v>4722</v>
      </c>
      <c r="AU94" s="25" t="s">
        <v>2280</v>
      </c>
      <c r="AV94" s="25" t="s">
        <v>4756</v>
      </c>
      <c r="AW94" s="30" t="s">
        <v>3991</v>
      </c>
      <c r="AX94" s="45">
        <v>42178</v>
      </c>
      <c r="AY94" s="28">
        <v>43312</v>
      </c>
      <c r="AZ94" s="28">
        <v>44408</v>
      </c>
      <c r="BA94" s="28" t="s">
        <v>3991</v>
      </c>
      <c r="BB94" s="28"/>
      <c r="BC94" s="25"/>
      <c r="BD94" s="25"/>
      <c r="BE94" s="25"/>
      <c r="BF94" s="25"/>
      <c r="BG94" s="25"/>
      <c r="BH94" s="25"/>
      <c r="BI94" s="56"/>
    </row>
    <row r="95" spans="1:61" ht="15.6" x14ac:dyDescent="0.25">
      <c r="A95" s="25">
        <v>93</v>
      </c>
      <c r="B95" s="25" t="s">
        <v>4757</v>
      </c>
      <c r="C95" s="25" t="s">
        <v>4002</v>
      </c>
      <c r="D95" s="26" t="s">
        <v>3975</v>
      </c>
      <c r="E95" s="26" t="s">
        <v>3975</v>
      </c>
      <c r="F95" s="25" t="s">
        <v>533</v>
      </c>
      <c r="G95" s="25"/>
      <c r="H95" s="25"/>
      <c r="I95" s="25"/>
      <c r="J95" s="25" t="s">
        <v>4624</v>
      </c>
      <c r="K95" s="25" t="s">
        <v>399</v>
      </c>
      <c r="L95" s="25" t="s">
        <v>4625</v>
      </c>
      <c r="M95" s="25" t="s">
        <v>4029</v>
      </c>
      <c r="N95" s="27" t="s">
        <v>4758</v>
      </c>
      <c r="O95" s="27" t="s">
        <v>4759</v>
      </c>
      <c r="P95" s="28">
        <v>43325</v>
      </c>
      <c r="Q95" s="28">
        <v>46978</v>
      </c>
      <c r="R95" s="25" t="str">
        <f t="shared" si="5"/>
        <v>男</v>
      </c>
      <c r="S95" s="25" t="s">
        <v>4032</v>
      </c>
      <c r="T95" s="28" t="str">
        <f t="shared" si="6"/>
        <v>1995-11-15</v>
      </c>
      <c r="U95" s="25">
        <f t="shared" ca="1" si="9"/>
        <v>30</v>
      </c>
      <c r="V95" s="25">
        <v>15877995491</v>
      </c>
      <c r="W95" s="28">
        <v>44657</v>
      </c>
      <c r="X95" s="28">
        <v>44657</v>
      </c>
      <c r="Y95" s="29" t="str">
        <f t="shared" ca="1" si="7"/>
        <v>4年0个月</v>
      </c>
      <c r="Z95" s="25" t="s">
        <v>4760</v>
      </c>
      <c r="AA95" s="26" t="str">
        <f t="shared" ca="1" si="8"/>
        <v>6年9个月</v>
      </c>
      <c r="AB95" s="25" t="s">
        <v>4034</v>
      </c>
      <c r="AC95" s="25" t="s">
        <v>119</v>
      </c>
      <c r="AD95" s="25" t="s">
        <v>4035</v>
      </c>
      <c r="AE95" s="25"/>
      <c r="AF95" s="25"/>
      <c r="AG95" s="27"/>
      <c r="AH95" s="25"/>
      <c r="AI95" s="25"/>
      <c r="AJ95" s="25"/>
      <c r="AK95" s="27"/>
      <c r="AL95" s="25" t="s">
        <v>81</v>
      </c>
      <c r="AM95" s="25" t="s">
        <v>3987</v>
      </c>
      <c r="AN95" s="27" t="s">
        <v>4761</v>
      </c>
      <c r="AO95" s="52" t="s">
        <v>4425</v>
      </c>
      <c r="AP95" s="27" t="s">
        <v>4762</v>
      </c>
      <c r="AQ95" s="25"/>
      <c r="AR95" s="27" t="s">
        <v>4639</v>
      </c>
      <c r="AS95" s="26" t="s">
        <v>4011</v>
      </c>
      <c r="AT95" s="25" t="s">
        <v>4239</v>
      </c>
      <c r="AU95" s="25" t="s">
        <v>4763</v>
      </c>
      <c r="AV95" s="25" t="s">
        <v>4764</v>
      </c>
      <c r="AW95" s="30">
        <v>46234</v>
      </c>
      <c r="AX95" s="28">
        <v>44657</v>
      </c>
      <c r="AY95" s="28">
        <v>45021</v>
      </c>
      <c r="AZ95" s="28">
        <v>46234</v>
      </c>
      <c r="BA95" s="28"/>
      <c r="BB95" s="28"/>
      <c r="BC95" s="25"/>
      <c r="BD95" s="25"/>
      <c r="BE95" s="25"/>
      <c r="BF95" s="33"/>
      <c r="BG95" s="33"/>
      <c r="BH95" s="33"/>
      <c r="BI95" s="25"/>
    </row>
    <row r="96" spans="1:61" ht="15.6" x14ac:dyDescent="0.25">
      <c r="A96" s="25">
        <v>94</v>
      </c>
      <c r="B96" s="25" t="s">
        <v>4765</v>
      </c>
      <c r="C96" s="25" t="s">
        <v>4002</v>
      </c>
      <c r="D96" s="26" t="s">
        <v>3975</v>
      </c>
      <c r="E96" s="26" t="s">
        <v>3975</v>
      </c>
      <c r="F96" s="25" t="s">
        <v>533</v>
      </c>
      <c r="G96" s="25"/>
      <c r="H96" s="25"/>
      <c r="I96" s="25"/>
      <c r="J96" s="25" t="s">
        <v>4624</v>
      </c>
      <c r="K96" s="25" t="s">
        <v>399</v>
      </c>
      <c r="L96" s="25" t="s">
        <v>4625</v>
      </c>
      <c r="M96" s="25" t="s">
        <v>4029</v>
      </c>
      <c r="N96" s="27" t="s">
        <v>4766</v>
      </c>
      <c r="O96" s="27" t="s">
        <v>4413</v>
      </c>
      <c r="P96" s="28">
        <v>44211</v>
      </c>
      <c r="Q96" s="28">
        <v>51516</v>
      </c>
      <c r="R96" s="25" t="str">
        <f t="shared" si="5"/>
        <v>男</v>
      </c>
      <c r="S96" s="25" t="s">
        <v>3984</v>
      </c>
      <c r="T96" s="28" t="str">
        <f t="shared" si="6"/>
        <v>1993-07-19</v>
      </c>
      <c r="U96" s="25">
        <f t="shared" ca="1" si="9"/>
        <v>32</v>
      </c>
      <c r="V96" s="25">
        <v>18314403284</v>
      </c>
      <c r="W96" s="28">
        <v>45211</v>
      </c>
      <c r="X96" s="28">
        <v>45211</v>
      </c>
      <c r="Y96" s="29" t="str">
        <f t="shared" ca="1" si="7"/>
        <v>2年6个月</v>
      </c>
      <c r="Z96" s="25" t="s">
        <v>4767</v>
      </c>
      <c r="AA96" s="26" t="str">
        <f t="shared" ca="1" si="8"/>
        <v>9年4个月</v>
      </c>
      <c r="AB96" s="25" t="s">
        <v>4034</v>
      </c>
      <c r="AC96" s="25" t="s">
        <v>119</v>
      </c>
      <c r="AD96" s="25" t="s">
        <v>4035</v>
      </c>
      <c r="AE96" s="25"/>
      <c r="AF96" s="25"/>
      <c r="AG96" s="27"/>
      <c r="AH96" s="25"/>
      <c r="AI96" s="25"/>
      <c r="AJ96" s="25"/>
      <c r="AK96" s="27"/>
      <c r="AL96" s="25" t="s">
        <v>81</v>
      </c>
      <c r="AM96" s="25" t="s">
        <v>3987</v>
      </c>
      <c r="AN96" s="27" t="s">
        <v>4768</v>
      </c>
      <c r="AO96" s="52" t="s">
        <v>4062</v>
      </c>
      <c r="AP96" s="53" t="s">
        <v>4769</v>
      </c>
      <c r="AQ96" s="25"/>
      <c r="AR96" s="27" t="s">
        <v>4770</v>
      </c>
      <c r="AS96" s="26" t="s">
        <v>4088</v>
      </c>
      <c r="AT96" s="25" t="s">
        <v>4419</v>
      </c>
      <c r="AU96" s="25" t="s">
        <v>4771</v>
      </c>
      <c r="AV96" s="25" t="s">
        <v>4772</v>
      </c>
      <c r="AW96" s="30">
        <v>46691</v>
      </c>
      <c r="AX96" s="28">
        <v>45211</v>
      </c>
      <c r="AY96" s="28">
        <v>45576</v>
      </c>
      <c r="AZ96" s="28">
        <v>46691</v>
      </c>
      <c r="BA96" s="28"/>
      <c r="BB96" s="28"/>
      <c r="BC96" s="25"/>
      <c r="BD96" s="25"/>
      <c r="BE96" s="25"/>
      <c r="BF96" s="33"/>
      <c r="BG96" s="33"/>
      <c r="BH96" s="33"/>
      <c r="BI96" s="25"/>
    </row>
    <row r="97" spans="1:61" ht="15.6" x14ac:dyDescent="0.25">
      <c r="A97" s="25">
        <v>95</v>
      </c>
      <c r="B97" s="25" t="s">
        <v>4773</v>
      </c>
      <c r="C97" s="25" t="s">
        <v>4002</v>
      </c>
      <c r="D97" s="26" t="s">
        <v>3975</v>
      </c>
      <c r="E97" s="26" t="s">
        <v>3975</v>
      </c>
      <c r="F97" s="25" t="s">
        <v>533</v>
      </c>
      <c r="G97" s="25"/>
      <c r="H97" s="25"/>
      <c r="I97" s="25"/>
      <c r="J97" s="25" t="s">
        <v>4624</v>
      </c>
      <c r="K97" s="25" t="s">
        <v>399</v>
      </c>
      <c r="L97" s="25" t="s">
        <v>4625</v>
      </c>
      <c r="M97" s="25" t="s">
        <v>4029</v>
      </c>
      <c r="N97" s="27" t="s">
        <v>4774</v>
      </c>
      <c r="O97" s="27" t="s">
        <v>4775</v>
      </c>
      <c r="P97" s="28">
        <v>44677</v>
      </c>
      <c r="Q97" s="28">
        <v>51982</v>
      </c>
      <c r="R97" s="25" t="str">
        <f t="shared" si="5"/>
        <v>男</v>
      </c>
      <c r="S97" s="25" t="s">
        <v>3984</v>
      </c>
      <c r="T97" s="28" t="str">
        <f t="shared" si="6"/>
        <v>1996-01-23</v>
      </c>
      <c r="U97" s="25">
        <f t="shared" ca="1" si="9"/>
        <v>30</v>
      </c>
      <c r="V97" s="25">
        <v>18187706276</v>
      </c>
      <c r="W97" s="28">
        <v>45407</v>
      </c>
      <c r="X97" s="28">
        <v>45407</v>
      </c>
      <c r="Y97" s="29" t="str">
        <f t="shared" ca="1" si="7"/>
        <v>1年11个月</v>
      </c>
      <c r="Z97" s="25" t="s">
        <v>4776</v>
      </c>
      <c r="AA97" s="26" t="str">
        <f t="shared" ca="1" si="8"/>
        <v>7年8个月</v>
      </c>
      <c r="AB97" s="25" t="s">
        <v>4049</v>
      </c>
      <c r="AC97" s="25" t="s">
        <v>119</v>
      </c>
      <c r="AD97" s="25" t="s">
        <v>3986</v>
      </c>
      <c r="AE97" s="25"/>
      <c r="AF97" s="25"/>
      <c r="AG97" s="27"/>
      <c r="AH97" s="25"/>
      <c r="AI97" s="25"/>
      <c r="AJ97" s="25"/>
      <c r="AK97" s="27"/>
      <c r="AL97" s="25" t="s">
        <v>81</v>
      </c>
      <c r="AM97" s="25" t="s">
        <v>3987</v>
      </c>
      <c r="AN97" s="27" t="s">
        <v>4777</v>
      </c>
      <c r="AO97" s="52" t="s">
        <v>4778</v>
      </c>
      <c r="AP97" s="27" t="s">
        <v>4779</v>
      </c>
      <c r="AQ97" s="25" t="s">
        <v>4474</v>
      </c>
      <c r="AR97" s="27" t="s">
        <v>4780</v>
      </c>
      <c r="AS97" s="26" t="s">
        <v>4088</v>
      </c>
      <c r="AT97" s="25" t="s">
        <v>4287</v>
      </c>
      <c r="AU97" s="25" t="s">
        <v>4781</v>
      </c>
      <c r="AV97" s="25" t="s">
        <v>4782</v>
      </c>
      <c r="AW97" s="30">
        <v>46501</v>
      </c>
      <c r="AX97" s="28">
        <v>45407</v>
      </c>
      <c r="AY97" s="28">
        <v>46501</v>
      </c>
      <c r="AZ97" s="28"/>
      <c r="BA97" s="28"/>
      <c r="BB97" s="28"/>
      <c r="BC97" s="25"/>
      <c r="BD97" s="25"/>
      <c r="BE97" s="25"/>
      <c r="BF97" s="33"/>
      <c r="BG97" s="33"/>
      <c r="BH97" s="33"/>
      <c r="BI97" s="25"/>
    </row>
    <row r="98" spans="1:61" ht="15.6" x14ac:dyDescent="0.25">
      <c r="A98" s="25">
        <v>96</v>
      </c>
      <c r="B98" s="25" t="s">
        <v>4783</v>
      </c>
      <c r="C98" s="25" t="s">
        <v>4002</v>
      </c>
      <c r="D98" s="26" t="s">
        <v>3975</v>
      </c>
      <c r="E98" s="26" t="s">
        <v>3975</v>
      </c>
      <c r="F98" s="25" t="s">
        <v>533</v>
      </c>
      <c r="G98" s="25"/>
      <c r="H98" s="25"/>
      <c r="I98" s="25"/>
      <c r="J98" s="25" t="s">
        <v>4624</v>
      </c>
      <c r="K98" s="25" t="s">
        <v>399</v>
      </c>
      <c r="L98" s="25" t="s">
        <v>4625</v>
      </c>
      <c r="M98" s="25" t="s">
        <v>4029</v>
      </c>
      <c r="N98" s="27" t="s">
        <v>4784</v>
      </c>
      <c r="O98" s="27" t="s">
        <v>4785</v>
      </c>
      <c r="P98" s="28">
        <v>44859</v>
      </c>
      <c r="Q98" s="28">
        <v>48512</v>
      </c>
      <c r="R98" s="25" t="str">
        <f t="shared" si="5"/>
        <v>女</v>
      </c>
      <c r="S98" s="25" t="s">
        <v>4254</v>
      </c>
      <c r="T98" s="28" t="str">
        <f t="shared" si="6"/>
        <v>2000-06-07</v>
      </c>
      <c r="U98" s="25">
        <f t="shared" ca="1" si="9"/>
        <v>25</v>
      </c>
      <c r="V98" s="25">
        <v>15187000768</v>
      </c>
      <c r="W98" s="28">
        <v>45474</v>
      </c>
      <c r="X98" s="28">
        <v>45474</v>
      </c>
      <c r="Y98" s="29" t="str">
        <f t="shared" ca="1" si="7"/>
        <v>1年9个月</v>
      </c>
      <c r="Z98" s="25"/>
      <c r="AA98" s="26" t="str">
        <f t="shared" ca="1" si="8"/>
        <v>1年9个月</v>
      </c>
      <c r="AB98" s="25" t="s">
        <v>4049</v>
      </c>
      <c r="AC98" s="25" t="s">
        <v>3985</v>
      </c>
      <c r="AD98" s="25" t="s">
        <v>4035</v>
      </c>
      <c r="AE98" s="25"/>
      <c r="AF98" s="25"/>
      <c r="AG98" s="27"/>
      <c r="AH98" s="25"/>
      <c r="AI98" s="25"/>
      <c r="AJ98" s="25"/>
      <c r="AK98" s="27"/>
      <c r="AL98" s="25" t="s">
        <v>81</v>
      </c>
      <c r="AM98" s="25" t="s">
        <v>3987</v>
      </c>
      <c r="AN98" s="27" t="s">
        <v>4786</v>
      </c>
      <c r="AO98" s="52" t="s">
        <v>4787</v>
      </c>
      <c r="AP98" s="53" t="s">
        <v>4788</v>
      </c>
      <c r="AQ98" s="25">
        <v>211</v>
      </c>
      <c r="AR98" s="27" t="s">
        <v>4055</v>
      </c>
      <c r="AS98" s="26" t="s">
        <v>4088</v>
      </c>
      <c r="AT98" s="25" t="s">
        <v>4456</v>
      </c>
      <c r="AU98" s="25" t="s">
        <v>4789</v>
      </c>
      <c r="AV98" s="25" t="s">
        <v>4790</v>
      </c>
      <c r="AW98" s="30">
        <v>46934</v>
      </c>
      <c r="AX98" s="28">
        <v>45474</v>
      </c>
      <c r="AY98" s="28">
        <v>45838</v>
      </c>
      <c r="AZ98" s="28">
        <v>46934</v>
      </c>
      <c r="BA98" s="28"/>
      <c r="BB98" s="28"/>
      <c r="BC98" s="25"/>
      <c r="BD98" s="25"/>
      <c r="BE98" s="25"/>
      <c r="BF98" s="33"/>
      <c r="BG98" s="33"/>
      <c r="BH98" s="33"/>
      <c r="BI98" s="25"/>
    </row>
    <row r="99" spans="1:61" ht="15.6" x14ac:dyDescent="0.25">
      <c r="A99" s="25">
        <v>97</v>
      </c>
      <c r="B99" s="25" t="s">
        <v>4791</v>
      </c>
      <c r="C99" s="25" t="s">
        <v>4002</v>
      </c>
      <c r="D99" s="26" t="s">
        <v>3975</v>
      </c>
      <c r="E99" s="26" t="s">
        <v>3975</v>
      </c>
      <c r="F99" s="25" t="s">
        <v>533</v>
      </c>
      <c r="G99" s="25"/>
      <c r="H99" s="25"/>
      <c r="I99" s="25"/>
      <c r="J99" s="25" t="s">
        <v>4624</v>
      </c>
      <c r="K99" s="25" t="s">
        <v>399</v>
      </c>
      <c r="L99" s="25" t="s">
        <v>4625</v>
      </c>
      <c r="M99" s="25" t="s">
        <v>4029</v>
      </c>
      <c r="N99" s="27" t="s">
        <v>4792</v>
      </c>
      <c r="O99" s="27" t="s">
        <v>4664</v>
      </c>
      <c r="P99" s="28">
        <v>42599</v>
      </c>
      <c r="Q99" s="28">
        <v>46251</v>
      </c>
      <c r="R99" s="25" t="str">
        <f t="shared" si="5"/>
        <v>男</v>
      </c>
      <c r="S99" s="25" t="s">
        <v>3984</v>
      </c>
      <c r="T99" s="28" t="str">
        <f t="shared" si="6"/>
        <v>1996-06-30</v>
      </c>
      <c r="U99" s="25">
        <f t="shared" ca="1" si="9"/>
        <v>29</v>
      </c>
      <c r="V99" s="25">
        <v>18206864823</v>
      </c>
      <c r="W99" s="28">
        <v>45840</v>
      </c>
      <c r="X99" s="28">
        <v>45840</v>
      </c>
      <c r="Y99" s="29" t="str">
        <f t="shared" ca="1" si="7"/>
        <v>0年9个月</v>
      </c>
      <c r="Z99" s="25" t="s">
        <v>4793</v>
      </c>
      <c r="AA99" s="26" t="str">
        <f t="shared" ca="1" si="8"/>
        <v>6年5个月</v>
      </c>
      <c r="AB99" s="25" t="s">
        <v>4049</v>
      </c>
      <c r="AC99" s="25" t="s">
        <v>3985</v>
      </c>
      <c r="AD99" s="25" t="s">
        <v>4035</v>
      </c>
      <c r="AE99" s="25"/>
      <c r="AF99" s="25"/>
      <c r="AG99" s="27"/>
      <c r="AH99" s="25"/>
      <c r="AI99" s="25"/>
      <c r="AJ99" s="25"/>
      <c r="AK99" s="27"/>
      <c r="AL99" s="25" t="s">
        <v>81</v>
      </c>
      <c r="AM99" s="25" t="s">
        <v>3987</v>
      </c>
      <c r="AN99" s="27" t="s">
        <v>4794</v>
      </c>
      <c r="AO99" s="52" t="s">
        <v>4795</v>
      </c>
      <c r="AP99" s="53" t="s">
        <v>4796</v>
      </c>
      <c r="AQ99" s="25" t="s">
        <v>4474</v>
      </c>
      <c r="AR99" s="27" t="s">
        <v>4668</v>
      </c>
      <c r="AS99" s="26" t="s">
        <v>4011</v>
      </c>
      <c r="AT99" s="25" t="s">
        <v>4797</v>
      </c>
      <c r="AU99" s="25" t="s">
        <v>4798</v>
      </c>
      <c r="AV99" s="25" t="s">
        <v>4798</v>
      </c>
      <c r="AW99" s="30">
        <v>46204</v>
      </c>
      <c r="AX99" s="28">
        <v>45840</v>
      </c>
      <c r="AY99" s="28">
        <v>46204</v>
      </c>
      <c r="AZ99" s="28"/>
      <c r="BA99" s="28"/>
      <c r="BB99" s="28"/>
      <c r="BC99" s="25"/>
      <c r="BD99" s="25"/>
      <c r="BE99" s="25"/>
      <c r="BF99" s="33"/>
      <c r="BG99" s="33"/>
      <c r="BH99" s="33"/>
      <c r="BI99" s="25"/>
    </row>
    <row r="100" spans="1:61" ht="15.6" x14ac:dyDescent="0.25">
      <c r="A100" s="25">
        <v>98</v>
      </c>
      <c r="B100" s="25" t="s">
        <v>4799</v>
      </c>
      <c r="C100" s="25" t="s">
        <v>4002</v>
      </c>
      <c r="D100" s="26" t="s">
        <v>3975</v>
      </c>
      <c r="E100" s="26" t="s">
        <v>3975</v>
      </c>
      <c r="F100" s="25" t="s">
        <v>533</v>
      </c>
      <c r="G100" s="25"/>
      <c r="H100" s="25"/>
      <c r="I100" s="25"/>
      <c r="J100" s="25" t="s">
        <v>4800</v>
      </c>
      <c r="K100" s="25" t="s">
        <v>399</v>
      </c>
      <c r="L100" s="25" t="s">
        <v>1553</v>
      </c>
      <c r="M100" s="25" t="s">
        <v>4029</v>
      </c>
      <c r="N100" s="27" t="s">
        <v>4801</v>
      </c>
      <c r="O100" s="27" t="s">
        <v>4802</v>
      </c>
      <c r="P100" s="28">
        <v>44743</v>
      </c>
      <c r="Q100" s="28">
        <v>52048</v>
      </c>
      <c r="R100" s="25" t="str">
        <f t="shared" si="5"/>
        <v>男</v>
      </c>
      <c r="S100" s="25" t="s">
        <v>4803</v>
      </c>
      <c r="T100" s="28" t="str">
        <f t="shared" si="6"/>
        <v>1994-06-08</v>
      </c>
      <c r="U100" s="25">
        <f t="shared" ca="1" si="9"/>
        <v>31</v>
      </c>
      <c r="V100" s="25">
        <v>18314452550</v>
      </c>
      <c r="W100" s="28">
        <v>45539</v>
      </c>
      <c r="X100" s="28">
        <v>45539</v>
      </c>
      <c r="Y100" s="29" t="str">
        <f t="shared" ca="1" si="7"/>
        <v>1年7个月</v>
      </c>
      <c r="Z100" s="25" t="s">
        <v>4154</v>
      </c>
      <c r="AA100" s="26" t="str">
        <f t="shared" ca="1" si="8"/>
        <v>4年3个月</v>
      </c>
      <c r="AB100" s="25" t="s">
        <v>253</v>
      </c>
      <c r="AC100" s="25" t="s">
        <v>119</v>
      </c>
      <c r="AD100" s="25" t="s">
        <v>4234</v>
      </c>
      <c r="AE100" s="25"/>
      <c r="AF100" s="25"/>
      <c r="AG100" s="27"/>
      <c r="AH100" s="25"/>
      <c r="AI100" s="25"/>
      <c r="AJ100" s="25"/>
      <c r="AK100" s="27"/>
      <c r="AL100" s="25" t="s">
        <v>81</v>
      </c>
      <c r="AM100" s="25" t="s">
        <v>3987</v>
      </c>
      <c r="AN100" s="27" t="s">
        <v>4804</v>
      </c>
      <c r="AO100" s="25" t="s">
        <v>4787</v>
      </c>
      <c r="AP100" s="27" t="s">
        <v>4805</v>
      </c>
      <c r="AQ100" s="25">
        <v>211</v>
      </c>
      <c r="AR100" s="25" t="s">
        <v>4806</v>
      </c>
      <c r="AS100" s="26" t="s">
        <v>4011</v>
      </c>
      <c r="AT100" s="25" t="s">
        <v>4807</v>
      </c>
      <c r="AU100" s="25" t="s">
        <v>4808</v>
      </c>
      <c r="AV100" s="25" t="s">
        <v>4809</v>
      </c>
      <c r="AW100" s="30">
        <v>47026</v>
      </c>
      <c r="AX100" s="28">
        <v>45539</v>
      </c>
      <c r="AY100" s="28">
        <v>45903</v>
      </c>
      <c r="AZ100" s="28">
        <v>47026</v>
      </c>
      <c r="BA100" s="28"/>
      <c r="BB100" s="28"/>
      <c r="BC100" s="25"/>
      <c r="BD100" s="25"/>
      <c r="BE100" s="25"/>
      <c r="BF100" s="25"/>
      <c r="BG100" s="25"/>
      <c r="BH100" s="25"/>
      <c r="BI100" s="27"/>
    </row>
    <row r="101" spans="1:61" ht="15.6" x14ac:dyDescent="0.25">
      <c r="A101" s="25">
        <v>99</v>
      </c>
      <c r="B101" s="25" t="s">
        <v>4810</v>
      </c>
      <c r="C101" s="25" t="s">
        <v>4002</v>
      </c>
      <c r="D101" s="26" t="s">
        <v>3975</v>
      </c>
      <c r="E101" s="26" t="s">
        <v>3975</v>
      </c>
      <c r="F101" s="25" t="s">
        <v>241</v>
      </c>
      <c r="G101" s="25"/>
      <c r="H101" s="25"/>
      <c r="I101" s="25"/>
      <c r="J101" s="25" t="s">
        <v>4811</v>
      </c>
      <c r="K101" s="25" t="s">
        <v>676</v>
      </c>
      <c r="L101" s="25" t="s">
        <v>4071</v>
      </c>
      <c r="M101" s="25" t="s">
        <v>4017</v>
      </c>
      <c r="N101" s="27" t="s">
        <v>4812</v>
      </c>
      <c r="O101" s="27" t="s">
        <v>4073</v>
      </c>
      <c r="P101" s="28">
        <v>44070</v>
      </c>
      <c r="Q101" s="28">
        <v>51375</v>
      </c>
      <c r="R101" s="25" t="str">
        <f t="shared" ref="R101:R164" si="10">IF(MOD(RIGHT(LEFT(N101,17)),2),"男","女")</f>
        <v>男</v>
      </c>
      <c r="S101" s="25" t="s">
        <v>4082</v>
      </c>
      <c r="T101" s="28" t="str">
        <f t="shared" si="6"/>
        <v>1980-12-21</v>
      </c>
      <c r="U101" s="25">
        <f t="shared" ca="1" si="9"/>
        <v>45</v>
      </c>
      <c r="V101" s="25">
        <v>13759507829</v>
      </c>
      <c r="W101" s="28">
        <v>39314</v>
      </c>
      <c r="X101" s="28">
        <v>39314</v>
      </c>
      <c r="Y101" s="29" t="str">
        <f t="shared" ca="1" si="7"/>
        <v>18年7个月</v>
      </c>
      <c r="Z101" s="25" t="s">
        <v>1538</v>
      </c>
      <c r="AA101" s="26" t="str">
        <f t="shared" ca="1" si="8"/>
        <v>21年10个月</v>
      </c>
      <c r="AB101" s="25" t="s">
        <v>29</v>
      </c>
      <c r="AC101" s="25" t="s">
        <v>3985</v>
      </c>
      <c r="AD101" s="25" t="s">
        <v>3986</v>
      </c>
      <c r="AE101" s="25" t="s">
        <v>1095</v>
      </c>
      <c r="AF101" s="25" t="s">
        <v>437</v>
      </c>
      <c r="AG101" s="27" t="s">
        <v>3871</v>
      </c>
      <c r="AH101" s="25"/>
      <c r="AI101" s="25"/>
      <c r="AJ101" s="25"/>
      <c r="AK101" s="27"/>
      <c r="AL101" s="25" t="s">
        <v>81</v>
      </c>
      <c r="AM101" s="25" t="s">
        <v>3987</v>
      </c>
      <c r="AN101" s="42" t="s">
        <v>4221</v>
      </c>
      <c r="AO101" s="25" t="s">
        <v>4813</v>
      </c>
      <c r="AP101" s="27" t="s">
        <v>4814</v>
      </c>
      <c r="AQ101" s="25">
        <v>211</v>
      </c>
      <c r="AR101" s="25" t="s">
        <v>4815</v>
      </c>
      <c r="AS101" s="26" t="s">
        <v>4011</v>
      </c>
      <c r="AT101" s="25" t="s">
        <v>415</v>
      </c>
      <c r="AU101" s="25" t="s">
        <v>3336</v>
      </c>
      <c r="AV101" s="25" t="s">
        <v>4816</v>
      </c>
      <c r="AW101" s="30" t="s">
        <v>3991</v>
      </c>
      <c r="AX101" s="28">
        <v>40072</v>
      </c>
      <c r="AY101" s="25" t="s">
        <v>3991</v>
      </c>
      <c r="AZ101" s="28"/>
      <c r="BA101" s="28"/>
      <c r="BB101" s="28"/>
      <c r="BC101" s="25"/>
      <c r="BD101" s="25"/>
      <c r="BE101" s="25"/>
      <c r="BF101" s="25"/>
      <c r="BG101" s="25"/>
      <c r="BH101" s="25"/>
      <c r="BI101" s="27"/>
    </row>
    <row r="102" spans="1:61" ht="15.6" x14ac:dyDescent="0.25">
      <c r="A102" s="25">
        <v>100</v>
      </c>
      <c r="B102" s="25" t="s">
        <v>4817</v>
      </c>
      <c r="C102" s="25" t="s">
        <v>4002</v>
      </c>
      <c r="D102" s="26" t="s">
        <v>3975</v>
      </c>
      <c r="E102" s="26" t="s">
        <v>3975</v>
      </c>
      <c r="F102" s="25" t="s">
        <v>241</v>
      </c>
      <c r="G102" s="25"/>
      <c r="H102" s="25"/>
      <c r="I102" s="25"/>
      <c r="J102" s="25" t="s">
        <v>4818</v>
      </c>
      <c r="K102" s="25" t="s">
        <v>399</v>
      </c>
      <c r="L102" s="25" t="s">
        <v>4662</v>
      </c>
      <c r="M102" s="25" t="s">
        <v>4029</v>
      </c>
      <c r="N102" s="25" t="s">
        <v>3360</v>
      </c>
      <c r="O102" s="25" t="s">
        <v>4031</v>
      </c>
      <c r="P102" s="28">
        <v>42583</v>
      </c>
      <c r="Q102" s="28">
        <v>49888</v>
      </c>
      <c r="R102" s="25" t="str">
        <f t="shared" si="10"/>
        <v>男</v>
      </c>
      <c r="S102" s="25" t="s">
        <v>3984</v>
      </c>
      <c r="T102" s="28" t="str">
        <f t="shared" si="6"/>
        <v>1984-11-05</v>
      </c>
      <c r="U102" s="25">
        <f t="shared" ca="1" si="9"/>
        <v>41</v>
      </c>
      <c r="V102" s="25">
        <v>13708891073</v>
      </c>
      <c r="W102" s="28">
        <v>39295</v>
      </c>
      <c r="X102" s="28">
        <v>39295</v>
      </c>
      <c r="Y102" s="29" t="str">
        <f t="shared" ca="1" si="7"/>
        <v>18年8个月</v>
      </c>
      <c r="Z102" s="25"/>
      <c r="AA102" s="26" t="str">
        <f t="shared" ca="1" si="8"/>
        <v>18年8个月</v>
      </c>
      <c r="AB102" s="25" t="s">
        <v>29</v>
      </c>
      <c r="AC102" s="25" t="s">
        <v>3985</v>
      </c>
      <c r="AD102" s="25" t="s">
        <v>3986</v>
      </c>
      <c r="AE102" s="25" t="s">
        <v>1708</v>
      </c>
      <c r="AF102" s="25" t="s">
        <v>437</v>
      </c>
      <c r="AG102" s="27" t="s">
        <v>3850</v>
      </c>
      <c r="AH102" s="25"/>
      <c r="AI102" s="25"/>
      <c r="AJ102" s="25"/>
      <c r="AK102" s="27"/>
      <c r="AL102" s="25" t="s">
        <v>81</v>
      </c>
      <c r="AM102" s="25" t="s">
        <v>3987</v>
      </c>
      <c r="AN102" s="27" t="s">
        <v>4819</v>
      </c>
      <c r="AO102" s="25" t="s">
        <v>4062</v>
      </c>
      <c r="AP102" s="27" t="s">
        <v>4820</v>
      </c>
      <c r="AQ102" s="25"/>
      <c r="AR102" s="25" t="s">
        <v>3362</v>
      </c>
      <c r="AS102" s="26" t="s">
        <v>4011</v>
      </c>
      <c r="AT102" s="25" t="s">
        <v>2269</v>
      </c>
      <c r="AU102" s="25" t="s">
        <v>4821</v>
      </c>
      <c r="AV102" s="25" t="s">
        <v>4822</v>
      </c>
      <c r="AW102" s="31" t="s">
        <v>3991</v>
      </c>
      <c r="AX102" s="28">
        <v>41640</v>
      </c>
      <c r="AY102" s="25" t="s">
        <v>3991</v>
      </c>
      <c r="AZ102" s="28"/>
      <c r="BA102" s="28"/>
      <c r="BB102" s="28"/>
      <c r="BC102" s="25"/>
      <c r="BD102" s="25"/>
      <c r="BE102" s="25"/>
      <c r="BF102" s="25"/>
      <c r="BG102" s="25"/>
      <c r="BH102" s="25"/>
      <c r="BI102" s="27"/>
    </row>
    <row r="103" spans="1:61" ht="15.6" x14ac:dyDescent="0.25">
      <c r="A103" s="25">
        <v>101</v>
      </c>
      <c r="B103" s="25" t="s">
        <v>4823</v>
      </c>
      <c r="C103" s="25" t="s">
        <v>4002</v>
      </c>
      <c r="D103" s="26" t="s">
        <v>3975</v>
      </c>
      <c r="E103" s="26" t="s">
        <v>3975</v>
      </c>
      <c r="F103" s="25" t="s">
        <v>241</v>
      </c>
      <c r="G103" s="25"/>
      <c r="H103" s="25"/>
      <c r="I103" s="25"/>
      <c r="J103" s="25" t="s">
        <v>4818</v>
      </c>
      <c r="K103" s="25" t="s">
        <v>399</v>
      </c>
      <c r="L103" s="25" t="s">
        <v>4662</v>
      </c>
      <c r="M103" s="25" t="s">
        <v>4029</v>
      </c>
      <c r="N103" s="25" t="s">
        <v>3107</v>
      </c>
      <c r="O103" s="25" t="s">
        <v>4682</v>
      </c>
      <c r="P103" s="28">
        <v>42592</v>
      </c>
      <c r="Q103" s="28">
        <v>49897</v>
      </c>
      <c r="R103" s="25" t="str">
        <f t="shared" si="10"/>
        <v>男</v>
      </c>
      <c r="S103" s="25" t="s">
        <v>3984</v>
      </c>
      <c r="T103" s="28" t="str">
        <f t="shared" si="6"/>
        <v>1987-01-28</v>
      </c>
      <c r="U103" s="25">
        <f t="shared" ca="1" si="9"/>
        <v>39</v>
      </c>
      <c r="V103" s="25">
        <v>18669012707</v>
      </c>
      <c r="W103" s="28">
        <v>40491</v>
      </c>
      <c r="X103" s="28">
        <v>40491</v>
      </c>
      <c r="Y103" s="29" t="str">
        <f t="shared" ca="1" si="7"/>
        <v>15年5个月</v>
      </c>
      <c r="Z103" s="25"/>
      <c r="AA103" s="26" t="str">
        <f t="shared" ca="1" si="8"/>
        <v>15年5个月</v>
      </c>
      <c r="AB103" s="25" t="s">
        <v>4034</v>
      </c>
      <c r="AC103" s="25" t="s">
        <v>3985</v>
      </c>
      <c r="AD103" s="25" t="s">
        <v>3986</v>
      </c>
      <c r="AE103" s="25" t="s">
        <v>4824</v>
      </c>
      <c r="AF103" s="25" t="s">
        <v>437</v>
      </c>
      <c r="AG103" s="27" t="s">
        <v>3882</v>
      </c>
      <c r="AH103" s="25"/>
      <c r="AI103" s="25"/>
      <c r="AJ103" s="25"/>
      <c r="AK103" s="27"/>
      <c r="AL103" s="25" t="s">
        <v>81</v>
      </c>
      <c r="AM103" s="25" t="s">
        <v>3987</v>
      </c>
      <c r="AN103" s="27" t="s">
        <v>4825</v>
      </c>
      <c r="AO103" s="25" t="s">
        <v>4062</v>
      </c>
      <c r="AP103" s="27" t="s">
        <v>4826</v>
      </c>
      <c r="AQ103" s="25"/>
      <c r="AR103" s="25" t="s">
        <v>4676</v>
      </c>
      <c r="AS103" s="26" t="s">
        <v>4011</v>
      </c>
      <c r="AT103" s="25" t="s">
        <v>4137</v>
      </c>
      <c r="AU103" s="25" t="s">
        <v>4827</v>
      </c>
      <c r="AV103" s="25" t="s">
        <v>4828</v>
      </c>
      <c r="AW103" s="31" t="s">
        <v>3991</v>
      </c>
      <c r="AX103" s="28">
        <v>41640</v>
      </c>
      <c r="AY103" s="25" t="s">
        <v>3991</v>
      </c>
      <c r="AZ103" s="28"/>
      <c r="BA103" s="28"/>
      <c r="BB103" s="28"/>
      <c r="BC103" s="25"/>
      <c r="BD103" s="25"/>
      <c r="BE103" s="25"/>
      <c r="BF103" s="25"/>
      <c r="BG103" s="25"/>
      <c r="BH103" s="25"/>
      <c r="BI103" s="27"/>
    </row>
    <row r="104" spans="1:61" ht="15.6" x14ac:dyDescent="0.25">
      <c r="A104" s="25">
        <v>102</v>
      </c>
      <c r="B104" s="25" t="s">
        <v>4829</v>
      </c>
      <c r="C104" s="25" t="s">
        <v>4002</v>
      </c>
      <c r="D104" s="26" t="s">
        <v>3975</v>
      </c>
      <c r="E104" s="26" t="s">
        <v>3975</v>
      </c>
      <c r="F104" s="25" t="s">
        <v>241</v>
      </c>
      <c r="G104" s="25"/>
      <c r="H104" s="25"/>
      <c r="I104" s="25"/>
      <c r="J104" s="25" t="s">
        <v>4818</v>
      </c>
      <c r="K104" s="25" t="s">
        <v>399</v>
      </c>
      <c r="L104" s="25" t="s">
        <v>4662</v>
      </c>
      <c r="M104" s="25" t="s">
        <v>4029</v>
      </c>
      <c r="N104" s="27" t="s">
        <v>4830</v>
      </c>
      <c r="O104" s="27" t="s">
        <v>4831</v>
      </c>
      <c r="P104" s="28">
        <v>44771</v>
      </c>
      <c r="Q104" s="28">
        <v>52076</v>
      </c>
      <c r="R104" s="25" t="str">
        <f t="shared" si="10"/>
        <v>男</v>
      </c>
      <c r="S104" s="25" t="s">
        <v>3984</v>
      </c>
      <c r="T104" s="28" t="str">
        <f t="shared" si="6"/>
        <v>1989-06-06</v>
      </c>
      <c r="U104" s="25">
        <f t="shared" ca="1" si="9"/>
        <v>36</v>
      </c>
      <c r="V104" s="25">
        <v>18088139157</v>
      </c>
      <c r="W104" s="28">
        <v>42221</v>
      </c>
      <c r="X104" s="28">
        <v>42221</v>
      </c>
      <c r="Y104" s="29" t="str">
        <f t="shared" ca="1" si="7"/>
        <v>10年8个月</v>
      </c>
      <c r="Z104" s="25"/>
      <c r="AA104" s="26" t="str">
        <f t="shared" ca="1" si="8"/>
        <v>10年8个月</v>
      </c>
      <c r="AB104" s="25" t="s">
        <v>29</v>
      </c>
      <c r="AC104" s="25" t="s">
        <v>3985</v>
      </c>
      <c r="AD104" s="25" t="s">
        <v>4035</v>
      </c>
      <c r="AE104" s="25"/>
      <c r="AF104" s="25"/>
      <c r="AG104" s="27"/>
      <c r="AH104" s="25"/>
      <c r="AI104" s="25"/>
      <c r="AJ104" s="25"/>
      <c r="AK104" s="27"/>
      <c r="AL104" s="25" t="s">
        <v>81</v>
      </c>
      <c r="AM104" s="25" t="s">
        <v>3987</v>
      </c>
      <c r="AN104" s="27" t="s">
        <v>4832</v>
      </c>
      <c r="AO104" s="25" t="s">
        <v>4094</v>
      </c>
      <c r="AP104" s="27" t="s">
        <v>4833</v>
      </c>
      <c r="AQ104" s="25" t="s">
        <v>4474</v>
      </c>
      <c r="AR104" s="25" t="s">
        <v>4780</v>
      </c>
      <c r="AS104" s="26" t="s">
        <v>4011</v>
      </c>
      <c r="AT104" s="25" t="s">
        <v>4739</v>
      </c>
      <c r="AU104" s="25" t="s">
        <v>4834</v>
      </c>
      <c r="AV104" s="25" t="s">
        <v>4835</v>
      </c>
      <c r="AW104" s="31" t="s">
        <v>3991</v>
      </c>
      <c r="AX104" s="28">
        <v>42221</v>
      </c>
      <c r="AY104" s="28">
        <v>43316</v>
      </c>
      <c r="AZ104" s="28">
        <v>44412</v>
      </c>
      <c r="BA104" s="25" t="s">
        <v>3991</v>
      </c>
      <c r="BB104" s="28"/>
      <c r="BC104" s="25"/>
      <c r="BD104" s="25"/>
      <c r="BE104" s="25"/>
      <c r="BF104" s="25"/>
      <c r="BG104" s="25"/>
      <c r="BH104" s="25"/>
      <c r="BI104" s="25"/>
    </row>
    <row r="105" spans="1:61" ht="15.6" x14ac:dyDescent="0.25">
      <c r="A105" s="25">
        <v>103</v>
      </c>
      <c r="B105" s="25" t="s">
        <v>4836</v>
      </c>
      <c r="C105" s="25" t="s">
        <v>4002</v>
      </c>
      <c r="D105" s="26" t="s">
        <v>3975</v>
      </c>
      <c r="E105" s="26" t="s">
        <v>3975</v>
      </c>
      <c r="F105" s="25" t="s">
        <v>241</v>
      </c>
      <c r="G105" s="25"/>
      <c r="H105" s="25"/>
      <c r="I105" s="25"/>
      <c r="J105" s="25" t="s">
        <v>4818</v>
      </c>
      <c r="K105" s="25" t="s">
        <v>399</v>
      </c>
      <c r="L105" s="25" t="s">
        <v>4662</v>
      </c>
      <c r="M105" s="25" t="s">
        <v>4029</v>
      </c>
      <c r="N105" s="27" t="s">
        <v>1841</v>
      </c>
      <c r="O105" s="27" t="s">
        <v>4129</v>
      </c>
      <c r="P105" s="28">
        <v>42769</v>
      </c>
      <c r="Q105" s="28">
        <v>46421</v>
      </c>
      <c r="R105" s="25" t="str">
        <f t="shared" si="10"/>
        <v>男</v>
      </c>
      <c r="S105" s="25" t="s">
        <v>3984</v>
      </c>
      <c r="T105" s="28" t="str">
        <f t="shared" si="6"/>
        <v>1992-10-10</v>
      </c>
      <c r="U105" s="25">
        <f t="shared" ca="1" si="9"/>
        <v>33</v>
      </c>
      <c r="V105" s="25">
        <v>15812139652</v>
      </c>
      <c r="W105" s="28">
        <v>43409</v>
      </c>
      <c r="X105" s="28">
        <v>43409</v>
      </c>
      <c r="Y105" s="29" t="str">
        <f t="shared" ca="1" si="7"/>
        <v>7年5个月</v>
      </c>
      <c r="Z105" s="25" t="s">
        <v>4837</v>
      </c>
      <c r="AA105" s="26" t="str">
        <f t="shared" ca="1" si="8"/>
        <v>9年3个月</v>
      </c>
      <c r="AB105" s="25" t="s">
        <v>29</v>
      </c>
      <c r="AC105" s="25" t="s">
        <v>119</v>
      </c>
      <c r="AD105" s="25" t="s">
        <v>3986</v>
      </c>
      <c r="AE105" s="25" t="s">
        <v>1837</v>
      </c>
      <c r="AF105" s="25" t="s">
        <v>1012</v>
      </c>
      <c r="AG105" s="27" t="s">
        <v>3848</v>
      </c>
      <c r="AH105" s="25"/>
      <c r="AI105" s="25"/>
      <c r="AJ105" s="25"/>
      <c r="AK105" s="27"/>
      <c r="AL105" s="25" t="s">
        <v>81</v>
      </c>
      <c r="AM105" s="25" t="s">
        <v>3987</v>
      </c>
      <c r="AN105" s="27" t="s">
        <v>4838</v>
      </c>
      <c r="AO105" s="25" t="s">
        <v>4839</v>
      </c>
      <c r="AP105" s="27" t="s">
        <v>4840</v>
      </c>
      <c r="AQ105" s="25" t="s">
        <v>4474</v>
      </c>
      <c r="AR105" s="25" t="s">
        <v>4676</v>
      </c>
      <c r="AS105" s="26" t="s">
        <v>4011</v>
      </c>
      <c r="AT105" s="25" t="s">
        <v>601</v>
      </c>
      <c r="AU105" s="25" t="s">
        <v>4841</v>
      </c>
      <c r="AV105" s="32" t="s">
        <v>4842</v>
      </c>
      <c r="AW105" s="30" t="s">
        <v>3991</v>
      </c>
      <c r="AX105" s="28">
        <v>43409</v>
      </c>
      <c r="AY105" s="28">
        <v>43773</v>
      </c>
      <c r="AZ105" s="28">
        <v>44773</v>
      </c>
      <c r="BA105" s="28">
        <v>45869</v>
      </c>
      <c r="BB105" s="25" t="s">
        <v>3991</v>
      </c>
      <c r="BC105" s="25"/>
      <c r="BD105" s="25"/>
      <c r="BE105" s="25"/>
      <c r="BF105" s="25"/>
      <c r="BG105" s="25"/>
      <c r="BH105" s="25"/>
      <c r="BI105" s="27"/>
    </row>
    <row r="106" spans="1:61" ht="15.6" x14ac:dyDescent="0.25">
      <c r="A106" s="25">
        <v>104</v>
      </c>
      <c r="B106" s="25" t="s">
        <v>4843</v>
      </c>
      <c r="C106" s="25" t="s">
        <v>4002</v>
      </c>
      <c r="D106" s="26" t="s">
        <v>3975</v>
      </c>
      <c r="E106" s="26" t="s">
        <v>3975</v>
      </c>
      <c r="F106" s="25" t="s">
        <v>241</v>
      </c>
      <c r="G106" s="25"/>
      <c r="H106" s="25"/>
      <c r="I106" s="25"/>
      <c r="J106" s="25" t="s">
        <v>4818</v>
      </c>
      <c r="K106" s="25" t="s">
        <v>399</v>
      </c>
      <c r="L106" s="25" t="s">
        <v>4662</v>
      </c>
      <c r="M106" s="25" t="s">
        <v>4029</v>
      </c>
      <c r="N106" s="27" t="s">
        <v>4844</v>
      </c>
      <c r="O106" s="27" t="s">
        <v>4073</v>
      </c>
      <c r="P106" s="28">
        <v>43200</v>
      </c>
      <c r="Q106" s="28">
        <v>50505</v>
      </c>
      <c r="R106" s="25" t="str">
        <f t="shared" si="10"/>
        <v>男</v>
      </c>
      <c r="S106" s="25" t="s">
        <v>3984</v>
      </c>
      <c r="T106" s="28" t="str">
        <f t="shared" si="6"/>
        <v>1986-10-01</v>
      </c>
      <c r="U106" s="25">
        <f t="shared" ca="1" si="9"/>
        <v>39</v>
      </c>
      <c r="V106" s="25">
        <v>15969576601</v>
      </c>
      <c r="W106" s="28">
        <v>40322</v>
      </c>
      <c r="X106" s="28">
        <v>40322</v>
      </c>
      <c r="Y106" s="29" t="str">
        <f t="shared" ca="1" si="7"/>
        <v>15年10个月</v>
      </c>
      <c r="Z106" s="25" t="s">
        <v>898</v>
      </c>
      <c r="AA106" s="26" t="str">
        <f t="shared" ca="1" si="8"/>
        <v>16年0个月</v>
      </c>
      <c r="AB106" s="25" t="s">
        <v>29</v>
      </c>
      <c r="AC106" s="25" t="s">
        <v>3985</v>
      </c>
      <c r="AD106" s="25" t="s">
        <v>3986</v>
      </c>
      <c r="AE106" s="25" t="s">
        <v>1837</v>
      </c>
      <c r="AF106" s="25" t="s">
        <v>1012</v>
      </c>
      <c r="AG106" s="27" t="s">
        <v>3878</v>
      </c>
      <c r="AH106" s="25"/>
      <c r="AI106" s="25"/>
      <c r="AJ106" s="25"/>
      <c r="AK106" s="27"/>
      <c r="AL106" s="25" t="s">
        <v>81</v>
      </c>
      <c r="AM106" s="25" t="s">
        <v>3987</v>
      </c>
      <c r="AN106" s="27" t="s">
        <v>4845</v>
      </c>
      <c r="AO106" s="25" t="s">
        <v>4846</v>
      </c>
      <c r="AP106" s="27" t="s">
        <v>4847</v>
      </c>
      <c r="AQ106" s="25" t="s">
        <v>4474</v>
      </c>
      <c r="AR106" s="25" t="s">
        <v>4676</v>
      </c>
      <c r="AS106" s="26" t="s">
        <v>4011</v>
      </c>
      <c r="AT106" s="25" t="s">
        <v>668</v>
      </c>
      <c r="AU106" s="25" t="s">
        <v>4848</v>
      </c>
      <c r="AV106" s="25" t="s">
        <v>3111</v>
      </c>
      <c r="AW106" s="31" t="s">
        <v>3991</v>
      </c>
      <c r="AX106" s="28">
        <v>41640</v>
      </c>
      <c r="AY106" s="25" t="s">
        <v>3991</v>
      </c>
      <c r="AZ106" s="28"/>
      <c r="BA106" s="28"/>
      <c r="BB106" s="28"/>
      <c r="BC106" s="25"/>
      <c r="BD106" s="25"/>
      <c r="BE106" s="25"/>
      <c r="BF106" s="25"/>
      <c r="BG106" s="25"/>
      <c r="BH106" s="25"/>
      <c r="BI106" s="27"/>
    </row>
    <row r="107" spans="1:61" ht="15.6" x14ac:dyDescent="0.25">
      <c r="A107" s="25">
        <v>105</v>
      </c>
      <c r="B107" s="25" t="s">
        <v>4849</v>
      </c>
      <c r="C107" s="25" t="s">
        <v>4002</v>
      </c>
      <c r="D107" s="26" t="s">
        <v>3975</v>
      </c>
      <c r="E107" s="26" t="s">
        <v>3975</v>
      </c>
      <c r="F107" s="25" t="s">
        <v>241</v>
      </c>
      <c r="G107" s="25"/>
      <c r="H107" s="25"/>
      <c r="I107" s="25"/>
      <c r="J107" s="25" t="s">
        <v>4818</v>
      </c>
      <c r="K107" s="25" t="s">
        <v>399</v>
      </c>
      <c r="L107" s="25" t="s">
        <v>4662</v>
      </c>
      <c r="M107" s="25" t="s">
        <v>4029</v>
      </c>
      <c r="N107" s="27" t="s">
        <v>4850</v>
      </c>
      <c r="O107" s="27" t="s">
        <v>4851</v>
      </c>
      <c r="P107" s="28">
        <v>44067</v>
      </c>
      <c r="Q107" s="28">
        <v>47719</v>
      </c>
      <c r="R107" s="25" t="str">
        <f t="shared" si="10"/>
        <v>男</v>
      </c>
      <c r="S107" s="25" t="s">
        <v>4032</v>
      </c>
      <c r="T107" s="28" t="str">
        <f t="shared" si="6"/>
        <v>1994-10-05</v>
      </c>
      <c r="U107" s="25">
        <f t="shared" ca="1" si="9"/>
        <v>31</v>
      </c>
      <c r="V107" s="25">
        <v>13477057646</v>
      </c>
      <c r="W107" s="28">
        <v>44305</v>
      </c>
      <c r="X107" s="28">
        <v>44305</v>
      </c>
      <c r="Y107" s="29" t="str">
        <f t="shared" ca="1" si="7"/>
        <v>4年11个月</v>
      </c>
      <c r="Z107" s="25" t="s">
        <v>4760</v>
      </c>
      <c r="AA107" s="26" t="str">
        <f t="shared" ca="1" si="8"/>
        <v>7年8个月</v>
      </c>
      <c r="AB107" s="25" t="s">
        <v>4034</v>
      </c>
      <c r="AC107" s="25" t="s">
        <v>119</v>
      </c>
      <c r="AD107" s="25" t="s">
        <v>4035</v>
      </c>
      <c r="AE107" s="25" t="s">
        <v>4852</v>
      </c>
      <c r="AF107" s="25" t="s">
        <v>1012</v>
      </c>
      <c r="AG107" s="27" t="s">
        <v>4853</v>
      </c>
      <c r="AH107" s="25"/>
      <c r="AI107" s="25"/>
      <c r="AJ107" s="25"/>
      <c r="AK107" s="27"/>
      <c r="AL107" s="25" t="s">
        <v>81</v>
      </c>
      <c r="AM107" s="25" t="s">
        <v>3987</v>
      </c>
      <c r="AN107" s="27" t="s">
        <v>4854</v>
      </c>
      <c r="AO107" s="25" t="s">
        <v>4855</v>
      </c>
      <c r="AP107" s="27" t="s">
        <v>4854</v>
      </c>
      <c r="AQ107" s="25" t="s">
        <v>4474</v>
      </c>
      <c r="AR107" s="25" t="s">
        <v>4676</v>
      </c>
      <c r="AS107" s="26" t="s">
        <v>4011</v>
      </c>
      <c r="AT107" s="25" t="s">
        <v>4137</v>
      </c>
      <c r="AU107" s="25" t="s">
        <v>4856</v>
      </c>
      <c r="AV107" s="25" t="s">
        <v>4857</v>
      </c>
      <c r="AW107" s="30" t="s">
        <v>3991</v>
      </c>
      <c r="AX107" s="28">
        <v>44305</v>
      </c>
      <c r="AY107" s="28">
        <v>44669</v>
      </c>
      <c r="AZ107" s="28">
        <v>45869</v>
      </c>
      <c r="BA107" s="25" t="s">
        <v>3991</v>
      </c>
      <c r="BB107" s="28"/>
      <c r="BC107" s="25"/>
      <c r="BD107" s="25"/>
      <c r="BE107" s="25"/>
      <c r="BF107" s="25"/>
      <c r="BG107" s="25"/>
      <c r="BH107" s="25"/>
      <c r="BI107" s="27"/>
    </row>
    <row r="108" spans="1:61" ht="15.6" x14ac:dyDescent="0.25">
      <c r="A108" s="25">
        <v>106</v>
      </c>
      <c r="B108" s="25" t="s">
        <v>4858</v>
      </c>
      <c r="C108" s="25" t="s">
        <v>4002</v>
      </c>
      <c r="D108" s="26" t="s">
        <v>3975</v>
      </c>
      <c r="E108" s="26" t="s">
        <v>3975</v>
      </c>
      <c r="F108" s="25" t="s">
        <v>241</v>
      </c>
      <c r="G108" s="25"/>
      <c r="H108" s="25"/>
      <c r="I108" s="25"/>
      <c r="J108" s="25" t="s">
        <v>4818</v>
      </c>
      <c r="K108" s="25" t="s">
        <v>399</v>
      </c>
      <c r="L108" s="25" t="s">
        <v>4662</v>
      </c>
      <c r="M108" s="25" t="s">
        <v>4029</v>
      </c>
      <c r="N108" s="27" t="s">
        <v>4859</v>
      </c>
      <c r="O108" s="27" t="s">
        <v>4860</v>
      </c>
      <c r="P108" s="28">
        <v>43789</v>
      </c>
      <c r="Q108" s="28">
        <v>47442</v>
      </c>
      <c r="R108" s="25" t="str">
        <f t="shared" si="10"/>
        <v>女</v>
      </c>
      <c r="S108" s="25" t="s">
        <v>3984</v>
      </c>
      <c r="T108" s="28" t="str">
        <f t="shared" si="6"/>
        <v>2002-08-28</v>
      </c>
      <c r="U108" s="25">
        <f t="shared" ca="1" si="9"/>
        <v>23</v>
      </c>
      <c r="V108" s="25">
        <v>15770322134</v>
      </c>
      <c r="W108" s="28">
        <v>45587</v>
      </c>
      <c r="X108" s="28">
        <v>45587</v>
      </c>
      <c r="Y108" s="29" t="str">
        <f t="shared" ca="1" si="7"/>
        <v>1年5个月</v>
      </c>
      <c r="Z108" s="25"/>
      <c r="AA108" s="26" t="str">
        <f t="shared" ca="1" si="8"/>
        <v>1年5个月</v>
      </c>
      <c r="AB108" s="25" t="s">
        <v>4049</v>
      </c>
      <c r="AC108" s="25" t="s">
        <v>272</v>
      </c>
      <c r="AD108" s="25" t="s">
        <v>4234</v>
      </c>
      <c r="AE108" s="25"/>
      <c r="AF108" s="25"/>
      <c r="AG108" s="27"/>
      <c r="AH108" s="25"/>
      <c r="AI108" s="25"/>
      <c r="AJ108" s="25"/>
      <c r="AK108" s="27"/>
      <c r="AL108" s="25" t="s">
        <v>81</v>
      </c>
      <c r="AM108" s="25" t="s">
        <v>3987</v>
      </c>
      <c r="AN108" s="27" t="s">
        <v>4861</v>
      </c>
      <c r="AO108" s="25" t="s">
        <v>4708</v>
      </c>
      <c r="AP108" s="27" t="s">
        <v>4862</v>
      </c>
      <c r="AQ108" s="25">
        <v>211</v>
      </c>
      <c r="AR108" s="25" t="s">
        <v>4676</v>
      </c>
      <c r="AS108" s="26" t="s">
        <v>4011</v>
      </c>
      <c r="AT108" s="25" t="s">
        <v>4722</v>
      </c>
      <c r="AU108" s="25" t="s">
        <v>4863</v>
      </c>
      <c r="AV108" s="25" t="s">
        <v>4863</v>
      </c>
      <c r="AW108" s="30">
        <v>47057</v>
      </c>
      <c r="AX108" s="28">
        <v>45587</v>
      </c>
      <c r="AY108" s="28">
        <v>45951</v>
      </c>
      <c r="AZ108" s="28">
        <v>47057</v>
      </c>
      <c r="BA108" s="28"/>
      <c r="BB108" s="28"/>
      <c r="BC108" s="25"/>
      <c r="BD108" s="25"/>
      <c r="BE108" s="25"/>
      <c r="BF108" s="25"/>
      <c r="BG108" s="25"/>
      <c r="BH108" s="25"/>
      <c r="BI108" s="27"/>
    </row>
    <row r="109" spans="1:61" ht="15.6" x14ac:dyDescent="0.25">
      <c r="A109" s="25">
        <v>107</v>
      </c>
      <c r="B109" s="25" t="s">
        <v>4864</v>
      </c>
      <c r="C109" s="25" t="s">
        <v>4002</v>
      </c>
      <c r="D109" s="26" t="s">
        <v>3975</v>
      </c>
      <c r="E109" s="26" t="s">
        <v>3975</v>
      </c>
      <c r="F109" s="25" t="s">
        <v>241</v>
      </c>
      <c r="G109" s="25"/>
      <c r="H109" s="25"/>
      <c r="I109" s="25"/>
      <c r="J109" s="25" t="s">
        <v>4818</v>
      </c>
      <c r="K109" s="25" t="s">
        <v>399</v>
      </c>
      <c r="L109" s="25" t="s">
        <v>4662</v>
      </c>
      <c r="M109" s="25" t="s">
        <v>4029</v>
      </c>
      <c r="N109" s="27" t="s">
        <v>4865</v>
      </c>
      <c r="O109" s="27" t="s">
        <v>4552</v>
      </c>
      <c r="P109" s="28">
        <v>42704</v>
      </c>
      <c r="Q109" s="28">
        <v>46356</v>
      </c>
      <c r="R109" s="25" t="str">
        <f t="shared" si="10"/>
        <v>男</v>
      </c>
      <c r="S109" s="25" t="s">
        <v>3984</v>
      </c>
      <c r="T109" s="28" t="str">
        <f t="shared" si="6"/>
        <v>1998-05-20</v>
      </c>
      <c r="U109" s="25">
        <f t="shared" ca="1" si="9"/>
        <v>27</v>
      </c>
      <c r="V109" s="25">
        <v>18313556374</v>
      </c>
      <c r="W109" s="28">
        <v>45845</v>
      </c>
      <c r="X109" s="28">
        <v>45845</v>
      </c>
      <c r="Y109" s="29" t="str">
        <f t="shared" ca="1" si="7"/>
        <v>0年9个月</v>
      </c>
      <c r="Z109" s="25"/>
      <c r="AA109" s="26" t="str">
        <f t="shared" ca="1" si="8"/>
        <v>0年9个月</v>
      </c>
      <c r="AB109" s="25" t="s">
        <v>4049</v>
      </c>
      <c r="AC109" s="25" t="s">
        <v>4616</v>
      </c>
      <c r="AD109" s="25" t="s">
        <v>4234</v>
      </c>
      <c r="AE109" s="25"/>
      <c r="AF109" s="25"/>
      <c r="AG109" s="27"/>
      <c r="AH109" s="25"/>
      <c r="AI109" s="25"/>
      <c r="AJ109" s="25"/>
      <c r="AK109" s="27"/>
      <c r="AL109" s="25" t="s">
        <v>87</v>
      </c>
      <c r="AM109" s="25" t="s">
        <v>3987</v>
      </c>
      <c r="AN109" s="27" t="s">
        <v>4866</v>
      </c>
      <c r="AO109" s="25" t="s">
        <v>4867</v>
      </c>
      <c r="AP109" s="27" t="s">
        <v>4868</v>
      </c>
      <c r="AQ109" s="25"/>
      <c r="AR109" s="25" t="s">
        <v>4869</v>
      </c>
      <c r="AS109" s="26" t="s">
        <v>4011</v>
      </c>
      <c r="AT109" s="25" t="s">
        <v>4137</v>
      </c>
      <c r="AU109" s="25" t="s">
        <v>4870</v>
      </c>
      <c r="AV109" s="25" t="s">
        <v>4870</v>
      </c>
      <c r="AW109" s="30">
        <v>46209</v>
      </c>
      <c r="AX109" s="28">
        <v>45845</v>
      </c>
      <c r="AY109" s="28">
        <v>46209</v>
      </c>
      <c r="AZ109" s="28"/>
      <c r="BA109" s="28"/>
      <c r="BB109" s="28"/>
      <c r="BC109" s="25"/>
      <c r="BD109" s="25"/>
      <c r="BE109" s="25"/>
      <c r="BF109" s="25"/>
      <c r="BG109" s="25"/>
      <c r="BH109" s="25"/>
      <c r="BI109" s="27"/>
    </row>
    <row r="110" spans="1:61" ht="15.6" x14ac:dyDescent="0.25">
      <c r="A110" s="25">
        <v>108</v>
      </c>
      <c r="B110" s="25" t="s">
        <v>4871</v>
      </c>
      <c r="C110" s="25" t="s">
        <v>4002</v>
      </c>
      <c r="D110" s="26" t="s">
        <v>3975</v>
      </c>
      <c r="E110" s="26" t="s">
        <v>3975</v>
      </c>
      <c r="F110" s="25" t="s">
        <v>241</v>
      </c>
      <c r="G110" s="25"/>
      <c r="H110" s="25"/>
      <c r="I110" s="25"/>
      <c r="J110" s="25" t="s">
        <v>4691</v>
      </c>
      <c r="K110" s="25" t="s">
        <v>399</v>
      </c>
      <c r="L110" s="25" t="s">
        <v>4662</v>
      </c>
      <c r="M110" s="25" t="s">
        <v>4029</v>
      </c>
      <c r="N110" s="27" t="s">
        <v>4872</v>
      </c>
      <c r="O110" s="27" t="s">
        <v>4073</v>
      </c>
      <c r="P110" s="28">
        <v>43337</v>
      </c>
      <c r="Q110" s="28">
        <v>50642</v>
      </c>
      <c r="R110" s="25" t="str">
        <f t="shared" si="10"/>
        <v>男</v>
      </c>
      <c r="S110" s="25" t="s">
        <v>3984</v>
      </c>
      <c r="T110" s="28" t="str">
        <f t="shared" si="6"/>
        <v>1982-02-18</v>
      </c>
      <c r="U110" s="25">
        <f t="shared" ca="1" si="9"/>
        <v>44</v>
      </c>
      <c r="V110" s="25">
        <v>13708708639</v>
      </c>
      <c r="W110" s="28">
        <v>40980</v>
      </c>
      <c r="X110" s="28">
        <v>40980</v>
      </c>
      <c r="Y110" s="29" t="str">
        <f t="shared" ca="1" si="7"/>
        <v>14年1个月</v>
      </c>
      <c r="Z110" s="25" t="s">
        <v>1758</v>
      </c>
      <c r="AA110" s="26" t="str">
        <f t="shared" ca="1" si="8"/>
        <v>19年4个月</v>
      </c>
      <c r="AB110" s="25" t="s">
        <v>4034</v>
      </c>
      <c r="AC110" s="25" t="s">
        <v>3985</v>
      </c>
      <c r="AD110" s="25" t="s">
        <v>3986</v>
      </c>
      <c r="AE110" s="25" t="s">
        <v>692</v>
      </c>
      <c r="AF110" s="25" t="s">
        <v>437</v>
      </c>
      <c r="AG110" s="27" t="s">
        <v>3864</v>
      </c>
      <c r="AH110" s="25"/>
      <c r="AI110" s="25"/>
      <c r="AJ110" s="25"/>
      <c r="AK110" s="27"/>
      <c r="AL110" s="25" t="s">
        <v>81</v>
      </c>
      <c r="AM110" s="25" t="s">
        <v>3987</v>
      </c>
      <c r="AN110" s="27" t="s">
        <v>4873</v>
      </c>
      <c r="AO110" s="25" t="s">
        <v>4874</v>
      </c>
      <c r="AP110" s="27" t="s">
        <v>4875</v>
      </c>
      <c r="AQ110" s="25"/>
      <c r="AR110" s="25" t="s">
        <v>4455</v>
      </c>
      <c r="AS110" s="26" t="s">
        <v>4011</v>
      </c>
      <c r="AT110" s="25" t="s">
        <v>4456</v>
      </c>
      <c r="AU110" s="25" t="s">
        <v>4876</v>
      </c>
      <c r="AV110" s="25" t="s">
        <v>4877</v>
      </c>
      <c r="AW110" s="30" t="s">
        <v>3991</v>
      </c>
      <c r="AX110" s="28">
        <v>40980</v>
      </c>
      <c r="AY110" s="28">
        <v>41709</v>
      </c>
      <c r="AZ110" s="28">
        <v>42440</v>
      </c>
      <c r="BA110" s="28">
        <v>43535</v>
      </c>
      <c r="BB110" s="28" t="s">
        <v>3991</v>
      </c>
      <c r="BC110" s="25"/>
      <c r="BD110" s="25"/>
      <c r="BE110" s="25"/>
      <c r="BF110" s="25"/>
      <c r="BG110" s="25"/>
      <c r="BH110" s="25"/>
      <c r="BI110" s="27"/>
    </row>
    <row r="111" spans="1:61" ht="15.6" x14ac:dyDescent="0.25">
      <c r="A111" s="25">
        <v>109</v>
      </c>
      <c r="B111" s="25" t="s">
        <v>4878</v>
      </c>
      <c r="C111" s="25" t="s">
        <v>4002</v>
      </c>
      <c r="D111" s="26" t="s">
        <v>3975</v>
      </c>
      <c r="E111" s="26" t="s">
        <v>3975</v>
      </c>
      <c r="F111" s="25" t="s">
        <v>241</v>
      </c>
      <c r="G111" s="25"/>
      <c r="H111" s="25"/>
      <c r="I111" s="25"/>
      <c r="J111" s="25" t="s">
        <v>4691</v>
      </c>
      <c r="K111" s="25" t="s">
        <v>399</v>
      </c>
      <c r="L111" s="25" t="s">
        <v>4662</v>
      </c>
      <c r="M111" s="25" t="s">
        <v>4029</v>
      </c>
      <c r="N111" s="27" t="s">
        <v>4879</v>
      </c>
      <c r="O111" s="27" t="s">
        <v>4566</v>
      </c>
      <c r="P111" s="28">
        <v>42163</v>
      </c>
      <c r="Q111" s="28">
        <v>49468</v>
      </c>
      <c r="R111" s="25" t="str">
        <f t="shared" si="10"/>
        <v>男</v>
      </c>
      <c r="S111" s="25" t="s">
        <v>3984</v>
      </c>
      <c r="T111" s="28" t="str">
        <f t="shared" si="6"/>
        <v>1989-05-14</v>
      </c>
      <c r="U111" s="25">
        <f t="shared" ca="1" si="9"/>
        <v>36</v>
      </c>
      <c r="V111" s="25">
        <v>15087048490</v>
      </c>
      <c r="W111" s="28">
        <v>42170</v>
      </c>
      <c r="X111" s="28">
        <v>42170</v>
      </c>
      <c r="Y111" s="29" t="str">
        <f t="shared" ca="1" si="7"/>
        <v>10年9个月</v>
      </c>
      <c r="Z111" s="25" t="s">
        <v>1420</v>
      </c>
      <c r="AA111" s="26" t="str">
        <f t="shared" ca="1" si="8"/>
        <v>12年5个月</v>
      </c>
      <c r="AB111" s="25" t="s">
        <v>4034</v>
      </c>
      <c r="AC111" s="25" t="s">
        <v>3985</v>
      </c>
      <c r="AD111" s="25" t="s">
        <v>4035</v>
      </c>
      <c r="AE111" s="25" t="s">
        <v>4880</v>
      </c>
      <c r="AF111" s="25" t="s">
        <v>437</v>
      </c>
      <c r="AG111" s="27" t="s">
        <v>4881</v>
      </c>
      <c r="AH111" s="25"/>
      <c r="AI111" s="25"/>
      <c r="AJ111" s="25"/>
      <c r="AK111" s="27"/>
      <c r="AL111" s="25" t="s">
        <v>81</v>
      </c>
      <c r="AM111" s="25" t="s">
        <v>3987</v>
      </c>
      <c r="AN111" s="27" t="s">
        <v>4882</v>
      </c>
      <c r="AO111" s="25" t="s">
        <v>4883</v>
      </c>
      <c r="AP111" s="27" t="s">
        <v>4884</v>
      </c>
      <c r="AQ111" s="25"/>
      <c r="AR111" s="25" t="s">
        <v>4455</v>
      </c>
      <c r="AS111" s="26" t="s">
        <v>4011</v>
      </c>
      <c r="AT111" s="25" t="s">
        <v>4456</v>
      </c>
      <c r="AU111" s="25" t="s">
        <v>4885</v>
      </c>
      <c r="AV111" s="25" t="s">
        <v>4886</v>
      </c>
      <c r="AW111" s="30" t="s">
        <v>3991</v>
      </c>
      <c r="AX111" s="45">
        <v>42170</v>
      </c>
      <c r="AY111" s="28">
        <v>43312</v>
      </c>
      <c r="AZ111" s="28">
        <v>44408</v>
      </c>
      <c r="BA111" s="28">
        <v>45504</v>
      </c>
      <c r="BB111" s="28" t="s">
        <v>3991</v>
      </c>
      <c r="BC111" s="25"/>
      <c r="BD111" s="25"/>
      <c r="BE111" s="25"/>
      <c r="BF111" s="25"/>
      <c r="BG111" s="25"/>
      <c r="BH111" s="25"/>
      <c r="BI111" s="56"/>
    </row>
    <row r="112" spans="1:61" ht="15.6" x14ac:dyDescent="0.25">
      <c r="A112" s="25">
        <v>110</v>
      </c>
      <c r="B112" s="25" t="s">
        <v>4887</v>
      </c>
      <c r="C112" s="25" t="s">
        <v>4002</v>
      </c>
      <c r="D112" s="26" t="s">
        <v>3975</v>
      </c>
      <c r="E112" s="26" t="s">
        <v>3975</v>
      </c>
      <c r="F112" s="25" t="s">
        <v>241</v>
      </c>
      <c r="G112" s="25"/>
      <c r="H112" s="25"/>
      <c r="I112" s="25"/>
      <c r="J112" s="25" t="s">
        <v>4691</v>
      </c>
      <c r="K112" s="25" t="s">
        <v>399</v>
      </c>
      <c r="L112" s="25" t="s">
        <v>4662</v>
      </c>
      <c r="M112" s="25" t="s">
        <v>4029</v>
      </c>
      <c r="N112" s="27" t="s">
        <v>4888</v>
      </c>
      <c r="O112" s="27" t="s">
        <v>4397</v>
      </c>
      <c r="P112" s="28">
        <v>42402</v>
      </c>
      <c r="Q112" s="28">
        <v>53333</v>
      </c>
      <c r="R112" s="25" t="str">
        <f t="shared" si="10"/>
        <v>男</v>
      </c>
      <c r="S112" s="25" t="s">
        <v>3984</v>
      </c>
      <c r="T112" s="28" t="str">
        <f t="shared" si="6"/>
        <v>1994-10-15</v>
      </c>
      <c r="U112" s="25">
        <f t="shared" ca="1" si="9"/>
        <v>31</v>
      </c>
      <c r="V112" s="25">
        <v>19987739250</v>
      </c>
      <c r="W112" s="28">
        <v>43052</v>
      </c>
      <c r="X112" s="28">
        <v>43052</v>
      </c>
      <c r="Y112" s="29" t="str">
        <f t="shared" ca="1" si="7"/>
        <v>8年5个月</v>
      </c>
      <c r="Z112" s="25"/>
      <c r="AA112" s="26" t="str">
        <f t="shared" ca="1" si="8"/>
        <v>8年5个月</v>
      </c>
      <c r="AB112" s="25" t="s">
        <v>4049</v>
      </c>
      <c r="AC112" s="25" t="s">
        <v>119</v>
      </c>
      <c r="AD112" s="25" t="s">
        <v>4035</v>
      </c>
      <c r="AE112" s="25" t="s">
        <v>692</v>
      </c>
      <c r="AF112" s="25" t="s">
        <v>1012</v>
      </c>
      <c r="AG112" s="27" t="s">
        <v>3873</v>
      </c>
      <c r="AH112" s="25"/>
      <c r="AI112" s="25"/>
      <c r="AJ112" s="25"/>
      <c r="AK112" s="27"/>
      <c r="AL112" s="25" t="s">
        <v>81</v>
      </c>
      <c r="AM112" s="25" t="s">
        <v>3987</v>
      </c>
      <c r="AN112" s="27" t="s">
        <v>4889</v>
      </c>
      <c r="AO112" s="25" t="s">
        <v>4890</v>
      </c>
      <c r="AP112" s="27" t="s">
        <v>4891</v>
      </c>
      <c r="AQ112" s="25"/>
      <c r="AR112" s="25" t="s">
        <v>4892</v>
      </c>
      <c r="AS112" s="26" t="s">
        <v>4011</v>
      </c>
      <c r="AT112" s="25" t="s">
        <v>4658</v>
      </c>
      <c r="AU112" s="25" t="s">
        <v>4893</v>
      </c>
      <c r="AV112" s="25" t="s">
        <v>4893</v>
      </c>
      <c r="AW112" s="30" t="s">
        <v>3991</v>
      </c>
      <c r="AX112" s="28">
        <v>43052</v>
      </c>
      <c r="AY112" s="28">
        <v>43416</v>
      </c>
      <c r="AZ112" s="28">
        <v>44408</v>
      </c>
      <c r="BA112" s="28">
        <v>45504</v>
      </c>
      <c r="BB112" s="28" t="s">
        <v>3991</v>
      </c>
      <c r="BC112" s="25"/>
      <c r="BD112" s="25"/>
      <c r="BE112" s="25"/>
      <c r="BF112" s="25"/>
      <c r="BG112" s="25"/>
      <c r="BH112" s="25"/>
      <c r="BI112" s="56"/>
    </row>
    <row r="113" spans="1:61" ht="15.6" x14ac:dyDescent="0.25">
      <c r="A113" s="25">
        <v>111</v>
      </c>
      <c r="B113" s="25" t="s">
        <v>4894</v>
      </c>
      <c r="C113" s="26" t="s">
        <v>4002</v>
      </c>
      <c r="D113" s="26" t="s">
        <v>3975</v>
      </c>
      <c r="E113" s="26" t="s">
        <v>3975</v>
      </c>
      <c r="F113" s="25" t="s">
        <v>241</v>
      </c>
      <c r="G113" s="25"/>
      <c r="H113" s="25"/>
      <c r="I113" s="25"/>
      <c r="J113" s="25" t="s">
        <v>4691</v>
      </c>
      <c r="K113" s="25" t="s">
        <v>399</v>
      </c>
      <c r="L113" s="25" t="s">
        <v>4662</v>
      </c>
      <c r="M113" s="25" t="s">
        <v>4029</v>
      </c>
      <c r="N113" s="27" t="s">
        <v>4895</v>
      </c>
      <c r="O113" s="27" t="s">
        <v>4031</v>
      </c>
      <c r="P113" s="28">
        <v>44037</v>
      </c>
      <c r="Q113" s="28">
        <v>51342</v>
      </c>
      <c r="R113" s="25" t="str">
        <f t="shared" si="10"/>
        <v>男</v>
      </c>
      <c r="S113" s="25" t="s">
        <v>4032</v>
      </c>
      <c r="T113" s="28" t="str">
        <f t="shared" si="6"/>
        <v>1993-08-12</v>
      </c>
      <c r="U113" s="25">
        <f t="shared" ca="1" si="9"/>
        <v>32</v>
      </c>
      <c r="V113" s="25">
        <v>18788163727</v>
      </c>
      <c r="W113" s="28">
        <v>42598</v>
      </c>
      <c r="X113" s="45">
        <v>42598</v>
      </c>
      <c r="Y113" s="29" t="str">
        <f t="shared" ca="1" si="7"/>
        <v>9年7个月</v>
      </c>
      <c r="Z113" s="25"/>
      <c r="AA113" s="26" t="str">
        <f t="shared" ca="1" si="8"/>
        <v>9年7个月</v>
      </c>
      <c r="AB113" s="25" t="s">
        <v>4049</v>
      </c>
      <c r="AC113" s="25" t="s">
        <v>119</v>
      </c>
      <c r="AD113" s="25" t="s">
        <v>3986</v>
      </c>
      <c r="AE113" s="25" t="s">
        <v>1654</v>
      </c>
      <c r="AF113" s="25" t="s">
        <v>4050</v>
      </c>
      <c r="AG113" s="27" t="s">
        <v>3863</v>
      </c>
      <c r="AH113" s="25"/>
      <c r="AI113" s="25"/>
      <c r="AJ113" s="25"/>
      <c r="AK113" s="27"/>
      <c r="AL113" s="25" t="s">
        <v>81</v>
      </c>
      <c r="AM113" s="25" t="s">
        <v>3987</v>
      </c>
      <c r="AN113" s="27" t="s">
        <v>4896</v>
      </c>
      <c r="AO113" s="25" t="s">
        <v>4897</v>
      </c>
      <c r="AP113" s="27" t="s">
        <v>4898</v>
      </c>
      <c r="AQ113" s="25"/>
      <c r="AR113" s="25" t="s">
        <v>4892</v>
      </c>
      <c r="AS113" s="26" t="s">
        <v>4011</v>
      </c>
      <c r="AT113" s="25" t="s">
        <v>4043</v>
      </c>
      <c r="AU113" s="25" t="s">
        <v>4899</v>
      </c>
      <c r="AV113" s="25" t="s">
        <v>4900</v>
      </c>
      <c r="AW113" s="30" t="s">
        <v>3991</v>
      </c>
      <c r="AX113" s="28">
        <v>42598</v>
      </c>
      <c r="AY113" s="28">
        <v>43692</v>
      </c>
      <c r="AZ113" s="28">
        <v>45504</v>
      </c>
      <c r="BA113" s="25" t="s">
        <v>3991</v>
      </c>
      <c r="BB113" s="33"/>
      <c r="BC113" s="33"/>
      <c r="BD113" s="33"/>
      <c r="BE113" s="33"/>
      <c r="BF113" s="33"/>
      <c r="BG113" s="33"/>
      <c r="BH113" s="33"/>
      <c r="BI113" s="33"/>
    </row>
    <row r="114" spans="1:61" ht="15.6" x14ac:dyDescent="0.25">
      <c r="A114" s="25">
        <v>112</v>
      </c>
      <c r="B114" s="25" t="s">
        <v>4901</v>
      </c>
      <c r="C114" s="26" t="s">
        <v>4002</v>
      </c>
      <c r="D114" s="26" t="s">
        <v>3975</v>
      </c>
      <c r="E114" s="26" t="s">
        <v>3975</v>
      </c>
      <c r="F114" s="25" t="s">
        <v>241</v>
      </c>
      <c r="G114" s="25"/>
      <c r="H114" s="25"/>
      <c r="I114" s="25"/>
      <c r="J114" s="25" t="s">
        <v>4691</v>
      </c>
      <c r="K114" s="25" t="s">
        <v>399</v>
      </c>
      <c r="L114" s="25" t="s">
        <v>4662</v>
      </c>
      <c r="M114" s="25" t="s">
        <v>4029</v>
      </c>
      <c r="N114" s="27" t="s">
        <v>4902</v>
      </c>
      <c r="O114" s="27" t="s">
        <v>4566</v>
      </c>
      <c r="P114" s="28">
        <v>43136</v>
      </c>
      <c r="Q114" s="28">
        <v>46788</v>
      </c>
      <c r="R114" s="25" t="str">
        <f t="shared" si="10"/>
        <v>男</v>
      </c>
      <c r="S114" s="25" t="s">
        <v>3984</v>
      </c>
      <c r="T114" s="28" t="str">
        <f t="shared" si="6"/>
        <v>1997-12-03</v>
      </c>
      <c r="U114" s="25">
        <f t="shared" ca="1" si="9"/>
        <v>28</v>
      </c>
      <c r="V114" s="25">
        <v>18324735316</v>
      </c>
      <c r="W114" s="28">
        <v>44694</v>
      </c>
      <c r="X114" s="45">
        <v>44694</v>
      </c>
      <c r="Y114" s="29" t="str">
        <f t="shared" ca="1" si="7"/>
        <v>3年11个月</v>
      </c>
      <c r="Z114" s="25" t="s">
        <v>4837</v>
      </c>
      <c r="AA114" s="26" t="str">
        <f t="shared" ca="1" si="8"/>
        <v>5年9个月</v>
      </c>
      <c r="AB114" s="25" t="s">
        <v>4034</v>
      </c>
      <c r="AC114" s="25" t="s">
        <v>4176</v>
      </c>
      <c r="AD114" s="25" t="s">
        <v>4035</v>
      </c>
      <c r="AE114" s="25" t="s">
        <v>4880</v>
      </c>
      <c r="AF114" s="25" t="s">
        <v>1012</v>
      </c>
      <c r="AG114" s="27" t="s">
        <v>4903</v>
      </c>
      <c r="AH114" s="25"/>
      <c r="AI114" s="25"/>
      <c r="AJ114" s="25"/>
      <c r="AK114" s="27"/>
      <c r="AL114" s="25" t="s">
        <v>81</v>
      </c>
      <c r="AM114" s="25" t="s">
        <v>3987</v>
      </c>
      <c r="AN114" s="27" t="s">
        <v>4904</v>
      </c>
      <c r="AO114" s="25" t="s">
        <v>4813</v>
      </c>
      <c r="AP114" s="27" t="s">
        <v>4905</v>
      </c>
      <c r="AQ114" s="25">
        <v>211</v>
      </c>
      <c r="AR114" s="25" t="s">
        <v>4892</v>
      </c>
      <c r="AS114" s="26" t="s">
        <v>4011</v>
      </c>
      <c r="AT114" s="25" t="s">
        <v>4456</v>
      </c>
      <c r="AU114" s="25" t="s">
        <v>4906</v>
      </c>
      <c r="AV114" s="25" t="s">
        <v>4907</v>
      </c>
      <c r="AW114" s="30">
        <v>46234</v>
      </c>
      <c r="AX114" s="28">
        <v>44694</v>
      </c>
      <c r="AY114" s="28">
        <v>45058</v>
      </c>
      <c r="AZ114" s="28">
        <v>46234</v>
      </c>
      <c r="BA114" s="33"/>
      <c r="BB114" s="33"/>
      <c r="BC114" s="33"/>
      <c r="BD114" s="33"/>
      <c r="BE114" s="33"/>
      <c r="BF114" s="33"/>
      <c r="BG114" s="33"/>
      <c r="BH114" s="33"/>
      <c r="BI114" s="33"/>
    </row>
    <row r="115" spans="1:61" ht="15.6" x14ac:dyDescent="0.25">
      <c r="A115" s="25">
        <v>113</v>
      </c>
      <c r="B115" s="25" t="s">
        <v>4908</v>
      </c>
      <c r="C115" s="26" t="s">
        <v>4002</v>
      </c>
      <c r="D115" s="26" t="s">
        <v>3975</v>
      </c>
      <c r="E115" s="26" t="s">
        <v>3975</v>
      </c>
      <c r="F115" s="25" t="s">
        <v>241</v>
      </c>
      <c r="G115" s="25"/>
      <c r="H115" s="25"/>
      <c r="I115" s="25"/>
      <c r="J115" s="25" t="s">
        <v>4691</v>
      </c>
      <c r="K115" s="25" t="s">
        <v>399</v>
      </c>
      <c r="L115" s="25" t="s">
        <v>4662</v>
      </c>
      <c r="M115" s="25" t="s">
        <v>4029</v>
      </c>
      <c r="N115" s="27" t="s">
        <v>4909</v>
      </c>
      <c r="O115" s="27" t="s">
        <v>4573</v>
      </c>
      <c r="P115" s="28">
        <v>43282</v>
      </c>
      <c r="Q115" s="28">
        <v>46935</v>
      </c>
      <c r="R115" s="25" t="str">
        <f t="shared" si="10"/>
        <v>男</v>
      </c>
      <c r="S115" s="25" t="s">
        <v>4032</v>
      </c>
      <c r="T115" s="28" t="str">
        <f t="shared" si="6"/>
        <v>1999-04-07</v>
      </c>
      <c r="U115" s="25">
        <f t="shared" ca="1" si="9"/>
        <v>27</v>
      </c>
      <c r="V115" s="25">
        <v>17860828785</v>
      </c>
      <c r="W115" s="28">
        <v>45910</v>
      </c>
      <c r="X115" s="45">
        <v>45910</v>
      </c>
      <c r="Y115" s="29" t="str">
        <f t="shared" ca="1" si="7"/>
        <v>0年7个月</v>
      </c>
      <c r="Z115" s="25" t="s">
        <v>4480</v>
      </c>
      <c r="AA115" s="26" t="str">
        <f t="shared" ca="1" si="8"/>
        <v>3年7个月</v>
      </c>
      <c r="AB115" s="25" t="s">
        <v>4049</v>
      </c>
      <c r="AC115" s="25" t="s">
        <v>272</v>
      </c>
      <c r="AD115" s="25" t="s">
        <v>4234</v>
      </c>
      <c r="AE115" s="25"/>
      <c r="AF115" s="25"/>
      <c r="AG115" s="27"/>
      <c r="AH115" s="25"/>
      <c r="AI115" s="25"/>
      <c r="AJ115" s="25"/>
      <c r="AK115" s="27"/>
      <c r="AL115" s="25" t="s">
        <v>81</v>
      </c>
      <c r="AM115" s="25" t="s">
        <v>3987</v>
      </c>
      <c r="AN115" s="27" t="s">
        <v>4910</v>
      </c>
      <c r="AO115" s="25" t="s">
        <v>4911</v>
      </c>
      <c r="AP115" s="27" t="s">
        <v>4912</v>
      </c>
      <c r="AQ115" s="25" t="s">
        <v>4474</v>
      </c>
      <c r="AR115" s="25" t="s">
        <v>4382</v>
      </c>
      <c r="AS115" s="26" t="s">
        <v>4011</v>
      </c>
      <c r="AT115" s="25" t="s">
        <v>4239</v>
      </c>
      <c r="AU115" s="25" t="s">
        <v>4913</v>
      </c>
      <c r="AV115" s="25" t="s">
        <v>4913</v>
      </c>
      <c r="AW115" s="30">
        <v>46274</v>
      </c>
      <c r="AX115" s="28">
        <v>45910</v>
      </c>
      <c r="AY115" s="28">
        <v>46274</v>
      </c>
      <c r="AZ115" s="28"/>
      <c r="BA115" s="33"/>
      <c r="BB115" s="33"/>
      <c r="BC115" s="33"/>
      <c r="BD115" s="33"/>
      <c r="BE115" s="33"/>
      <c r="BF115" s="33"/>
      <c r="BG115" s="33"/>
      <c r="BH115" s="33"/>
      <c r="BI115" s="33"/>
    </row>
    <row r="116" spans="1:61" ht="15.6" x14ac:dyDescent="0.25">
      <c r="A116" s="25">
        <v>114</v>
      </c>
      <c r="B116" s="25" t="s">
        <v>4914</v>
      </c>
      <c r="C116" s="25" t="s">
        <v>4002</v>
      </c>
      <c r="D116" s="26" t="s">
        <v>3975</v>
      </c>
      <c r="E116" s="26" t="s">
        <v>3975</v>
      </c>
      <c r="F116" s="25" t="s">
        <v>241</v>
      </c>
      <c r="G116" s="25"/>
      <c r="H116" s="25"/>
      <c r="I116" s="25"/>
      <c r="J116" s="25" t="s">
        <v>4590</v>
      </c>
      <c r="K116" s="25" t="s">
        <v>361</v>
      </c>
      <c r="L116" s="25" t="s">
        <v>4028</v>
      </c>
      <c r="M116" s="25" t="s">
        <v>4029</v>
      </c>
      <c r="N116" s="27" t="s">
        <v>4915</v>
      </c>
      <c r="O116" s="27" t="s">
        <v>4916</v>
      </c>
      <c r="P116" s="28">
        <v>45043</v>
      </c>
      <c r="Q116" s="28">
        <v>52348</v>
      </c>
      <c r="R116" s="25" t="str">
        <f t="shared" si="10"/>
        <v>女</v>
      </c>
      <c r="S116" s="25" t="s">
        <v>3984</v>
      </c>
      <c r="T116" s="28" t="str">
        <f t="shared" si="6"/>
        <v>1995-02-01</v>
      </c>
      <c r="U116" s="25">
        <f t="shared" ca="1" si="9"/>
        <v>31</v>
      </c>
      <c r="V116" s="25">
        <v>15288484919</v>
      </c>
      <c r="W116" s="28">
        <v>43607</v>
      </c>
      <c r="X116" s="28">
        <v>43607</v>
      </c>
      <c r="Y116" s="29" t="str">
        <f t="shared" ca="1" si="7"/>
        <v>6年10个月</v>
      </c>
      <c r="Z116" s="25" t="s">
        <v>1420</v>
      </c>
      <c r="AA116" s="26" t="str">
        <f t="shared" ca="1" si="8"/>
        <v>8年6个月</v>
      </c>
      <c r="AB116" s="25" t="s">
        <v>4049</v>
      </c>
      <c r="AC116" s="25" t="s">
        <v>119</v>
      </c>
      <c r="AD116" s="25" t="s">
        <v>3986</v>
      </c>
      <c r="AE116" s="25"/>
      <c r="AF116" s="25"/>
      <c r="AG116" s="27"/>
      <c r="AH116" s="25" t="s">
        <v>4036</v>
      </c>
      <c r="AI116" s="25" t="s">
        <v>1585</v>
      </c>
      <c r="AJ116" s="25" t="s">
        <v>4050</v>
      </c>
      <c r="AK116" s="27" t="s">
        <v>4917</v>
      </c>
      <c r="AL116" s="25" t="s">
        <v>81</v>
      </c>
      <c r="AM116" s="25" t="s">
        <v>3987</v>
      </c>
      <c r="AN116" s="27" t="s">
        <v>4918</v>
      </c>
      <c r="AO116" s="25" t="s">
        <v>4855</v>
      </c>
      <c r="AP116" s="27" t="s">
        <v>4919</v>
      </c>
      <c r="AQ116" s="25">
        <v>211</v>
      </c>
      <c r="AR116" s="25" t="s">
        <v>4106</v>
      </c>
      <c r="AS116" s="26" t="s">
        <v>4011</v>
      </c>
      <c r="AT116" s="25" t="s">
        <v>4920</v>
      </c>
      <c r="AU116" s="25" t="s">
        <v>4921</v>
      </c>
      <c r="AV116" s="25" t="s">
        <v>4922</v>
      </c>
      <c r="AW116" s="30">
        <v>46234</v>
      </c>
      <c r="AX116" s="28">
        <v>43607</v>
      </c>
      <c r="AY116" s="28">
        <v>44337</v>
      </c>
      <c r="AZ116" s="28">
        <v>46234</v>
      </c>
      <c r="BA116" s="28"/>
      <c r="BB116" s="28"/>
      <c r="BC116" s="25"/>
      <c r="BD116" s="25"/>
      <c r="BE116" s="25"/>
      <c r="BF116" s="25"/>
      <c r="BG116" s="25"/>
      <c r="BH116" s="25"/>
      <c r="BI116" s="27"/>
    </row>
    <row r="117" spans="1:61" ht="15.6" x14ac:dyDescent="0.25">
      <c r="A117" s="25">
        <v>115</v>
      </c>
      <c r="B117" s="25" t="s">
        <v>4923</v>
      </c>
      <c r="C117" s="25" t="s">
        <v>4002</v>
      </c>
      <c r="D117" s="26" t="s">
        <v>3975</v>
      </c>
      <c r="E117" s="26" t="s">
        <v>3975</v>
      </c>
      <c r="F117" s="25" t="s">
        <v>241</v>
      </c>
      <c r="G117" s="25"/>
      <c r="H117" s="25"/>
      <c r="I117" s="25"/>
      <c r="J117" s="25" t="s">
        <v>4924</v>
      </c>
      <c r="K117" s="25" t="s">
        <v>556</v>
      </c>
      <c r="L117" s="25" t="s">
        <v>4543</v>
      </c>
      <c r="M117" s="25" t="s">
        <v>4029</v>
      </c>
      <c r="N117" s="27" t="s">
        <v>4925</v>
      </c>
      <c r="O117" s="27" t="s">
        <v>4926</v>
      </c>
      <c r="P117" s="28">
        <v>43983</v>
      </c>
      <c r="Q117" s="28">
        <v>47635</v>
      </c>
      <c r="R117" s="25" t="str">
        <f t="shared" si="10"/>
        <v>男</v>
      </c>
      <c r="S117" s="25" t="s">
        <v>4032</v>
      </c>
      <c r="T117" s="28" t="str">
        <f t="shared" si="6"/>
        <v>1994-06-18</v>
      </c>
      <c r="U117" s="25">
        <f t="shared" ca="1" si="9"/>
        <v>31</v>
      </c>
      <c r="V117" s="25">
        <v>13529148300</v>
      </c>
      <c r="W117" s="28">
        <v>45017</v>
      </c>
      <c r="X117" s="28">
        <v>43276</v>
      </c>
      <c r="Y117" s="29" t="str">
        <f t="shared" ca="1" si="7"/>
        <v>7年9个月</v>
      </c>
      <c r="Z117" s="25" t="s">
        <v>4083</v>
      </c>
      <c r="AA117" s="26" t="str">
        <f t="shared" ca="1" si="8"/>
        <v>12年6个月</v>
      </c>
      <c r="AB117" s="25" t="s">
        <v>29</v>
      </c>
      <c r="AC117" s="25" t="s">
        <v>119</v>
      </c>
      <c r="AD117" s="25" t="s">
        <v>4035</v>
      </c>
      <c r="AE117" s="25"/>
      <c r="AF117" s="25"/>
      <c r="AG117" s="27"/>
      <c r="AH117" s="25"/>
      <c r="AI117" s="25"/>
      <c r="AJ117" s="25"/>
      <c r="AK117" s="27"/>
      <c r="AL117" s="25" t="s">
        <v>305</v>
      </c>
      <c r="AM117" s="25"/>
      <c r="AN117" s="27" t="s">
        <v>4039</v>
      </c>
      <c r="AO117" s="25" t="s">
        <v>4927</v>
      </c>
      <c r="AP117" s="27" t="s">
        <v>4928</v>
      </c>
      <c r="AQ117" s="25"/>
      <c r="AR117" s="27" t="s">
        <v>4569</v>
      </c>
      <c r="AS117" s="26" t="s">
        <v>3990</v>
      </c>
      <c r="AT117" s="25" t="s">
        <v>4929</v>
      </c>
      <c r="AU117" s="25" t="s">
        <v>4930</v>
      </c>
      <c r="AV117" s="25" t="s">
        <v>4931</v>
      </c>
      <c r="AW117" s="30" t="s">
        <v>4000</v>
      </c>
      <c r="AX117" s="28" t="s">
        <v>3991</v>
      </c>
      <c r="AY117" s="28"/>
      <c r="AZ117" s="28"/>
      <c r="BA117" s="28"/>
      <c r="BB117" s="28"/>
      <c r="BC117" s="25"/>
      <c r="BD117" s="25"/>
      <c r="BE117" s="25"/>
      <c r="BF117" s="25"/>
      <c r="BG117" s="25"/>
      <c r="BH117" s="25"/>
      <c r="BI117" s="56" t="s">
        <v>10014</v>
      </c>
    </row>
    <row r="118" spans="1:61" ht="15.6" x14ac:dyDescent="0.25">
      <c r="A118" s="25">
        <v>116</v>
      </c>
      <c r="B118" s="25" t="s">
        <v>4932</v>
      </c>
      <c r="C118" s="25" t="s">
        <v>4002</v>
      </c>
      <c r="D118" s="26" t="s">
        <v>3975</v>
      </c>
      <c r="E118" s="26" t="s">
        <v>3975</v>
      </c>
      <c r="F118" s="25" t="s">
        <v>241</v>
      </c>
      <c r="G118" s="25"/>
      <c r="H118" s="25"/>
      <c r="I118" s="25"/>
      <c r="J118" s="25" t="s">
        <v>4924</v>
      </c>
      <c r="K118" s="25" t="s">
        <v>556</v>
      </c>
      <c r="L118" s="25" t="s">
        <v>4543</v>
      </c>
      <c r="M118" s="25" t="s">
        <v>4029</v>
      </c>
      <c r="N118" s="27" t="s">
        <v>4933</v>
      </c>
      <c r="O118" s="27" t="s">
        <v>4934</v>
      </c>
      <c r="P118" s="28">
        <v>43118</v>
      </c>
      <c r="Q118" s="28">
        <v>46770</v>
      </c>
      <c r="R118" s="25" t="str">
        <f t="shared" si="10"/>
        <v>男</v>
      </c>
      <c r="S118" s="25" t="s">
        <v>3984</v>
      </c>
      <c r="T118" s="28" t="str">
        <f t="shared" si="6"/>
        <v>1992-01-25</v>
      </c>
      <c r="U118" s="25">
        <f t="shared" ca="1" si="9"/>
        <v>34</v>
      </c>
      <c r="V118" s="25">
        <v>18788558131</v>
      </c>
      <c r="W118" s="28">
        <v>45026</v>
      </c>
      <c r="X118" s="28">
        <v>41456</v>
      </c>
      <c r="Y118" s="29" t="str">
        <f t="shared" ca="1" si="7"/>
        <v>12年9个月</v>
      </c>
      <c r="Z118" s="25"/>
      <c r="AA118" s="26" t="str">
        <f t="shared" ca="1" si="8"/>
        <v>12年9个月</v>
      </c>
      <c r="AB118" s="25" t="s">
        <v>4034</v>
      </c>
      <c r="AC118" s="25" t="s">
        <v>3985</v>
      </c>
      <c r="AD118" s="25" t="s">
        <v>4035</v>
      </c>
      <c r="AE118" s="25"/>
      <c r="AF118" s="25"/>
      <c r="AG118" s="27"/>
      <c r="AH118" s="25"/>
      <c r="AI118" s="25"/>
      <c r="AJ118" s="25"/>
      <c r="AK118" s="27"/>
      <c r="AL118" s="25" t="s">
        <v>305</v>
      </c>
      <c r="AM118" s="25"/>
      <c r="AN118" s="27" t="s">
        <v>4039</v>
      </c>
      <c r="AO118" s="25" t="s">
        <v>4406</v>
      </c>
      <c r="AP118" s="27" t="s">
        <v>4935</v>
      </c>
      <c r="AQ118" s="25"/>
      <c r="AR118" s="25" t="s">
        <v>4936</v>
      </c>
      <c r="AS118" s="26" t="s">
        <v>3990</v>
      </c>
      <c r="AT118" s="25" t="s">
        <v>4239</v>
      </c>
      <c r="AU118" s="25" t="s">
        <v>4937</v>
      </c>
      <c r="AV118" s="25" t="s">
        <v>4938</v>
      </c>
      <c r="AW118" s="30">
        <v>46234</v>
      </c>
      <c r="AX118" s="28">
        <v>46234</v>
      </c>
      <c r="AY118" s="28"/>
      <c r="AZ118" s="28"/>
      <c r="BA118" s="28"/>
      <c r="BB118" s="28"/>
      <c r="BC118" s="28"/>
      <c r="BD118" s="25"/>
      <c r="BE118" s="25"/>
      <c r="BF118" s="25"/>
      <c r="BG118" s="25"/>
      <c r="BH118" s="25"/>
      <c r="BI118" s="27"/>
    </row>
    <row r="119" spans="1:61" ht="15.6" x14ac:dyDescent="0.25">
      <c r="A119" s="25">
        <v>117</v>
      </c>
      <c r="B119" s="25" t="s">
        <v>4939</v>
      </c>
      <c r="C119" s="25" t="s">
        <v>4002</v>
      </c>
      <c r="D119" s="26" t="s">
        <v>3975</v>
      </c>
      <c r="E119" s="26" t="s">
        <v>3975</v>
      </c>
      <c r="F119" s="25" t="s">
        <v>655</v>
      </c>
      <c r="G119" s="25"/>
      <c r="H119" s="25"/>
      <c r="I119" s="25"/>
      <c r="J119" s="25" t="s">
        <v>4940</v>
      </c>
      <c r="K119" s="25" t="s">
        <v>676</v>
      </c>
      <c r="L119" s="25" t="s">
        <v>4071</v>
      </c>
      <c r="M119" s="25" t="s">
        <v>4017</v>
      </c>
      <c r="N119" s="27" t="s">
        <v>4941</v>
      </c>
      <c r="O119" s="27" t="s">
        <v>4129</v>
      </c>
      <c r="P119" s="28">
        <v>41080</v>
      </c>
      <c r="Q119" s="28">
        <v>48385</v>
      </c>
      <c r="R119" s="25" t="str">
        <f t="shared" si="10"/>
        <v>男</v>
      </c>
      <c r="S119" s="25" t="s">
        <v>3984</v>
      </c>
      <c r="T119" s="28" t="str">
        <f t="shared" si="6"/>
        <v>1980-10-18</v>
      </c>
      <c r="U119" s="25">
        <f t="shared" ca="1" si="9"/>
        <v>45</v>
      </c>
      <c r="V119" s="25">
        <v>18987470038</v>
      </c>
      <c r="W119" s="28">
        <v>40651</v>
      </c>
      <c r="X119" s="28">
        <v>40651</v>
      </c>
      <c r="Y119" s="29" t="str">
        <f t="shared" ca="1" si="7"/>
        <v>14年11个月</v>
      </c>
      <c r="Z119" s="25"/>
      <c r="AA119" s="26" t="str">
        <f t="shared" ca="1" si="8"/>
        <v>14年11个月</v>
      </c>
      <c r="AB119" s="25" t="s">
        <v>29</v>
      </c>
      <c r="AC119" s="25" t="s">
        <v>3985</v>
      </c>
      <c r="AD119" s="25" t="s">
        <v>4035</v>
      </c>
      <c r="AE119" s="25"/>
      <c r="AF119" s="25"/>
      <c r="AG119" s="27"/>
      <c r="AH119" s="25"/>
      <c r="AI119" s="25"/>
      <c r="AJ119" s="25"/>
      <c r="AK119" s="27"/>
      <c r="AL119" s="25" t="s">
        <v>81</v>
      </c>
      <c r="AM119" s="25" t="s">
        <v>3987</v>
      </c>
      <c r="AN119" s="42" t="s">
        <v>4221</v>
      </c>
      <c r="AO119" s="25" t="s">
        <v>4062</v>
      </c>
      <c r="AP119" s="27" t="s">
        <v>4942</v>
      </c>
      <c r="AQ119" s="25"/>
      <c r="AR119" s="25" t="s">
        <v>4943</v>
      </c>
      <c r="AS119" s="26" t="s">
        <v>4011</v>
      </c>
      <c r="AT119" s="25" t="s">
        <v>4137</v>
      </c>
      <c r="AU119" s="25" t="s">
        <v>4944</v>
      </c>
      <c r="AV119" s="25" t="s">
        <v>4945</v>
      </c>
      <c r="AW119" s="30" t="s">
        <v>3991</v>
      </c>
      <c r="AX119" s="28">
        <v>41244</v>
      </c>
      <c r="AY119" s="28">
        <v>42339</v>
      </c>
      <c r="AZ119" s="28" t="s">
        <v>3991</v>
      </c>
      <c r="BA119" s="28"/>
      <c r="BB119" s="28"/>
      <c r="BC119" s="25"/>
      <c r="BD119" s="25"/>
      <c r="BE119" s="25"/>
      <c r="BF119" s="25"/>
      <c r="BG119" s="25"/>
      <c r="BH119" s="25"/>
      <c r="BI119" s="27"/>
    </row>
    <row r="120" spans="1:61" ht="15.6" x14ac:dyDescent="0.25">
      <c r="A120" s="25">
        <v>118</v>
      </c>
      <c r="B120" s="57" t="s">
        <v>4946</v>
      </c>
      <c r="C120" s="57" t="s">
        <v>4002</v>
      </c>
      <c r="D120" s="26" t="s">
        <v>3975</v>
      </c>
      <c r="E120" s="26" t="s">
        <v>3975</v>
      </c>
      <c r="F120" s="25" t="s">
        <v>655</v>
      </c>
      <c r="G120" s="57"/>
      <c r="H120" s="57"/>
      <c r="I120" s="57"/>
      <c r="J120" s="57" t="s">
        <v>4818</v>
      </c>
      <c r="K120" s="25" t="s">
        <v>399</v>
      </c>
      <c r="L120" s="25" t="s">
        <v>4662</v>
      </c>
      <c r="M120" s="25" t="s">
        <v>4029</v>
      </c>
      <c r="N120" s="58" t="s">
        <v>4947</v>
      </c>
      <c r="O120" s="58" t="s">
        <v>4073</v>
      </c>
      <c r="P120" s="59">
        <v>43322</v>
      </c>
      <c r="Q120" s="59">
        <v>50627</v>
      </c>
      <c r="R120" s="25" t="str">
        <f t="shared" si="10"/>
        <v>男</v>
      </c>
      <c r="S120" s="57" t="s">
        <v>3984</v>
      </c>
      <c r="T120" s="59" t="str">
        <f t="shared" si="6"/>
        <v>1985-06-20</v>
      </c>
      <c r="U120" s="57">
        <f t="shared" ca="1" si="9"/>
        <v>40</v>
      </c>
      <c r="V120" s="25">
        <v>15887413228</v>
      </c>
      <c r="W120" s="59">
        <v>40536</v>
      </c>
      <c r="X120" s="59">
        <v>40536</v>
      </c>
      <c r="Y120" s="29" t="str">
        <f t="shared" ca="1" si="7"/>
        <v>15年3个月</v>
      </c>
      <c r="Z120" s="57" t="s">
        <v>4948</v>
      </c>
      <c r="AA120" s="26" t="str">
        <f t="shared" ca="1" si="8"/>
        <v>17年8个月</v>
      </c>
      <c r="AB120" s="57" t="s">
        <v>29</v>
      </c>
      <c r="AC120" s="57" t="s">
        <v>3985</v>
      </c>
      <c r="AD120" s="57" t="s">
        <v>3986</v>
      </c>
      <c r="AE120" s="25" t="s">
        <v>1708</v>
      </c>
      <c r="AF120" s="25" t="s">
        <v>437</v>
      </c>
      <c r="AG120" s="27" t="s">
        <v>3836</v>
      </c>
      <c r="AH120" s="25"/>
      <c r="AI120" s="25"/>
      <c r="AJ120" s="25"/>
      <c r="AK120" s="27"/>
      <c r="AL120" s="25" t="s">
        <v>81</v>
      </c>
      <c r="AM120" s="25" t="s">
        <v>3987</v>
      </c>
      <c r="AN120" s="27" t="s">
        <v>4949</v>
      </c>
      <c r="AO120" s="57" t="s">
        <v>4950</v>
      </c>
      <c r="AP120" s="58" t="s">
        <v>4951</v>
      </c>
      <c r="AQ120" s="25"/>
      <c r="AR120" s="57" t="s">
        <v>4676</v>
      </c>
      <c r="AS120" s="26" t="s">
        <v>4011</v>
      </c>
      <c r="AT120" s="57" t="s">
        <v>4137</v>
      </c>
      <c r="AU120" s="57" t="s">
        <v>4952</v>
      </c>
      <c r="AV120" s="57" t="s">
        <v>3065</v>
      </c>
      <c r="AW120" s="30" t="s">
        <v>3991</v>
      </c>
      <c r="AX120" s="59">
        <v>41334</v>
      </c>
      <c r="AY120" s="57" t="s">
        <v>3991</v>
      </c>
      <c r="AZ120" s="59"/>
      <c r="BA120" s="59"/>
      <c r="BB120" s="59"/>
      <c r="BC120" s="57"/>
      <c r="BD120" s="57"/>
      <c r="BE120" s="57"/>
      <c r="BF120" s="57"/>
      <c r="BG120" s="57"/>
      <c r="BH120" s="57"/>
      <c r="BI120" s="58"/>
    </row>
    <row r="121" spans="1:61" ht="15.6" x14ac:dyDescent="0.25">
      <c r="A121" s="25">
        <v>119</v>
      </c>
      <c r="B121" s="25" t="s">
        <v>4953</v>
      </c>
      <c r="C121" s="25" t="s">
        <v>4002</v>
      </c>
      <c r="D121" s="26" t="s">
        <v>3975</v>
      </c>
      <c r="E121" s="26" t="s">
        <v>3975</v>
      </c>
      <c r="F121" s="25" t="s">
        <v>655</v>
      </c>
      <c r="G121" s="25"/>
      <c r="H121" s="25"/>
      <c r="I121" s="25"/>
      <c r="J121" s="25" t="s">
        <v>4818</v>
      </c>
      <c r="K121" s="25" t="s">
        <v>399</v>
      </c>
      <c r="L121" s="25" t="s">
        <v>4662</v>
      </c>
      <c r="M121" s="25" t="s">
        <v>4029</v>
      </c>
      <c r="N121" s="27" t="s">
        <v>4954</v>
      </c>
      <c r="O121" s="27" t="s">
        <v>4073</v>
      </c>
      <c r="P121" s="28">
        <v>43039</v>
      </c>
      <c r="Q121" s="28">
        <v>50344</v>
      </c>
      <c r="R121" s="25" t="str">
        <f t="shared" si="10"/>
        <v>男</v>
      </c>
      <c r="S121" s="25" t="s">
        <v>3984</v>
      </c>
      <c r="T121" s="28" t="str">
        <f t="shared" si="6"/>
        <v>1988-09-16</v>
      </c>
      <c r="U121" s="25">
        <f t="shared" ca="1" si="9"/>
        <v>37</v>
      </c>
      <c r="V121" s="25">
        <v>18669017035</v>
      </c>
      <c r="W121" s="28">
        <v>43761</v>
      </c>
      <c r="X121" s="28">
        <v>43761</v>
      </c>
      <c r="Y121" s="29" t="str">
        <f t="shared" ca="1" si="7"/>
        <v>6年5个月</v>
      </c>
      <c r="Z121" s="25" t="s">
        <v>4453</v>
      </c>
      <c r="AA121" s="26" t="str">
        <f t="shared" ca="1" si="8"/>
        <v>11年5个月</v>
      </c>
      <c r="AB121" s="25" t="s">
        <v>4034</v>
      </c>
      <c r="AC121" s="25" t="s">
        <v>3985</v>
      </c>
      <c r="AD121" s="25" t="s">
        <v>3986</v>
      </c>
      <c r="AE121" s="25" t="s">
        <v>4824</v>
      </c>
      <c r="AF121" s="25" t="s">
        <v>1012</v>
      </c>
      <c r="AG121" s="27" t="s">
        <v>4955</v>
      </c>
      <c r="AH121" s="25"/>
      <c r="AI121" s="25"/>
      <c r="AJ121" s="25"/>
      <c r="AK121" s="27"/>
      <c r="AL121" s="25" t="s">
        <v>81</v>
      </c>
      <c r="AM121" s="25" t="s">
        <v>3987</v>
      </c>
      <c r="AN121" s="27" t="s">
        <v>4956</v>
      </c>
      <c r="AO121" s="25" t="s">
        <v>4179</v>
      </c>
      <c r="AP121" s="27" t="s">
        <v>4957</v>
      </c>
      <c r="AQ121" s="25"/>
      <c r="AR121" s="25" t="s">
        <v>4676</v>
      </c>
      <c r="AS121" s="26" t="s">
        <v>4011</v>
      </c>
      <c r="AT121" s="25" t="s">
        <v>4487</v>
      </c>
      <c r="AU121" s="25" t="s">
        <v>4958</v>
      </c>
      <c r="AV121" s="25" t="s">
        <v>4958</v>
      </c>
      <c r="AW121" s="30" t="s">
        <v>3991</v>
      </c>
      <c r="AX121" s="28">
        <v>43761</v>
      </c>
      <c r="AY121" s="28">
        <v>44126</v>
      </c>
      <c r="AZ121" s="28">
        <v>45138</v>
      </c>
      <c r="BA121" s="28" t="s">
        <v>3991</v>
      </c>
      <c r="BB121" s="28"/>
      <c r="BC121" s="25"/>
      <c r="BD121" s="25"/>
      <c r="BE121" s="25"/>
      <c r="BF121" s="25"/>
      <c r="BG121" s="25"/>
      <c r="BH121" s="25"/>
      <c r="BI121" s="27"/>
    </row>
    <row r="122" spans="1:61" ht="15.6" x14ac:dyDescent="0.25">
      <c r="A122" s="25">
        <v>120</v>
      </c>
      <c r="B122" s="25" t="s">
        <v>4959</v>
      </c>
      <c r="C122" s="25" t="s">
        <v>4002</v>
      </c>
      <c r="D122" s="26" t="s">
        <v>3975</v>
      </c>
      <c r="E122" s="26" t="s">
        <v>3975</v>
      </c>
      <c r="F122" s="25" t="s">
        <v>655</v>
      </c>
      <c r="G122" s="25"/>
      <c r="H122" s="25"/>
      <c r="I122" s="25"/>
      <c r="J122" s="25" t="s">
        <v>4818</v>
      </c>
      <c r="K122" s="25" t="s">
        <v>399</v>
      </c>
      <c r="L122" s="25" t="s">
        <v>4662</v>
      </c>
      <c r="M122" s="25" t="s">
        <v>4029</v>
      </c>
      <c r="N122" s="27" t="s">
        <v>4960</v>
      </c>
      <c r="O122" s="27" t="s">
        <v>4961</v>
      </c>
      <c r="P122" s="28">
        <v>43124</v>
      </c>
      <c r="Q122" s="28">
        <v>46776</v>
      </c>
      <c r="R122" s="25" t="str">
        <f t="shared" si="10"/>
        <v>男</v>
      </c>
      <c r="S122" s="25" t="s">
        <v>3984</v>
      </c>
      <c r="T122" s="28" t="str">
        <f t="shared" si="6"/>
        <v>1997-01-17</v>
      </c>
      <c r="U122" s="25">
        <f t="shared" ca="1" si="9"/>
        <v>29</v>
      </c>
      <c r="V122" s="25">
        <v>18398631201</v>
      </c>
      <c r="W122" s="28">
        <v>44866</v>
      </c>
      <c r="X122" s="28">
        <v>44866</v>
      </c>
      <c r="Y122" s="29" t="str">
        <f t="shared" ca="1" si="7"/>
        <v>3年5个月</v>
      </c>
      <c r="Z122" s="25" t="s">
        <v>4962</v>
      </c>
      <c r="AA122" s="26" t="str">
        <f t="shared" ca="1" si="8"/>
        <v>6年9个月</v>
      </c>
      <c r="AB122" s="25" t="s">
        <v>4049</v>
      </c>
      <c r="AC122" s="25" t="s">
        <v>119</v>
      </c>
      <c r="AD122" s="25" t="s">
        <v>4035</v>
      </c>
      <c r="AE122" s="25" t="s">
        <v>1459</v>
      </c>
      <c r="AF122" s="25" t="s">
        <v>4050</v>
      </c>
      <c r="AG122" s="27" t="s">
        <v>4963</v>
      </c>
      <c r="AH122" s="25"/>
      <c r="AI122" s="25"/>
      <c r="AJ122" s="25"/>
      <c r="AK122" s="27"/>
      <c r="AL122" s="25" t="s">
        <v>81</v>
      </c>
      <c r="AM122" s="25" t="s">
        <v>3987</v>
      </c>
      <c r="AN122" s="27" t="s">
        <v>4964</v>
      </c>
      <c r="AO122" s="25" t="s">
        <v>4965</v>
      </c>
      <c r="AP122" s="27" t="s">
        <v>4966</v>
      </c>
      <c r="AQ122" s="25">
        <v>211</v>
      </c>
      <c r="AR122" s="25" t="s">
        <v>4621</v>
      </c>
      <c r="AS122" s="26" t="s">
        <v>4011</v>
      </c>
      <c r="AT122" s="25" t="s">
        <v>1458</v>
      </c>
      <c r="AU122" s="25" t="s">
        <v>4967</v>
      </c>
      <c r="AV122" s="25" t="s">
        <v>4968</v>
      </c>
      <c r="AW122" s="30">
        <v>46965</v>
      </c>
      <c r="AX122" s="28">
        <v>44866</v>
      </c>
      <c r="AY122" s="28">
        <v>45230</v>
      </c>
      <c r="AZ122" s="28">
        <v>46965</v>
      </c>
      <c r="BA122" s="28"/>
      <c r="BB122" s="28"/>
      <c r="BC122" s="25"/>
      <c r="BD122" s="25"/>
      <c r="BE122" s="25"/>
      <c r="BF122" s="25"/>
      <c r="BG122" s="25"/>
      <c r="BH122" s="25"/>
      <c r="BI122" s="27"/>
    </row>
    <row r="123" spans="1:61" ht="15.6" x14ac:dyDescent="0.25">
      <c r="A123" s="25">
        <v>121</v>
      </c>
      <c r="B123" s="25" t="s">
        <v>4969</v>
      </c>
      <c r="C123" s="25" t="s">
        <v>4002</v>
      </c>
      <c r="D123" s="26" t="s">
        <v>3975</v>
      </c>
      <c r="E123" s="26" t="s">
        <v>3975</v>
      </c>
      <c r="F123" s="25" t="s">
        <v>655</v>
      </c>
      <c r="G123" s="25"/>
      <c r="H123" s="25"/>
      <c r="I123" s="25"/>
      <c r="J123" s="25" t="s">
        <v>4691</v>
      </c>
      <c r="K123" s="25" t="s">
        <v>399</v>
      </c>
      <c r="L123" s="25" t="s">
        <v>4662</v>
      </c>
      <c r="M123" s="25" t="s">
        <v>4029</v>
      </c>
      <c r="N123" s="27" t="s">
        <v>4970</v>
      </c>
      <c r="O123" s="27" t="s">
        <v>4682</v>
      </c>
      <c r="P123" s="28">
        <v>44966</v>
      </c>
      <c r="Q123" s="28">
        <v>52271</v>
      </c>
      <c r="R123" s="25" t="str">
        <f t="shared" si="10"/>
        <v>男</v>
      </c>
      <c r="S123" s="25" t="s">
        <v>3984</v>
      </c>
      <c r="T123" s="28" t="str">
        <f t="shared" si="6"/>
        <v>1994-03-03</v>
      </c>
      <c r="U123" s="25">
        <f t="shared" ca="1" si="9"/>
        <v>32</v>
      </c>
      <c r="V123" s="25">
        <v>18280480427</v>
      </c>
      <c r="W123" s="28">
        <v>43227</v>
      </c>
      <c r="X123" s="28">
        <v>43227</v>
      </c>
      <c r="Y123" s="29" t="str">
        <f t="shared" ca="1" si="7"/>
        <v>7年11个月</v>
      </c>
      <c r="Z123" s="25" t="s">
        <v>4511</v>
      </c>
      <c r="AA123" s="26" t="str">
        <f t="shared" ca="1" si="8"/>
        <v>9年8个月</v>
      </c>
      <c r="AB123" s="25" t="s">
        <v>4034</v>
      </c>
      <c r="AC123" s="25" t="s">
        <v>119</v>
      </c>
      <c r="AD123" s="25" t="s">
        <v>4035</v>
      </c>
      <c r="AE123" s="25" t="s">
        <v>4880</v>
      </c>
      <c r="AF123" s="25" t="s">
        <v>1012</v>
      </c>
      <c r="AG123" s="27" t="s">
        <v>4971</v>
      </c>
      <c r="AH123" s="25" t="s">
        <v>4036</v>
      </c>
      <c r="AI123" s="25" t="s">
        <v>1934</v>
      </c>
      <c r="AJ123" s="25" t="s">
        <v>964</v>
      </c>
      <c r="AK123" s="27" t="s">
        <v>4972</v>
      </c>
      <c r="AL123" s="25" t="s">
        <v>81</v>
      </c>
      <c r="AM123" s="25" t="s">
        <v>3987</v>
      </c>
      <c r="AN123" s="27" t="s">
        <v>4973</v>
      </c>
      <c r="AO123" s="25" t="s">
        <v>4974</v>
      </c>
      <c r="AP123" s="27" t="s">
        <v>4975</v>
      </c>
      <c r="AQ123" s="25" t="s">
        <v>4474</v>
      </c>
      <c r="AR123" s="25" t="s">
        <v>4892</v>
      </c>
      <c r="AS123" s="26" t="s">
        <v>4011</v>
      </c>
      <c r="AT123" s="25" t="s">
        <v>4137</v>
      </c>
      <c r="AU123" s="25" t="s">
        <v>4976</v>
      </c>
      <c r="AV123" s="25" t="s">
        <v>4790</v>
      </c>
      <c r="AW123" s="30">
        <v>46599</v>
      </c>
      <c r="AX123" s="28">
        <v>43227</v>
      </c>
      <c r="AY123" s="28">
        <v>43591</v>
      </c>
      <c r="AZ123" s="28">
        <v>44773</v>
      </c>
      <c r="BA123" s="28">
        <v>46599</v>
      </c>
      <c r="BB123" s="28"/>
      <c r="BC123" s="25"/>
      <c r="BD123" s="25"/>
      <c r="BE123" s="25"/>
      <c r="BF123" s="25"/>
      <c r="BG123" s="25"/>
      <c r="BH123" s="25"/>
      <c r="BI123" s="27"/>
    </row>
    <row r="124" spans="1:61" ht="15.6" x14ac:dyDescent="0.25">
      <c r="A124" s="25">
        <v>122</v>
      </c>
      <c r="B124" s="25" t="s">
        <v>4977</v>
      </c>
      <c r="C124" s="25" t="s">
        <v>4002</v>
      </c>
      <c r="D124" s="26" t="s">
        <v>3975</v>
      </c>
      <c r="E124" s="26" t="s">
        <v>3975</v>
      </c>
      <c r="F124" s="25" t="s">
        <v>655</v>
      </c>
      <c r="G124" s="25"/>
      <c r="H124" s="25"/>
      <c r="I124" s="25"/>
      <c r="J124" s="25" t="s">
        <v>4691</v>
      </c>
      <c r="K124" s="25" t="s">
        <v>399</v>
      </c>
      <c r="L124" s="25" t="s">
        <v>4662</v>
      </c>
      <c r="M124" s="25" t="s">
        <v>4029</v>
      </c>
      <c r="N124" s="27" t="s">
        <v>4978</v>
      </c>
      <c r="O124" s="27" t="s">
        <v>4979</v>
      </c>
      <c r="P124" s="28">
        <v>42618</v>
      </c>
      <c r="Q124" s="28">
        <v>49923</v>
      </c>
      <c r="R124" s="25" t="str">
        <f t="shared" si="10"/>
        <v>男</v>
      </c>
      <c r="S124" s="25" t="s">
        <v>3984</v>
      </c>
      <c r="T124" s="28" t="str">
        <f t="shared" si="6"/>
        <v>1989-09-21</v>
      </c>
      <c r="U124" s="25">
        <f t="shared" ca="1" si="9"/>
        <v>36</v>
      </c>
      <c r="V124" s="25">
        <v>18725170232</v>
      </c>
      <c r="W124" s="28">
        <v>43313</v>
      </c>
      <c r="X124" s="28">
        <v>43313</v>
      </c>
      <c r="Y124" s="29" t="str">
        <f t="shared" ca="1" si="7"/>
        <v>7年8个月</v>
      </c>
      <c r="Z124" s="25" t="s">
        <v>4767</v>
      </c>
      <c r="AA124" s="26" t="str">
        <f t="shared" ca="1" si="8"/>
        <v>14年6个月</v>
      </c>
      <c r="AB124" s="25" t="s">
        <v>4034</v>
      </c>
      <c r="AC124" s="25" t="s">
        <v>3985</v>
      </c>
      <c r="AD124" s="25" t="s">
        <v>3986</v>
      </c>
      <c r="AE124" s="25" t="s">
        <v>1654</v>
      </c>
      <c r="AF124" s="25" t="s">
        <v>1012</v>
      </c>
      <c r="AG124" s="27" t="s">
        <v>3861</v>
      </c>
      <c r="AH124" s="25"/>
      <c r="AI124" s="25"/>
      <c r="AJ124" s="25"/>
      <c r="AK124" s="27"/>
      <c r="AL124" s="25" t="s">
        <v>81</v>
      </c>
      <c r="AM124" s="25" t="s">
        <v>3987</v>
      </c>
      <c r="AN124" s="27" t="s">
        <v>4980</v>
      </c>
      <c r="AO124" s="25" t="s">
        <v>4981</v>
      </c>
      <c r="AP124" s="27" t="s">
        <v>4982</v>
      </c>
      <c r="AQ124" s="25">
        <v>211</v>
      </c>
      <c r="AR124" s="25" t="s">
        <v>4983</v>
      </c>
      <c r="AS124" s="26" t="s">
        <v>4011</v>
      </c>
      <c r="AT124" s="25" t="s">
        <v>4984</v>
      </c>
      <c r="AU124" s="25" t="s">
        <v>4985</v>
      </c>
      <c r="AV124" s="25" t="s">
        <v>4986</v>
      </c>
      <c r="AW124" s="30">
        <v>46599</v>
      </c>
      <c r="AX124" s="28">
        <v>43313</v>
      </c>
      <c r="AY124" s="28">
        <v>43677</v>
      </c>
      <c r="AZ124" s="28">
        <v>44773</v>
      </c>
      <c r="BA124" s="28">
        <v>46599</v>
      </c>
      <c r="BB124" s="28"/>
      <c r="BC124" s="25"/>
      <c r="BD124" s="25"/>
      <c r="BE124" s="25"/>
      <c r="BF124" s="25"/>
      <c r="BG124" s="25"/>
      <c r="BH124" s="25"/>
      <c r="BI124" s="27"/>
    </row>
    <row r="125" spans="1:61" ht="15.6" x14ac:dyDescent="0.25">
      <c r="A125" s="25">
        <v>123</v>
      </c>
      <c r="B125" s="25" t="s">
        <v>4987</v>
      </c>
      <c r="C125" s="25" t="s">
        <v>4002</v>
      </c>
      <c r="D125" s="26" t="s">
        <v>3975</v>
      </c>
      <c r="E125" s="26" t="s">
        <v>3975</v>
      </c>
      <c r="F125" s="25" t="s">
        <v>655</v>
      </c>
      <c r="G125" s="25"/>
      <c r="H125" s="25"/>
      <c r="I125" s="25"/>
      <c r="J125" s="25" t="s">
        <v>4691</v>
      </c>
      <c r="K125" s="25" t="s">
        <v>399</v>
      </c>
      <c r="L125" s="25" t="s">
        <v>4662</v>
      </c>
      <c r="M125" s="25" t="s">
        <v>4029</v>
      </c>
      <c r="N125" s="27" t="s">
        <v>4988</v>
      </c>
      <c r="O125" s="27" t="s">
        <v>4989</v>
      </c>
      <c r="P125" s="28">
        <v>45309</v>
      </c>
      <c r="Q125" s="28">
        <v>52614</v>
      </c>
      <c r="R125" s="25" t="str">
        <f t="shared" si="10"/>
        <v>男</v>
      </c>
      <c r="S125" s="25" t="s">
        <v>3984</v>
      </c>
      <c r="T125" s="28" t="str">
        <f t="shared" si="6"/>
        <v>1996-10-25</v>
      </c>
      <c r="U125" s="25">
        <f t="shared" ca="1" si="9"/>
        <v>29</v>
      </c>
      <c r="V125" s="25">
        <v>15311557331</v>
      </c>
      <c r="W125" s="28">
        <v>43656</v>
      </c>
      <c r="X125" s="28">
        <v>43656</v>
      </c>
      <c r="Y125" s="29" t="str">
        <f t="shared" ca="1" si="7"/>
        <v>6年9个月</v>
      </c>
      <c r="Z125" s="25"/>
      <c r="AA125" s="26" t="str">
        <f t="shared" ca="1" si="8"/>
        <v>6年9个月</v>
      </c>
      <c r="AB125" s="25" t="s">
        <v>4034</v>
      </c>
      <c r="AC125" s="25" t="s">
        <v>119</v>
      </c>
      <c r="AD125" s="25" t="s">
        <v>4035</v>
      </c>
      <c r="AE125" s="25" t="s">
        <v>1156</v>
      </c>
      <c r="AF125" s="25" t="s">
        <v>4050</v>
      </c>
      <c r="AG125" s="27" t="s">
        <v>3885</v>
      </c>
      <c r="AH125" s="25"/>
      <c r="AI125" s="25"/>
      <c r="AJ125" s="25"/>
      <c r="AK125" s="27"/>
      <c r="AL125" s="25" t="s">
        <v>81</v>
      </c>
      <c r="AM125" s="25" t="s">
        <v>3987</v>
      </c>
      <c r="AN125" s="27" t="s">
        <v>4990</v>
      </c>
      <c r="AO125" s="25" t="s">
        <v>4991</v>
      </c>
      <c r="AP125" s="27" t="s">
        <v>4992</v>
      </c>
      <c r="AQ125" s="25" t="s">
        <v>4474</v>
      </c>
      <c r="AR125" s="25" t="s">
        <v>4993</v>
      </c>
      <c r="AS125" s="26" t="s">
        <v>4011</v>
      </c>
      <c r="AT125" s="25" t="s">
        <v>4137</v>
      </c>
      <c r="AU125" s="25" t="s">
        <v>4994</v>
      </c>
      <c r="AV125" s="25" t="s">
        <v>4995</v>
      </c>
      <c r="AW125" s="30">
        <v>46234</v>
      </c>
      <c r="AX125" s="28">
        <v>43656</v>
      </c>
      <c r="AY125" s="28">
        <v>44021</v>
      </c>
      <c r="AZ125" s="28">
        <v>45138</v>
      </c>
      <c r="BA125" s="28">
        <v>46234</v>
      </c>
      <c r="BB125" s="28"/>
      <c r="BC125" s="25"/>
      <c r="BD125" s="25"/>
      <c r="BE125" s="25"/>
      <c r="BF125" s="25"/>
      <c r="BG125" s="25"/>
      <c r="BH125" s="25"/>
      <c r="BI125" s="27"/>
    </row>
    <row r="126" spans="1:61" ht="15.6" x14ac:dyDescent="0.25">
      <c r="A126" s="25">
        <v>124</v>
      </c>
      <c r="B126" s="25" t="s">
        <v>4996</v>
      </c>
      <c r="C126" s="25" t="s">
        <v>4002</v>
      </c>
      <c r="D126" s="26" t="s">
        <v>3975</v>
      </c>
      <c r="E126" s="26" t="s">
        <v>3975</v>
      </c>
      <c r="F126" s="25" t="s">
        <v>655</v>
      </c>
      <c r="G126" s="25"/>
      <c r="H126" s="25"/>
      <c r="I126" s="25"/>
      <c r="J126" s="25" t="s">
        <v>4691</v>
      </c>
      <c r="K126" s="25" t="s">
        <v>399</v>
      </c>
      <c r="L126" s="25" t="s">
        <v>4662</v>
      </c>
      <c r="M126" s="25" t="s">
        <v>4029</v>
      </c>
      <c r="N126" s="27" t="s">
        <v>4997</v>
      </c>
      <c r="O126" s="27" t="s">
        <v>4998</v>
      </c>
      <c r="P126" s="28">
        <v>43090</v>
      </c>
      <c r="Q126" s="28">
        <v>50395</v>
      </c>
      <c r="R126" s="25" t="str">
        <f t="shared" si="10"/>
        <v>男</v>
      </c>
      <c r="S126" s="25" t="s">
        <v>3984</v>
      </c>
      <c r="T126" s="28" t="str">
        <f t="shared" si="6"/>
        <v>1987-12-16</v>
      </c>
      <c r="U126" s="25">
        <f t="shared" ca="1" si="9"/>
        <v>38</v>
      </c>
      <c r="V126" s="25">
        <v>18725182834</v>
      </c>
      <c r="W126" s="28">
        <v>44013</v>
      </c>
      <c r="X126" s="28">
        <v>44013</v>
      </c>
      <c r="Y126" s="29" t="str">
        <f t="shared" ca="1" si="7"/>
        <v>5年9个月</v>
      </c>
      <c r="Z126" s="25" t="s">
        <v>4999</v>
      </c>
      <c r="AA126" s="26" t="str">
        <f t="shared" ca="1" si="8"/>
        <v>15年7个月</v>
      </c>
      <c r="AB126" s="25" t="s">
        <v>4034</v>
      </c>
      <c r="AC126" s="25" t="s">
        <v>3985</v>
      </c>
      <c r="AD126" s="25" t="s">
        <v>4035</v>
      </c>
      <c r="AE126" s="25" t="s">
        <v>1654</v>
      </c>
      <c r="AF126" s="25" t="s">
        <v>437</v>
      </c>
      <c r="AG126" s="27" t="s">
        <v>3889</v>
      </c>
      <c r="AH126" s="25"/>
      <c r="AI126" s="25"/>
      <c r="AJ126" s="25"/>
      <c r="AK126" s="27"/>
      <c r="AL126" s="25" t="s">
        <v>81</v>
      </c>
      <c r="AM126" s="25" t="s">
        <v>3987</v>
      </c>
      <c r="AN126" s="27" t="s">
        <v>5000</v>
      </c>
      <c r="AO126" s="25" t="s">
        <v>5001</v>
      </c>
      <c r="AP126" s="27" t="s">
        <v>5002</v>
      </c>
      <c r="AQ126" s="25"/>
      <c r="AR126" s="25" t="s">
        <v>4455</v>
      </c>
      <c r="AS126" s="26" t="s">
        <v>4011</v>
      </c>
      <c r="AT126" s="25" t="s">
        <v>5003</v>
      </c>
      <c r="AU126" s="25" t="s">
        <v>5004</v>
      </c>
      <c r="AV126" s="25" t="s">
        <v>5005</v>
      </c>
      <c r="AW126" s="30" t="s">
        <v>3991</v>
      </c>
      <c r="AX126" s="28">
        <v>44013</v>
      </c>
      <c r="AY126" s="28">
        <v>44377</v>
      </c>
      <c r="AZ126" s="28" t="s">
        <v>3991</v>
      </c>
      <c r="BA126" s="28"/>
      <c r="BB126" s="28"/>
      <c r="BC126" s="25"/>
      <c r="BD126" s="25"/>
      <c r="BE126" s="25"/>
      <c r="BF126" s="25"/>
      <c r="BG126" s="25"/>
      <c r="BH126" s="25"/>
      <c r="BI126" s="27"/>
    </row>
    <row r="127" spans="1:61" ht="15.6" x14ac:dyDescent="0.25">
      <c r="A127" s="25">
        <v>125</v>
      </c>
      <c r="B127" s="25" t="s">
        <v>5006</v>
      </c>
      <c r="C127" s="25" t="s">
        <v>4002</v>
      </c>
      <c r="D127" s="26" t="s">
        <v>3975</v>
      </c>
      <c r="E127" s="26" t="s">
        <v>3975</v>
      </c>
      <c r="F127" s="25" t="s">
        <v>655</v>
      </c>
      <c r="G127" s="25"/>
      <c r="H127" s="25"/>
      <c r="I127" s="25"/>
      <c r="J127" s="25" t="s">
        <v>4691</v>
      </c>
      <c r="K127" s="25" t="s">
        <v>399</v>
      </c>
      <c r="L127" s="25" t="s">
        <v>4662</v>
      </c>
      <c r="M127" s="25" t="s">
        <v>4029</v>
      </c>
      <c r="N127" s="27" t="s">
        <v>5007</v>
      </c>
      <c r="O127" s="27" t="s">
        <v>5008</v>
      </c>
      <c r="P127" s="28">
        <v>44847</v>
      </c>
      <c r="Q127" s="28">
        <v>52152</v>
      </c>
      <c r="R127" s="25" t="str">
        <f t="shared" si="10"/>
        <v>男</v>
      </c>
      <c r="S127" s="25" t="s">
        <v>3984</v>
      </c>
      <c r="T127" s="28" t="str">
        <f t="shared" si="6"/>
        <v>1995-07-14</v>
      </c>
      <c r="U127" s="25">
        <f t="shared" ca="1" si="9"/>
        <v>30</v>
      </c>
      <c r="V127" s="25">
        <v>18588471698</v>
      </c>
      <c r="W127" s="28">
        <v>45294</v>
      </c>
      <c r="X127" s="28">
        <v>45294</v>
      </c>
      <c r="Y127" s="29" t="str">
        <f t="shared" ca="1" si="7"/>
        <v>2年3个月</v>
      </c>
      <c r="Z127" s="25" t="s">
        <v>1731</v>
      </c>
      <c r="AA127" s="26" t="str">
        <f t="shared" ca="1" si="8"/>
        <v>7年5个月</v>
      </c>
      <c r="AB127" s="25" t="s">
        <v>4034</v>
      </c>
      <c r="AC127" s="25" t="s">
        <v>119</v>
      </c>
      <c r="AD127" s="25" t="s">
        <v>4035</v>
      </c>
      <c r="AE127" s="25"/>
      <c r="AF127" s="25"/>
      <c r="AG127" s="27"/>
      <c r="AH127" s="25"/>
      <c r="AI127" s="25"/>
      <c r="AJ127" s="25"/>
      <c r="AK127" s="27"/>
      <c r="AL127" s="25" t="s">
        <v>81</v>
      </c>
      <c r="AM127" s="25" t="s">
        <v>3987</v>
      </c>
      <c r="AN127" s="27" t="s">
        <v>5009</v>
      </c>
      <c r="AO127" s="25" t="s">
        <v>5010</v>
      </c>
      <c r="AP127" s="27" t="s">
        <v>5011</v>
      </c>
      <c r="AQ127" s="25">
        <v>211</v>
      </c>
      <c r="AR127" s="25" t="s">
        <v>4382</v>
      </c>
      <c r="AS127" s="26" t="s">
        <v>4088</v>
      </c>
      <c r="AT127" s="25" t="s">
        <v>5012</v>
      </c>
      <c r="AU127" s="25" t="s">
        <v>5013</v>
      </c>
      <c r="AV127" s="25" t="s">
        <v>5014</v>
      </c>
      <c r="AW127" s="30">
        <v>46783</v>
      </c>
      <c r="AX127" s="28">
        <v>45294</v>
      </c>
      <c r="AY127" s="28">
        <v>45659</v>
      </c>
      <c r="AZ127" s="28">
        <v>46783</v>
      </c>
      <c r="BA127" s="28"/>
      <c r="BB127" s="28"/>
      <c r="BC127" s="25"/>
      <c r="BD127" s="25"/>
      <c r="BE127" s="25"/>
      <c r="BF127" s="25"/>
      <c r="BG127" s="25"/>
      <c r="BH127" s="25"/>
      <c r="BI127" s="27"/>
    </row>
    <row r="128" spans="1:61" ht="15.6" x14ac:dyDescent="0.25">
      <c r="A128" s="25">
        <v>126</v>
      </c>
      <c r="B128" s="25" t="s">
        <v>5015</v>
      </c>
      <c r="C128" s="25" t="s">
        <v>4002</v>
      </c>
      <c r="D128" s="26" t="s">
        <v>3975</v>
      </c>
      <c r="E128" s="26" t="s">
        <v>3975</v>
      </c>
      <c r="F128" s="25" t="s">
        <v>655</v>
      </c>
      <c r="G128" s="25"/>
      <c r="H128" s="25"/>
      <c r="I128" s="25"/>
      <c r="J128" s="25" t="s">
        <v>4691</v>
      </c>
      <c r="K128" s="25" t="s">
        <v>399</v>
      </c>
      <c r="L128" s="25" t="s">
        <v>4662</v>
      </c>
      <c r="M128" s="25" t="s">
        <v>4029</v>
      </c>
      <c r="N128" s="27" t="s">
        <v>5016</v>
      </c>
      <c r="O128" s="27" t="s">
        <v>5017</v>
      </c>
      <c r="P128" s="28">
        <v>45448</v>
      </c>
      <c r="Q128" s="28">
        <v>52753</v>
      </c>
      <c r="R128" s="25" t="str">
        <f t="shared" si="10"/>
        <v>男</v>
      </c>
      <c r="S128" s="25" t="s">
        <v>3984</v>
      </c>
      <c r="T128" s="28" t="str">
        <f t="shared" si="6"/>
        <v>1995-05-16</v>
      </c>
      <c r="U128" s="25">
        <f t="shared" ca="1" si="9"/>
        <v>30</v>
      </c>
      <c r="V128" s="25">
        <v>18581572162</v>
      </c>
      <c r="W128" s="28">
        <v>45454</v>
      </c>
      <c r="X128" s="28">
        <v>45454</v>
      </c>
      <c r="Y128" s="29" t="str">
        <f t="shared" ca="1" si="7"/>
        <v>1年10个月</v>
      </c>
      <c r="Z128" s="25" t="s">
        <v>4599</v>
      </c>
      <c r="AA128" s="26" t="str">
        <f t="shared" ca="1" si="8"/>
        <v>7年9个月</v>
      </c>
      <c r="AB128" s="25" t="s">
        <v>4049</v>
      </c>
      <c r="AC128" s="25" t="s">
        <v>3985</v>
      </c>
      <c r="AD128" s="25" t="s">
        <v>4035</v>
      </c>
      <c r="AE128" s="25" t="s">
        <v>1013</v>
      </c>
      <c r="AF128" s="25" t="s">
        <v>1012</v>
      </c>
      <c r="AG128" s="27" t="s">
        <v>5018</v>
      </c>
      <c r="AH128" s="25"/>
      <c r="AI128" s="25"/>
      <c r="AJ128" s="25"/>
      <c r="AK128" s="27"/>
      <c r="AL128" s="25" t="s">
        <v>81</v>
      </c>
      <c r="AM128" s="25" t="s">
        <v>3987</v>
      </c>
      <c r="AN128" s="27" t="s">
        <v>5019</v>
      </c>
      <c r="AO128" s="25" t="s">
        <v>5020</v>
      </c>
      <c r="AP128" s="27" t="s">
        <v>5021</v>
      </c>
      <c r="AQ128" s="25" t="s">
        <v>4474</v>
      </c>
      <c r="AR128" s="25" t="s">
        <v>5022</v>
      </c>
      <c r="AS128" s="26" t="s">
        <v>4088</v>
      </c>
      <c r="AT128" s="25" t="s">
        <v>4527</v>
      </c>
      <c r="AU128" s="25" t="s">
        <v>5023</v>
      </c>
      <c r="AV128" s="25" t="s">
        <v>5023</v>
      </c>
      <c r="AW128" s="30">
        <v>47664</v>
      </c>
      <c r="AX128" s="28">
        <v>45454</v>
      </c>
      <c r="AY128" s="28">
        <v>45818</v>
      </c>
      <c r="AZ128" s="28">
        <v>47664</v>
      </c>
      <c r="BA128" s="28"/>
      <c r="BB128" s="28"/>
      <c r="BC128" s="25"/>
      <c r="BD128" s="25"/>
      <c r="BE128" s="25"/>
      <c r="BF128" s="25"/>
      <c r="BG128" s="25"/>
      <c r="BH128" s="25"/>
      <c r="BI128" s="27"/>
    </row>
    <row r="129" spans="1:61" ht="15.6" x14ac:dyDescent="0.25">
      <c r="A129" s="25">
        <v>127</v>
      </c>
      <c r="B129" s="25" t="s">
        <v>5024</v>
      </c>
      <c r="C129" s="25" t="s">
        <v>4002</v>
      </c>
      <c r="D129" s="26" t="s">
        <v>3975</v>
      </c>
      <c r="E129" s="26" t="s">
        <v>3975</v>
      </c>
      <c r="F129" s="25" t="s">
        <v>655</v>
      </c>
      <c r="G129" s="25"/>
      <c r="H129" s="25"/>
      <c r="I129" s="25"/>
      <c r="J129" s="25" t="s">
        <v>4691</v>
      </c>
      <c r="K129" s="25" t="s">
        <v>399</v>
      </c>
      <c r="L129" s="25" t="s">
        <v>4662</v>
      </c>
      <c r="M129" s="25" t="s">
        <v>4029</v>
      </c>
      <c r="N129" s="27" t="s">
        <v>5025</v>
      </c>
      <c r="O129" s="27" t="s">
        <v>5026</v>
      </c>
      <c r="P129" s="28">
        <v>44401</v>
      </c>
      <c r="Q129" s="28">
        <v>51706</v>
      </c>
      <c r="R129" s="25" t="str">
        <f t="shared" si="10"/>
        <v>男</v>
      </c>
      <c r="S129" s="25" t="s">
        <v>3984</v>
      </c>
      <c r="T129" s="28" t="str">
        <f t="shared" si="6"/>
        <v>1995-06-01</v>
      </c>
      <c r="U129" s="25">
        <f t="shared" ca="1" si="9"/>
        <v>30</v>
      </c>
      <c r="V129" s="25">
        <v>18292007359</v>
      </c>
      <c r="W129" s="28">
        <v>45735</v>
      </c>
      <c r="X129" s="28">
        <v>45735</v>
      </c>
      <c r="Y129" s="29" t="str">
        <f t="shared" ca="1" si="7"/>
        <v>1年0个月</v>
      </c>
      <c r="Z129" s="25" t="s">
        <v>5027</v>
      </c>
      <c r="AA129" s="26" t="str">
        <f t="shared" ca="1" si="8"/>
        <v>4年6个月</v>
      </c>
      <c r="AB129" s="25" t="s">
        <v>4034</v>
      </c>
      <c r="AC129" s="25" t="s">
        <v>3985</v>
      </c>
      <c r="AD129" s="25" t="s">
        <v>4035</v>
      </c>
      <c r="AE129" s="25"/>
      <c r="AF129" s="25"/>
      <c r="AG129" s="27"/>
      <c r="AH129" s="25"/>
      <c r="AI129" s="25"/>
      <c r="AJ129" s="25"/>
      <c r="AK129" s="27"/>
      <c r="AL129" s="25" t="s">
        <v>87</v>
      </c>
      <c r="AM129" s="25" t="s">
        <v>3987</v>
      </c>
      <c r="AN129" s="27" t="s">
        <v>5028</v>
      </c>
      <c r="AO129" s="25" t="s">
        <v>4179</v>
      </c>
      <c r="AP129" s="27" t="s">
        <v>5029</v>
      </c>
      <c r="AQ129" s="25"/>
      <c r="AR129" s="25" t="s">
        <v>5030</v>
      </c>
      <c r="AS129" s="26" t="s">
        <v>4011</v>
      </c>
      <c r="AT129" s="25" t="s">
        <v>5031</v>
      </c>
      <c r="AU129" s="25" t="s">
        <v>5032</v>
      </c>
      <c r="AV129" s="25" t="s">
        <v>5033</v>
      </c>
      <c r="AW129" s="30">
        <v>47208</v>
      </c>
      <c r="AX129" s="28">
        <v>45735</v>
      </c>
      <c r="AY129" s="28">
        <v>46099</v>
      </c>
      <c r="AZ129" s="28">
        <v>47208</v>
      </c>
      <c r="BA129" s="28"/>
      <c r="BB129" s="28"/>
      <c r="BC129" s="25"/>
      <c r="BD129" s="25"/>
      <c r="BE129" s="25"/>
      <c r="BF129" s="25"/>
      <c r="BG129" s="25"/>
      <c r="BH129" s="25"/>
      <c r="BI129" s="27"/>
    </row>
    <row r="130" spans="1:61" ht="15.6" x14ac:dyDescent="0.25">
      <c r="A130" s="25">
        <v>128</v>
      </c>
      <c r="B130" s="25" t="s">
        <v>5034</v>
      </c>
      <c r="C130" s="25" t="s">
        <v>4002</v>
      </c>
      <c r="D130" s="26" t="s">
        <v>4090</v>
      </c>
      <c r="E130" s="26" t="s">
        <v>4090</v>
      </c>
      <c r="F130" s="25" t="s">
        <v>5035</v>
      </c>
      <c r="G130" s="25"/>
      <c r="H130" s="25"/>
      <c r="I130" s="25"/>
      <c r="J130" s="25" t="s">
        <v>4691</v>
      </c>
      <c r="K130" s="25" t="s">
        <v>399</v>
      </c>
      <c r="L130" s="25" t="s">
        <v>4662</v>
      </c>
      <c r="M130" s="25" t="s">
        <v>4029</v>
      </c>
      <c r="N130" s="27" t="s">
        <v>5036</v>
      </c>
      <c r="O130" s="27" t="s">
        <v>5037</v>
      </c>
      <c r="P130" s="28">
        <v>45756</v>
      </c>
      <c r="Q130" s="28">
        <v>53061</v>
      </c>
      <c r="R130" s="25" t="str">
        <f t="shared" si="10"/>
        <v>女</v>
      </c>
      <c r="S130" s="25" t="s">
        <v>3984</v>
      </c>
      <c r="T130" s="28" t="str">
        <f t="shared" si="6"/>
        <v>1998-08-20</v>
      </c>
      <c r="U130" s="25">
        <f t="shared" ca="1" si="9"/>
        <v>27</v>
      </c>
      <c r="V130" s="25">
        <v>18742511774</v>
      </c>
      <c r="W130" s="28">
        <v>45757</v>
      </c>
      <c r="X130" s="28">
        <v>45757</v>
      </c>
      <c r="Y130" s="29" t="str">
        <f t="shared" ca="1" si="7"/>
        <v>1年0个月</v>
      </c>
      <c r="Z130" s="25"/>
      <c r="AA130" s="26" t="str">
        <f t="shared" ca="1" si="8"/>
        <v>1年0个月</v>
      </c>
      <c r="AB130" s="25" t="s">
        <v>4049</v>
      </c>
      <c r="AC130" s="25" t="s">
        <v>3985</v>
      </c>
      <c r="AD130" s="25" t="s">
        <v>3986</v>
      </c>
      <c r="AE130" s="25" t="s">
        <v>4880</v>
      </c>
      <c r="AF130" s="25" t="s">
        <v>4050</v>
      </c>
      <c r="AG130" s="27" t="s">
        <v>5038</v>
      </c>
      <c r="AH130" s="25"/>
      <c r="AI130" s="25"/>
      <c r="AJ130" s="25"/>
      <c r="AK130" s="27"/>
      <c r="AL130" s="25" t="s">
        <v>87</v>
      </c>
      <c r="AM130" s="25" t="s">
        <v>3987</v>
      </c>
      <c r="AN130" s="27" t="s">
        <v>5039</v>
      </c>
      <c r="AO130" s="25" t="s">
        <v>4484</v>
      </c>
      <c r="AP130" s="27" t="s">
        <v>5040</v>
      </c>
      <c r="AQ130" s="25">
        <v>211</v>
      </c>
      <c r="AR130" s="25" t="s">
        <v>4469</v>
      </c>
      <c r="AS130" s="26" t="s">
        <v>4088</v>
      </c>
      <c r="AT130" s="25" t="s">
        <v>5041</v>
      </c>
      <c r="AU130" s="25" t="s">
        <v>5042</v>
      </c>
      <c r="AV130" s="25" t="s">
        <v>5043</v>
      </c>
      <c r="AW130" s="30">
        <v>47238</v>
      </c>
      <c r="AX130" s="28">
        <v>45757</v>
      </c>
      <c r="AY130" s="28">
        <v>46121</v>
      </c>
      <c r="AZ130" s="28">
        <v>47238</v>
      </c>
      <c r="BA130" s="28"/>
      <c r="BB130" s="28"/>
      <c r="BC130" s="25"/>
      <c r="BD130" s="25"/>
      <c r="BE130" s="25"/>
      <c r="BF130" s="25"/>
      <c r="BG130" s="25"/>
      <c r="BH130" s="25"/>
      <c r="BI130" s="27"/>
    </row>
    <row r="131" spans="1:61" ht="15.6" x14ac:dyDescent="0.25">
      <c r="A131" s="25">
        <v>129</v>
      </c>
      <c r="B131" s="25" t="s">
        <v>5044</v>
      </c>
      <c r="C131" s="25" t="s">
        <v>4002</v>
      </c>
      <c r="D131" s="26" t="s">
        <v>4090</v>
      </c>
      <c r="E131" s="26" t="s">
        <v>4090</v>
      </c>
      <c r="F131" s="25" t="s">
        <v>655</v>
      </c>
      <c r="G131" s="25"/>
      <c r="H131" s="25"/>
      <c r="I131" s="25"/>
      <c r="J131" s="25" t="s">
        <v>5045</v>
      </c>
      <c r="K131" s="25" t="s">
        <v>399</v>
      </c>
      <c r="L131" s="25" t="s">
        <v>1553</v>
      </c>
      <c r="M131" s="25" t="s">
        <v>4029</v>
      </c>
      <c r="N131" s="27" t="s">
        <v>5046</v>
      </c>
      <c r="O131" s="27" t="s">
        <v>4073</v>
      </c>
      <c r="P131" s="28">
        <v>43766</v>
      </c>
      <c r="Q131" s="28">
        <v>51071</v>
      </c>
      <c r="R131" s="25" t="str">
        <f t="shared" si="10"/>
        <v>女</v>
      </c>
      <c r="S131" s="25" t="s">
        <v>3984</v>
      </c>
      <c r="T131" s="28" t="str">
        <f t="shared" si="6"/>
        <v>1984-07-18</v>
      </c>
      <c r="U131" s="25">
        <f t="shared" ca="1" si="9"/>
        <v>41</v>
      </c>
      <c r="V131" s="25">
        <v>18987198722</v>
      </c>
      <c r="W131" s="28">
        <v>40037</v>
      </c>
      <c r="X131" s="28">
        <v>40037</v>
      </c>
      <c r="Y131" s="29" t="str">
        <f t="shared" ca="1" si="7"/>
        <v>16年8个月</v>
      </c>
      <c r="Z131" s="25"/>
      <c r="AA131" s="26" t="str">
        <f t="shared" ca="1" si="8"/>
        <v>16年8个月</v>
      </c>
      <c r="AB131" s="25" t="s">
        <v>29</v>
      </c>
      <c r="AC131" s="25" t="s">
        <v>28</v>
      </c>
      <c r="AD131" s="25" t="s">
        <v>3986</v>
      </c>
      <c r="AE131" s="25" t="s">
        <v>692</v>
      </c>
      <c r="AF131" s="25" t="s">
        <v>437</v>
      </c>
      <c r="AG131" s="27" t="s">
        <v>3852</v>
      </c>
      <c r="AH131" s="25"/>
      <c r="AI131" s="25"/>
      <c r="AJ131" s="25"/>
      <c r="AK131" s="27"/>
      <c r="AL131" s="25" t="s">
        <v>81</v>
      </c>
      <c r="AM131" s="25" t="s">
        <v>3987</v>
      </c>
      <c r="AN131" s="27" t="s">
        <v>5047</v>
      </c>
      <c r="AO131" s="25" t="s">
        <v>4062</v>
      </c>
      <c r="AP131" s="27" t="s">
        <v>5048</v>
      </c>
      <c r="AQ131" s="25"/>
      <c r="AR131" s="25" t="s">
        <v>4755</v>
      </c>
      <c r="AS131" s="26" t="s">
        <v>4011</v>
      </c>
      <c r="AT131" s="25" t="s">
        <v>668</v>
      </c>
      <c r="AU131" s="25" t="s">
        <v>5049</v>
      </c>
      <c r="AV131" s="25" t="s">
        <v>5050</v>
      </c>
      <c r="AW131" s="31" t="s">
        <v>3991</v>
      </c>
      <c r="AX131" s="45">
        <v>40037</v>
      </c>
      <c r="AY131" s="28">
        <v>40401</v>
      </c>
      <c r="AZ131" s="28">
        <v>41497</v>
      </c>
      <c r="BA131" s="28">
        <v>42957</v>
      </c>
      <c r="BB131" s="28">
        <v>44043</v>
      </c>
      <c r="BC131" s="60" t="s">
        <v>3991</v>
      </c>
      <c r="BD131" s="60"/>
      <c r="BE131" s="60"/>
      <c r="BF131" s="60"/>
      <c r="BG131" s="60"/>
      <c r="BH131" s="60"/>
      <c r="BI131" s="27"/>
    </row>
    <row r="132" spans="1:61" ht="15.6" x14ac:dyDescent="0.25">
      <c r="A132" s="25">
        <v>130</v>
      </c>
      <c r="B132" s="25" t="s">
        <v>5051</v>
      </c>
      <c r="C132" s="25" t="s">
        <v>4002</v>
      </c>
      <c r="D132" s="26" t="s">
        <v>4090</v>
      </c>
      <c r="E132" s="26" t="s">
        <v>4090</v>
      </c>
      <c r="F132" s="25" t="s">
        <v>5035</v>
      </c>
      <c r="G132" s="25"/>
      <c r="H132" s="48"/>
      <c r="I132" s="48"/>
      <c r="J132" s="25" t="s">
        <v>5052</v>
      </c>
      <c r="K132" s="25" t="s">
        <v>556</v>
      </c>
      <c r="L132" s="25" t="s">
        <v>4543</v>
      </c>
      <c r="M132" s="25" t="s">
        <v>4029</v>
      </c>
      <c r="N132" s="27" t="s">
        <v>5053</v>
      </c>
      <c r="O132" s="27" t="s">
        <v>5054</v>
      </c>
      <c r="P132" s="28">
        <v>43131</v>
      </c>
      <c r="Q132" s="28">
        <v>46783</v>
      </c>
      <c r="R132" s="25" t="str">
        <f t="shared" si="10"/>
        <v>男</v>
      </c>
      <c r="S132" s="25" t="s">
        <v>3984</v>
      </c>
      <c r="T132" s="28" t="str">
        <f t="shared" si="6"/>
        <v>1998-05-13</v>
      </c>
      <c r="U132" s="25">
        <f t="shared" ca="1" si="9"/>
        <v>27</v>
      </c>
      <c r="V132" s="25">
        <v>18308782151</v>
      </c>
      <c r="W132" s="28">
        <v>45778</v>
      </c>
      <c r="X132" s="28">
        <v>44013</v>
      </c>
      <c r="Y132" s="29" t="str">
        <f t="shared" ca="1" si="7"/>
        <v>5年9个月</v>
      </c>
      <c r="Z132" s="25"/>
      <c r="AA132" s="26" t="str">
        <f t="shared" ca="1" si="8"/>
        <v>5年9个月</v>
      </c>
      <c r="AB132" s="25" t="s">
        <v>4049</v>
      </c>
      <c r="AC132" s="25" t="s">
        <v>3985</v>
      </c>
      <c r="AD132" s="25" t="s">
        <v>5055</v>
      </c>
      <c r="AE132" s="25"/>
      <c r="AF132" s="25"/>
      <c r="AG132" s="27"/>
      <c r="AH132" s="25"/>
      <c r="AI132" s="25"/>
      <c r="AJ132" s="25"/>
      <c r="AK132" s="27"/>
      <c r="AL132" s="25" t="s">
        <v>305</v>
      </c>
      <c r="AM132" s="25"/>
      <c r="AN132" s="27" t="s">
        <v>4039</v>
      </c>
      <c r="AO132" s="27" t="s">
        <v>4524</v>
      </c>
      <c r="AP132" s="27" t="s">
        <v>5056</v>
      </c>
      <c r="AQ132" s="25"/>
      <c r="AR132" s="27" t="s">
        <v>4455</v>
      </c>
      <c r="AS132" s="26" t="s">
        <v>3990</v>
      </c>
      <c r="AT132" s="25" t="s">
        <v>4239</v>
      </c>
      <c r="AU132" s="25" t="s">
        <v>5057</v>
      </c>
      <c r="AV132" s="25" t="s">
        <v>5058</v>
      </c>
      <c r="AW132" s="39">
        <v>46873</v>
      </c>
      <c r="AX132" s="28">
        <v>45778</v>
      </c>
      <c r="AY132" s="28">
        <v>46873</v>
      </c>
      <c r="AZ132" s="36"/>
      <c r="BA132" s="48"/>
      <c r="BB132" s="48"/>
      <c r="BC132" s="48"/>
      <c r="BD132" s="48"/>
      <c r="BE132" s="48"/>
      <c r="BF132" s="48"/>
      <c r="BG132" s="48"/>
      <c r="BH132" s="48"/>
      <c r="BI132" s="48"/>
    </row>
    <row r="133" spans="1:61" ht="15.6" x14ac:dyDescent="0.25">
      <c r="A133" s="25">
        <v>131</v>
      </c>
      <c r="B133" s="25" t="s">
        <v>5059</v>
      </c>
      <c r="C133" s="25" t="s">
        <v>4002</v>
      </c>
      <c r="D133" s="26" t="s">
        <v>4090</v>
      </c>
      <c r="E133" s="26" t="s">
        <v>4090</v>
      </c>
      <c r="F133" s="25" t="s">
        <v>655</v>
      </c>
      <c r="G133" s="25"/>
      <c r="H133" s="48"/>
      <c r="I133" s="48"/>
      <c r="J133" s="25" t="s">
        <v>5060</v>
      </c>
      <c r="K133" s="25" t="s">
        <v>556</v>
      </c>
      <c r="L133" s="25" t="s">
        <v>4543</v>
      </c>
      <c r="M133" s="25" t="s">
        <v>4029</v>
      </c>
      <c r="N133" s="27" t="s">
        <v>5061</v>
      </c>
      <c r="O133" s="27" t="s">
        <v>4961</v>
      </c>
      <c r="P133" s="28">
        <v>43292</v>
      </c>
      <c r="Q133" s="28">
        <v>46945</v>
      </c>
      <c r="R133" s="25" t="str">
        <f t="shared" si="10"/>
        <v>男</v>
      </c>
      <c r="S133" s="25" t="s">
        <v>3984</v>
      </c>
      <c r="T133" s="28" t="str">
        <f t="shared" ref="T133:T197" si="11">TEXT(MID(N133,7,6+(LEN(N133)=18)*2),"0-00-00")</f>
        <v>1998-03-18</v>
      </c>
      <c r="U133" s="25">
        <f t="shared" ca="1" si="9"/>
        <v>28</v>
      </c>
      <c r="V133" s="25">
        <v>18214377518</v>
      </c>
      <c r="W133" s="28">
        <v>45778</v>
      </c>
      <c r="X133" s="28">
        <v>43647</v>
      </c>
      <c r="Y133" s="29" t="str">
        <f t="shared" ref="Y133:Y197" ca="1" si="12">DATEDIF(X133,TODAY(),"Y")&amp;"年"&amp;TEXT(DATEDIF(X133,TODAY(),"YM"),"0")&amp;"个月"</f>
        <v>6年9个月</v>
      </c>
      <c r="Z133" s="48"/>
      <c r="AA133" s="26"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5" t="s">
        <v>253</v>
      </c>
      <c r="AC133" s="25" t="s">
        <v>119</v>
      </c>
      <c r="AD133" s="25" t="s">
        <v>5055</v>
      </c>
      <c r="AE133" s="25"/>
      <c r="AF133" s="25"/>
      <c r="AG133" s="27"/>
      <c r="AH133" s="25"/>
      <c r="AI133" s="25"/>
      <c r="AJ133" s="25"/>
      <c r="AK133" s="27"/>
      <c r="AL133" s="25" t="s">
        <v>305</v>
      </c>
      <c r="AM133" s="25"/>
      <c r="AN133" s="27" t="s">
        <v>4039</v>
      </c>
      <c r="AO133" s="27" t="s">
        <v>4524</v>
      </c>
      <c r="AP133" s="27" t="s">
        <v>5062</v>
      </c>
      <c r="AQ133" s="25"/>
      <c r="AR133" s="27" t="s">
        <v>5063</v>
      </c>
      <c r="AS133" s="26" t="s">
        <v>3990</v>
      </c>
      <c r="AT133" s="25" t="s">
        <v>1458</v>
      </c>
      <c r="AU133" s="25" t="s">
        <v>5064</v>
      </c>
      <c r="AV133" s="25" t="s">
        <v>5065</v>
      </c>
      <c r="AW133" s="39">
        <v>46873</v>
      </c>
      <c r="AX133" s="28">
        <v>45778</v>
      </c>
      <c r="AY133" s="28">
        <v>46873</v>
      </c>
      <c r="AZ133" s="36"/>
      <c r="BA133" s="36"/>
      <c r="BB133" s="36"/>
      <c r="BC133" s="36"/>
      <c r="BD133" s="48"/>
      <c r="BE133" s="48"/>
      <c r="BF133" s="48"/>
      <c r="BG133" s="48"/>
      <c r="BH133" s="48"/>
      <c r="BI133" s="48"/>
    </row>
    <row r="134" spans="1:61" ht="15.6" x14ac:dyDescent="0.25">
      <c r="A134" s="25">
        <v>132</v>
      </c>
      <c r="B134" s="25" t="s">
        <v>5066</v>
      </c>
      <c r="C134" s="25" t="s">
        <v>4002</v>
      </c>
      <c r="D134" s="26" t="s">
        <v>3975</v>
      </c>
      <c r="E134" s="26" t="s">
        <v>3975</v>
      </c>
      <c r="F134" s="25" t="s">
        <v>1380</v>
      </c>
      <c r="G134" s="25"/>
      <c r="H134" s="25"/>
      <c r="I134" s="25"/>
      <c r="J134" s="25" t="s">
        <v>5067</v>
      </c>
      <c r="K134" s="25" t="s">
        <v>676</v>
      </c>
      <c r="L134" s="25" t="s">
        <v>4016</v>
      </c>
      <c r="M134" s="25" t="s">
        <v>4017</v>
      </c>
      <c r="N134" s="27" t="s">
        <v>5068</v>
      </c>
      <c r="O134" s="27" t="s">
        <v>5069</v>
      </c>
      <c r="P134" s="28">
        <v>42285</v>
      </c>
      <c r="Q134" s="28">
        <v>49590</v>
      </c>
      <c r="R134" s="25" t="str">
        <f t="shared" si="10"/>
        <v>女</v>
      </c>
      <c r="S134" s="25" t="s">
        <v>3984</v>
      </c>
      <c r="T134" s="28" t="str">
        <f t="shared" si="11"/>
        <v>1987-12-04</v>
      </c>
      <c r="U134" s="25">
        <f t="shared" ca="1" si="9"/>
        <v>38</v>
      </c>
      <c r="V134" s="25">
        <v>18287107848</v>
      </c>
      <c r="W134" s="28">
        <v>40959</v>
      </c>
      <c r="X134" s="28">
        <v>40959</v>
      </c>
      <c r="Y134" s="29" t="str">
        <f t="shared" ca="1" si="12"/>
        <v>14年1个月</v>
      </c>
      <c r="Z134" s="25"/>
      <c r="AA134" s="26" t="str">
        <f t="shared" ca="1" si="13"/>
        <v>14年1个月</v>
      </c>
      <c r="AB134" s="25" t="s">
        <v>4034</v>
      </c>
      <c r="AC134" s="25" t="s">
        <v>3985</v>
      </c>
      <c r="AD134" s="25" t="s">
        <v>3986</v>
      </c>
      <c r="AE134" s="25"/>
      <c r="AF134" s="25"/>
      <c r="AG134" s="27"/>
      <c r="AH134" s="25" t="s">
        <v>5070</v>
      </c>
      <c r="AI134" s="25" t="s">
        <v>2974</v>
      </c>
      <c r="AJ134" s="25" t="s">
        <v>437</v>
      </c>
      <c r="AK134" s="27" t="s">
        <v>5071</v>
      </c>
      <c r="AL134" s="25" t="s">
        <v>81</v>
      </c>
      <c r="AM134" s="25" t="s">
        <v>3987</v>
      </c>
      <c r="AN134" s="27" t="s">
        <v>5072</v>
      </c>
      <c r="AO134" s="25" t="s">
        <v>5073</v>
      </c>
      <c r="AP134" s="27" t="s">
        <v>5074</v>
      </c>
      <c r="AQ134" s="25"/>
      <c r="AR134" s="27" t="s">
        <v>5075</v>
      </c>
      <c r="AS134" s="26" t="s">
        <v>4011</v>
      </c>
      <c r="AT134" s="25" t="s">
        <v>5076</v>
      </c>
      <c r="AU134" s="25" t="s">
        <v>5077</v>
      </c>
      <c r="AV134" s="25" t="s">
        <v>5078</v>
      </c>
      <c r="AW134" s="30" t="s">
        <v>3991</v>
      </c>
      <c r="AX134" s="28">
        <v>40959</v>
      </c>
      <c r="AY134" s="28">
        <v>42055</v>
      </c>
      <c r="AZ134" s="28" t="s">
        <v>3991</v>
      </c>
      <c r="BA134" s="28"/>
      <c r="BB134" s="28"/>
      <c r="BC134" s="25"/>
      <c r="BD134" s="25"/>
      <c r="BE134" s="25"/>
      <c r="BF134" s="25"/>
      <c r="BG134" s="25"/>
      <c r="BH134" s="25"/>
      <c r="BI134" s="27"/>
    </row>
    <row r="135" spans="1:61" ht="15.6" x14ac:dyDescent="0.25">
      <c r="A135" s="25">
        <v>133</v>
      </c>
      <c r="B135" s="25" t="s">
        <v>5079</v>
      </c>
      <c r="C135" s="25" t="s">
        <v>4002</v>
      </c>
      <c r="D135" s="26" t="s">
        <v>3975</v>
      </c>
      <c r="E135" s="26" t="s">
        <v>3975</v>
      </c>
      <c r="F135" s="25" t="s">
        <v>1380</v>
      </c>
      <c r="G135" s="25"/>
      <c r="H135" s="25"/>
      <c r="I135" s="25"/>
      <c r="J135" s="25" t="s">
        <v>5080</v>
      </c>
      <c r="K135" s="25" t="s">
        <v>361</v>
      </c>
      <c r="L135" s="25" t="s">
        <v>4423</v>
      </c>
      <c r="M135" s="25" t="s">
        <v>4029</v>
      </c>
      <c r="N135" s="27" t="s">
        <v>5081</v>
      </c>
      <c r="O135" s="27" t="s">
        <v>5082</v>
      </c>
      <c r="P135" s="28">
        <v>44547</v>
      </c>
      <c r="Q135" s="28">
        <v>51852</v>
      </c>
      <c r="R135" s="25" t="str">
        <f t="shared" si="10"/>
        <v>女</v>
      </c>
      <c r="S135" s="25" t="s">
        <v>3984</v>
      </c>
      <c r="T135" s="28" t="str">
        <f t="shared" si="11"/>
        <v>1992-01-11</v>
      </c>
      <c r="U135" s="25">
        <f t="shared" ref="U135:U199" ca="1" si="14">DATEDIF(T135,TODAY(),"Y")</f>
        <v>34</v>
      </c>
      <c r="V135" s="25">
        <v>18725013147</v>
      </c>
      <c r="W135" s="28">
        <v>41456</v>
      </c>
      <c r="X135" s="28">
        <v>41456</v>
      </c>
      <c r="Y135" s="29" t="str">
        <f t="shared" ca="1" si="12"/>
        <v>12年9个月</v>
      </c>
      <c r="Z135" s="25"/>
      <c r="AA135" s="26" t="str">
        <f t="shared" ca="1" si="13"/>
        <v>12年9个月</v>
      </c>
      <c r="AB135" s="25" t="s">
        <v>4034</v>
      </c>
      <c r="AC135" s="25" t="s">
        <v>3985</v>
      </c>
      <c r="AD135" s="25" t="s">
        <v>4035</v>
      </c>
      <c r="AE135" s="25"/>
      <c r="AF135" s="25"/>
      <c r="AG135" s="27"/>
      <c r="AH135" s="25"/>
      <c r="AI135" s="25"/>
      <c r="AJ135" s="25"/>
      <c r="AK135" s="27"/>
      <c r="AL135" s="25" t="s">
        <v>305</v>
      </c>
      <c r="AM135" s="25"/>
      <c r="AN135" s="27" t="s">
        <v>4039</v>
      </c>
      <c r="AO135" s="25" t="s">
        <v>4406</v>
      </c>
      <c r="AP135" s="27" t="s">
        <v>5083</v>
      </c>
      <c r="AQ135" s="25"/>
      <c r="AR135" s="25" t="s">
        <v>4936</v>
      </c>
      <c r="AS135" s="26" t="s">
        <v>3990</v>
      </c>
      <c r="AT135" s="25" t="s">
        <v>4419</v>
      </c>
      <c r="AU135" s="25" t="s">
        <v>5084</v>
      </c>
      <c r="AV135" s="25" t="s">
        <v>2735</v>
      </c>
      <c r="AW135" s="30" t="s">
        <v>5085</v>
      </c>
      <c r="AX135" s="28">
        <v>41456</v>
      </c>
      <c r="AY135" s="28">
        <v>41820</v>
      </c>
      <c r="AZ135" s="28">
        <v>42185</v>
      </c>
      <c r="BA135" s="28">
        <v>43312</v>
      </c>
      <c r="BB135" s="28" t="s">
        <v>5085</v>
      </c>
      <c r="BC135" s="25"/>
      <c r="BD135" s="25"/>
      <c r="BE135" s="25"/>
      <c r="BF135" s="25"/>
      <c r="BG135" s="25"/>
      <c r="BH135" s="25"/>
      <c r="BI135" s="27"/>
    </row>
    <row r="136" spans="1:61" ht="15.6" x14ac:dyDescent="0.25">
      <c r="A136" s="25">
        <v>134</v>
      </c>
      <c r="B136" s="25" t="s">
        <v>5086</v>
      </c>
      <c r="C136" s="25" t="s">
        <v>4002</v>
      </c>
      <c r="D136" s="26" t="s">
        <v>3975</v>
      </c>
      <c r="E136" s="26" t="s">
        <v>3975</v>
      </c>
      <c r="F136" s="25" t="s">
        <v>1380</v>
      </c>
      <c r="G136" s="25"/>
      <c r="H136" s="25"/>
      <c r="I136" s="25"/>
      <c r="J136" s="25" t="s">
        <v>5080</v>
      </c>
      <c r="K136" s="25" t="s">
        <v>361</v>
      </c>
      <c r="L136" s="25" t="s">
        <v>4423</v>
      </c>
      <c r="M136" s="25" t="s">
        <v>4029</v>
      </c>
      <c r="N136" s="25" t="s">
        <v>3548</v>
      </c>
      <c r="O136" s="25" t="s">
        <v>5087</v>
      </c>
      <c r="P136" s="28">
        <v>38870</v>
      </c>
      <c r="Q136" s="28">
        <v>46175</v>
      </c>
      <c r="R136" s="25" t="str">
        <f t="shared" si="10"/>
        <v>女</v>
      </c>
      <c r="S136" s="25" t="s">
        <v>3984</v>
      </c>
      <c r="T136" s="28" t="str">
        <f t="shared" si="11"/>
        <v>1979-03-10</v>
      </c>
      <c r="U136" s="25">
        <f t="shared" ca="1" si="14"/>
        <v>47</v>
      </c>
      <c r="V136" s="25">
        <v>13759137889</v>
      </c>
      <c r="W136" s="28">
        <v>37622</v>
      </c>
      <c r="X136" s="28">
        <v>37622</v>
      </c>
      <c r="Y136" s="29" t="str">
        <f t="shared" ca="1" si="12"/>
        <v>23年3个月</v>
      </c>
      <c r="Z136" s="25" t="s">
        <v>5088</v>
      </c>
      <c r="AA136" s="26" t="str">
        <f t="shared" ca="1" si="13"/>
        <v>28年2个月</v>
      </c>
      <c r="AB136" s="25" t="s">
        <v>29</v>
      </c>
      <c r="AC136" s="25" t="s">
        <v>3985</v>
      </c>
      <c r="AD136" s="25" t="s">
        <v>4035</v>
      </c>
      <c r="AE136" s="25"/>
      <c r="AF136" s="25"/>
      <c r="AG136" s="27"/>
      <c r="AH136" s="25"/>
      <c r="AI136" s="25"/>
      <c r="AJ136" s="25"/>
      <c r="AK136" s="27"/>
      <c r="AL136" s="25" t="s">
        <v>305</v>
      </c>
      <c r="AM136" s="25"/>
      <c r="AN136" s="27" t="s">
        <v>4039</v>
      </c>
      <c r="AO136" s="25" t="s">
        <v>4196</v>
      </c>
      <c r="AP136" s="27" t="s">
        <v>5089</v>
      </c>
      <c r="AQ136" s="25"/>
      <c r="AR136" s="25" t="s">
        <v>5090</v>
      </c>
      <c r="AS136" s="26" t="s">
        <v>4088</v>
      </c>
      <c r="AT136" s="25" t="s">
        <v>353</v>
      </c>
      <c r="AU136" s="25" t="s">
        <v>5091</v>
      </c>
      <c r="AV136" s="25" t="s">
        <v>3545</v>
      </c>
      <c r="AW136" s="31" t="s">
        <v>3991</v>
      </c>
      <c r="AX136" s="28">
        <v>41640</v>
      </c>
      <c r="AY136" s="25" t="s">
        <v>3991</v>
      </c>
      <c r="AZ136" s="28"/>
      <c r="BA136" s="28"/>
      <c r="BB136" s="28"/>
      <c r="BC136" s="25"/>
      <c r="BD136" s="25"/>
      <c r="BE136" s="25"/>
      <c r="BF136" s="25"/>
      <c r="BG136" s="25"/>
      <c r="BH136" s="25"/>
      <c r="BI136" s="27"/>
    </row>
    <row r="137" spans="1:61" ht="15.6" x14ac:dyDescent="0.25">
      <c r="A137" s="25">
        <v>135</v>
      </c>
      <c r="B137" s="25" t="s">
        <v>5092</v>
      </c>
      <c r="C137" s="25" t="s">
        <v>4002</v>
      </c>
      <c r="D137" s="26" t="s">
        <v>3975</v>
      </c>
      <c r="E137" s="26" t="s">
        <v>3975</v>
      </c>
      <c r="F137" s="25" t="s">
        <v>1380</v>
      </c>
      <c r="G137" s="33"/>
      <c r="H137" s="25"/>
      <c r="I137" s="25" t="s">
        <v>5093</v>
      </c>
      <c r="J137" s="25" t="s">
        <v>5094</v>
      </c>
      <c r="K137" s="25" t="s">
        <v>556</v>
      </c>
      <c r="L137" s="25" t="s">
        <v>4298</v>
      </c>
      <c r="M137" s="25" t="s">
        <v>4029</v>
      </c>
      <c r="N137" s="27" t="s">
        <v>5095</v>
      </c>
      <c r="O137" s="27" t="s">
        <v>4031</v>
      </c>
      <c r="P137" s="28">
        <v>42921</v>
      </c>
      <c r="Q137" s="28">
        <v>50226</v>
      </c>
      <c r="R137" s="25" t="str">
        <f t="shared" si="10"/>
        <v>男</v>
      </c>
      <c r="S137" s="25" t="s">
        <v>3984</v>
      </c>
      <c r="T137" s="28" t="str">
        <f t="shared" si="11"/>
        <v>1990-10-01</v>
      </c>
      <c r="U137" s="25">
        <f t="shared" ca="1" si="14"/>
        <v>35</v>
      </c>
      <c r="V137" s="25">
        <v>15096692829</v>
      </c>
      <c r="W137" s="28">
        <v>40492</v>
      </c>
      <c r="X137" s="43">
        <v>40492</v>
      </c>
      <c r="Y137" s="29" t="str">
        <f t="shared" ca="1" si="12"/>
        <v>15年5个月</v>
      </c>
      <c r="Z137" s="25"/>
      <c r="AA137" s="26" t="str">
        <f t="shared" ca="1" si="13"/>
        <v>15年5个月</v>
      </c>
      <c r="AB137" s="25" t="s">
        <v>4034</v>
      </c>
      <c r="AC137" s="25" t="s">
        <v>28</v>
      </c>
      <c r="AD137" s="25" t="s">
        <v>4035</v>
      </c>
      <c r="AE137" s="25"/>
      <c r="AF137" s="25"/>
      <c r="AG137" s="27"/>
      <c r="AH137" s="25"/>
      <c r="AI137" s="25"/>
      <c r="AJ137" s="25"/>
      <c r="AK137" s="27"/>
      <c r="AL137" s="25" t="s">
        <v>305</v>
      </c>
      <c r="AM137" s="25"/>
      <c r="AN137" s="27" t="s">
        <v>4039</v>
      </c>
      <c r="AO137" s="25" t="s">
        <v>5096</v>
      </c>
      <c r="AP137" s="27" t="s">
        <v>5097</v>
      </c>
      <c r="AQ137" s="25"/>
      <c r="AR137" s="25" t="s">
        <v>5098</v>
      </c>
      <c r="AS137" s="26" t="s">
        <v>4011</v>
      </c>
      <c r="AT137" s="25" t="s">
        <v>294</v>
      </c>
      <c r="AU137" s="25" t="s">
        <v>5099</v>
      </c>
      <c r="AV137" s="25" t="s">
        <v>5100</v>
      </c>
      <c r="AW137" s="30" t="s">
        <v>3991</v>
      </c>
      <c r="AX137" s="28">
        <v>40857</v>
      </c>
      <c r="AY137" s="28">
        <v>41587</v>
      </c>
      <c r="AZ137" s="28">
        <v>42317</v>
      </c>
      <c r="BA137" s="28">
        <v>44408</v>
      </c>
      <c r="BB137" s="28" t="s">
        <v>3991</v>
      </c>
      <c r="BC137" s="25"/>
      <c r="BD137" s="25"/>
      <c r="BE137" s="25"/>
      <c r="BF137" s="25"/>
      <c r="BG137" s="25"/>
      <c r="BH137" s="25"/>
      <c r="BI137" s="27"/>
    </row>
    <row r="138" spans="1:61" ht="15.6" x14ac:dyDescent="0.25">
      <c r="A138" s="25">
        <v>136</v>
      </c>
      <c r="B138" s="25" t="s">
        <v>5101</v>
      </c>
      <c r="C138" s="25" t="s">
        <v>4002</v>
      </c>
      <c r="D138" s="26" t="s">
        <v>3975</v>
      </c>
      <c r="E138" s="26" t="s">
        <v>3975</v>
      </c>
      <c r="F138" s="25" t="s">
        <v>1380</v>
      </c>
      <c r="G138" s="25"/>
      <c r="H138" s="25"/>
      <c r="I138" s="25" t="s">
        <v>5093</v>
      </c>
      <c r="J138" s="25" t="s">
        <v>1379</v>
      </c>
      <c r="K138" s="25" t="s">
        <v>556</v>
      </c>
      <c r="L138" s="25" t="s">
        <v>4298</v>
      </c>
      <c r="M138" s="25" t="s">
        <v>4029</v>
      </c>
      <c r="N138" s="27" t="s">
        <v>5102</v>
      </c>
      <c r="O138" s="27" t="s">
        <v>4031</v>
      </c>
      <c r="P138" s="28">
        <v>43276</v>
      </c>
      <c r="Q138" s="28">
        <v>46929</v>
      </c>
      <c r="R138" s="25" t="str">
        <f t="shared" si="10"/>
        <v>男</v>
      </c>
      <c r="S138" s="25" t="s">
        <v>3984</v>
      </c>
      <c r="T138" s="28" t="str">
        <f t="shared" si="11"/>
        <v>1998-01-09</v>
      </c>
      <c r="U138" s="25">
        <f t="shared" ca="1" si="14"/>
        <v>28</v>
      </c>
      <c r="V138" s="25">
        <v>18388392007</v>
      </c>
      <c r="W138" s="28">
        <v>42917</v>
      </c>
      <c r="X138" s="28">
        <v>42917</v>
      </c>
      <c r="Y138" s="29" t="str">
        <f t="shared" ca="1" si="12"/>
        <v>8年9个月</v>
      </c>
      <c r="Z138" s="28"/>
      <c r="AA138" s="26" t="str">
        <f t="shared" ca="1" si="13"/>
        <v>8年9个月</v>
      </c>
      <c r="AB138" s="25" t="s">
        <v>4034</v>
      </c>
      <c r="AC138" s="25" t="s">
        <v>119</v>
      </c>
      <c r="AD138" s="25" t="s">
        <v>4035</v>
      </c>
      <c r="AE138" s="25"/>
      <c r="AF138" s="25"/>
      <c r="AG138" s="27"/>
      <c r="AH138" s="25"/>
      <c r="AI138" s="25"/>
      <c r="AJ138" s="25"/>
      <c r="AK138" s="27"/>
      <c r="AL138" s="25" t="s">
        <v>4246</v>
      </c>
      <c r="AM138" s="25"/>
      <c r="AN138" s="27" t="s">
        <v>4039</v>
      </c>
      <c r="AO138" s="25" t="s">
        <v>5103</v>
      </c>
      <c r="AP138" s="27" t="s">
        <v>5104</v>
      </c>
      <c r="AQ138" s="25"/>
      <c r="AR138" s="25" t="s">
        <v>5105</v>
      </c>
      <c r="AS138" s="26" t="s">
        <v>3990</v>
      </c>
      <c r="AT138" s="25" t="s">
        <v>4043</v>
      </c>
      <c r="AU138" s="25" t="s">
        <v>5106</v>
      </c>
      <c r="AV138" s="25" t="s">
        <v>5107</v>
      </c>
      <c r="AW138" s="30" t="s">
        <v>3991</v>
      </c>
      <c r="AX138" s="28">
        <v>42917</v>
      </c>
      <c r="AY138" s="28">
        <v>43312</v>
      </c>
      <c r="AZ138" s="28">
        <v>44407</v>
      </c>
      <c r="BA138" s="25" t="s">
        <v>3991</v>
      </c>
      <c r="BB138" s="25"/>
      <c r="BC138" s="25"/>
      <c r="BD138" s="25"/>
      <c r="BE138" s="25"/>
      <c r="BF138" s="25"/>
      <c r="BG138" s="25"/>
      <c r="BH138" s="25"/>
      <c r="BI138" s="25"/>
    </row>
    <row r="139" spans="1:61" ht="15.6" x14ac:dyDescent="0.25">
      <c r="A139" s="25">
        <v>137</v>
      </c>
      <c r="B139" s="26" t="s">
        <v>5108</v>
      </c>
      <c r="C139" s="25" t="s">
        <v>4002</v>
      </c>
      <c r="D139" s="26" t="s">
        <v>3975</v>
      </c>
      <c r="E139" s="26" t="s">
        <v>3975</v>
      </c>
      <c r="F139" s="25" t="s">
        <v>1380</v>
      </c>
      <c r="G139" s="26"/>
      <c r="H139" s="25"/>
      <c r="I139" s="25" t="s">
        <v>5093</v>
      </c>
      <c r="J139" s="25" t="s">
        <v>1379</v>
      </c>
      <c r="K139" s="25" t="s">
        <v>556</v>
      </c>
      <c r="L139" s="25" t="s">
        <v>4298</v>
      </c>
      <c r="M139" s="25" t="s">
        <v>4029</v>
      </c>
      <c r="N139" s="35" t="s">
        <v>5109</v>
      </c>
      <c r="O139" s="35" t="s">
        <v>4129</v>
      </c>
      <c r="P139" s="36">
        <v>45885</v>
      </c>
      <c r="Q139" s="36">
        <v>53190</v>
      </c>
      <c r="R139" s="25" t="str">
        <f t="shared" si="10"/>
        <v>男</v>
      </c>
      <c r="S139" s="26" t="s">
        <v>3984</v>
      </c>
      <c r="T139" s="28" t="str">
        <f t="shared" si="11"/>
        <v>1995-12-26</v>
      </c>
      <c r="U139" s="25">
        <f t="shared" ca="1" si="14"/>
        <v>30</v>
      </c>
      <c r="V139" s="25">
        <v>18314533574</v>
      </c>
      <c r="W139" s="28">
        <v>43282</v>
      </c>
      <c r="X139" s="36">
        <v>43282</v>
      </c>
      <c r="Y139" s="29" t="str">
        <f t="shared" ca="1" si="12"/>
        <v>7年9个月</v>
      </c>
      <c r="Z139" s="36"/>
      <c r="AA139" s="26" t="str">
        <f t="shared" ca="1" si="13"/>
        <v>7年9个月</v>
      </c>
      <c r="AB139" s="25" t="s">
        <v>4034</v>
      </c>
      <c r="AC139" s="25" t="s">
        <v>119</v>
      </c>
      <c r="AD139" s="26" t="s">
        <v>4035</v>
      </c>
      <c r="AE139" s="25"/>
      <c r="AF139" s="25"/>
      <c r="AG139" s="27"/>
      <c r="AH139" s="25"/>
      <c r="AI139" s="25"/>
      <c r="AJ139" s="25"/>
      <c r="AK139" s="27"/>
      <c r="AL139" s="25" t="s">
        <v>305</v>
      </c>
      <c r="AM139" s="25"/>
      <c r="AN139" s="27" t="s">
        <v>4039</v>
      </c>
      <c r="AO139" s="25" t="s">
        <v>5110</v>
      </c>
      <c r="AP139" s="27" t="s">
        <v>5111</v>
      </c>
      <c r="AQ139" s="25"/>
      <c r="AR139" s="25" t="s">
        <v>4238</v>
      </c>
      <c r="AS139" s="26" t="s">
        <v>3990</v>
      </c>
      <c r="AT139" s="26" t="s">
        <v>601</v>
      </c>
      <c r="AU139" s="26" t="s">
        <v>5112</v>
      </c>
      <c r="AV139" s="26" t="s">
        <v>1895</v>
      </c>
      <c r="AW139" s="30">
        <v>47695</v>
      </c>
      <c r="AX139" s="36">
        <v>43282</v>
      </c>
      <c r="AY139" s="36">
        <v>43646</v>
      </c>
      <c r="AZ139" s="36">
        <v>44773</v>
      </c>
      <c r="BA139" s="36">
        <v>45869</v>
      </c>
      <c r="BB139" s="36">
        <v>47695</v>
      </c>
      <c r="BC139" s="26"/>
      <c r="BD139" s="26"/>
      <c r="BE139" s="26"/>
      <c r="BF139" s="26"/>
      <c r="BG139" s="26"/>
      <c r="BH139" s="26"/>
      <c r="BI139" s="26"/>
    </row>
    <row r="140" spans="1:61" ht="15.6" x14ac:dyDescent="0.25">
      <c r="A140" s="25">
        <v>138</v>
      </c>
      <c r="B140" s="26" t="s">
        <v>5113</v>
      </c>
      <c r="C140" s="25" t="s">
        <v>4002</v>
      </c>
      <c r="D140" s="26" t="s">
        <v>3975</v>
      </c>
      <c r="E140" s="26" t="s">
        <v>3975</v>
      </c>
      <c r="F140" s="25" t="s">
        <v>1380</v>
      </c>
      <c r="G140" s="26"/>
      <c r="H140" s="25"/>
      <c r="I140" s="25" t="s">
        <v>5093</v>
      </c>
      <c r="J140" s="25" t="s">
        <v>1379</v>
      </c>
      <c r="K140" s="25" t="s">
        <v>556</v>
      </c>
      <c r="L140" s="25" t="s">
        <v>4298</v>
      </c>
      <c r="M140" s="25" t="s">
        <v>4029</v>
      </c>
      <c r="N140" s="35" t="s">
        <v>5114</v>
      </c>
      <c r="O140" s="35" t="s">
        <v>4031</v>
      </c>
      <c r="P140" s="36">
        <v>43523</v>
      </c>
      <c r="Q140" s="36">
        <v>47176</v>
      </c>
      <c r="R140" s="25" t="str">
        <f t="shared" si="10"/>
        <v>男</v>
      </c>
      <c r="S140" s="26" t="s">
        <v>3984</v>
      </c>
      <c r="T140" s="28" t="str">
        <f t="shared" si="11"/>
        <v>1998-10-22</v>
      </c>
      <c r="U140" s="25">
        <f t="shared" ca="1" si="14"/>
        <v>27</v>
      </c>
      <c r="V140" s="25">
        <v>15925156455</v>
      </c>
      <c r="W140" s="28">
        <v>43545</v>
      </c>
      <c r="X140" s="36">
        <v>43545</v>
      </c>
      <c r="Y140" s="29" t="str">
        <f t="shared" ca="1" si="12"/>
        <v>7年0个月</v>
      </c>
      <c r="Z140" s="36"/>
      <c r="AA140" s="26" t="str">
        <f t="shared" ca="1" si="13"/>
        <v>7年0个月</v>
      </c>
      <c r="AB140" s="25" t="s">
        <v>4034</v>
      </c>
      <c r="AC140" s="25" t="s">
        <v>272</v>
      </c>
      <c r="AD140" s="26" t="s">
        <v>4035</v>
      </c>
      <c r="AE140" s="25"/>
      <c r="AF140" s="25"/>
      <c r="AG140" s="27"/>
      <c r="AH140" s="25"/>
      <c r="AI140" s="25"/>
      <c r="AJ140" s="25"/>
      <c r="AK140" s="27"/>
      <c r="AL140" s="25" t="s">
        <v>81</v>
      </c>
      <c r="AM140" s="25" t="s">
        <v>4038</v>
      </c>
      <c r="AN140" s="27" t="s">
        <v>4039</v>
      </c>
      <c r="AO140" s="25" t="s">
        <v>4425</v>
      </c>
      <c r="AP140" s="27" t="s">
        <v>5115</v>
      </c>
      <c r="AQ140" s="25"/>
      <c r="AR140" s="25" t="s">
        <v>5116</v>
      </c>
      <c r="AS140" s="26" t="s">
        <v>3990</v>
      </c>
      <c r="AT140" s="26" t="s">
        <v>4043</v>
      </c>
      <c r="AU140" s="26" t="s">
        <v>5117</v>
      </c>
      <c r="AV140" s="26" t="s">
        <v>5118</v>
      </c>
      <c r="AW140" s="30">
        <v>46965</v>
      </c>
      <c r="AX140" s="36">
        <v>43545</v>
      </c>
      <c r="AY140" s="36">
        <v>43910</v>
      </c>
      <c r="AZ140" s="36">
        <v>45138</v>
      </c>
      <c r="BA140" s="36">
        <v>46965</v>
      </c>
      <c r="BB140" s="26"/>
      <c r="BC140" s="26"/>
      <c r="BD140" s="26"/>
      <c r="BE140" s="26"/>
      <c r="BF140" s="26"/>
      <c r="BG140" s="26"/>
      <c r="BH140" s="26"/>
      <c r="BI140" s="26"/>
    </row>
    <row r="141" spans="1:61" ht="15.6" x14ac:dyDescent="0.25">
      <c r="A141" s="25">
        <v>139</v>
      </c>
      <c r="B141" s="26" t="s">
        <v>5119</v>
      </c>
      <c r="C141" s="25" t="s">
        <v>4002</v>
      </c>
      <c r="D141" s="26" t="s">
        <v>3975</v>
      </c>
      <c r="E141" s="26" t="s">
        <v>3975</v>
      </c>
      <c r="F141" s="25" t="s">
        <v>1380</v>
      </c>
      <c r="G141" s="26"/>
      <c r="H141" s="25"/>
      <c r="I141" s="25" t="s">
        <v>5093</v>
      </c>
      <c r="J141" s="25" t="s">
        <v>1379</v>
      </c>
      <c r="K141" s="25" t="s">
        <v>556</v>
      </c>
      <c r="L141" s="25" t="s">
        <v>4298</v>
      </c>
      <c r="M141" s="25" t="s">
        <v>4029</v>
      </c>
      <c r="N141" s="35" t="s">
        <v>5120</v>
      </c>
      <c r="O141" s="35" t="s">
        <v>4031</v>
      </c>
      <c r="P141" s="36">
        <v>44575</v>
      </c>
      <c r="Q141" s="36">
        <v>51880</v>
      </c>
      <c r="R141" s="25" t="str">
        <f t="shared" si="10"/>
        <v>男</v>
      </c>
      <c r="S141" s="26" t="s">
        <v>3984</v>
      </c>
      <c r="T141" s="28" t="str">
        <f t="shared" si="11"/>
        <v>1995-10-17</v>
      </c>
      <c r="U141" s="25">
        <f t="shared" ca="1" si="14"/>
        <v>30</v>
      </c>
      <c r="V141" s="25">
        <v>13312509083</v>
      </c>
      <c r="W141" s="28">
        <v>44986</v>
      </c>
      <c r="X141" s="36">
        <v>44986</v>
      </c>
      <c r="Y141" s="29" t="str">
        <f t="shared" ca="1" si="12"/>
        <v>3年1个月</v>
      </c>
      <c r="Z141" s="36" t="s">
        <v>5121</v>
      </c>
      <c r="AA141" s="26" t="str">
        <f t="shared" ca="1" si="13"/>
        <v>9年4个月</v>
      </c>
      <c r="AB141" s="25" t="s">
        <v>29</v>
      </c>
      <c r="AC141" s="25" t="s">
        <v>28</v>
      </c>
      <c r="AD141" s="26" t="s">
        <v>4035</v>
      </c>
      <c r="AE141" s="25"/>
      <c r="AF141" s="25"/>
      <c r="AG141" s="27"/>
      <c r="AH141" s="25"/>
      <c r="AI141" s="25"/>
      <c r="AJ141" s="25"/>
      <c r="AK141" s="27"/>
      <c r="AL141" s="25" t="s">
        <v>305</v>
      </c>
      <c r="AM141" s="25"/>
      <c r="AN141" s="27" t="s">
        <v>4039</v>
      </c>
      <c r="AO141" s="25" t="s">
        <v>5122</v>
      </c>
      <c r="AP141" s="27" t="s">
        <v>5123</v>
      </c>
      <c r="AQ141" s="25"/>
      <c r="AR141" s="25" t="s">
        <v>5124</v>
      </c>
      <c r="AS141" s="26" t="s">
        <v>3990</v>
      </c>
      <c r="AT141" s="26" t="s">
        <v>4043</v>
      </c>
      <c r="AU141" s="26" t="s">
        <v>5125</v>
      </c>
      <c r="AV141" s="26" t="s">
        <v>5125</v>
      </c>
      <c r="AW141" s="39">
        <v>46599</v>
      </c>
      <c r="AX141" s="36">
        <v>44986</v>
      </c>
      <c r="AY141" s="36">
        <v>45351</v>
      </c>
      <c r="AZ141" s="36">
        <v>46599</v>
      </c>
      <c r="BA141" s="26"/>
      <c r="BB141" s="26"/>
      <c r="BC141" s="26"/>
      <c r="BD141" s="26"/>
      <c r="BE141" s="26"/>
      <c r="BF141" s="26"/>
      <c r="BG141" s="26"/>
      <c r="BH141" s="26"/>
      <c r="BI141" s="26"/>
    </row>
    <row r="142" spans="1:61" ht="15.6" x14ac:dyDescent="0.25">
      <c r="A142" s="25">
        <v>140</v>
      </c>
      <c r="B142" s="25" t="s">
        <v>5126</v>
      </c>
      <c r="C142" s="25" t="s">
        <v>4002</v>
      </c>
      <c r="D142" s="26" t="s">
        <v>3975</v>
      </c>
      <c r="E142" s="26" t="s">
        <v>3975</v>
      </c>
      <c r="F142" s="25" t="s">
        <v>1967</v>
      </c>
      <c r="G142" s="25"/>
      <c r="H142" s="25"/>
      <c r="I142" s="25"/>
      <c r="J142" s="25" t="s">
        <v>5127</v>
      </c>
      <c r="K142" s="25" t="s">
        <v>676</v>
      </c>
      <c r="L142" s="25" t="s">
        <v>4071</v>
      </c>
      <c r="M142" s="25" t="s">
        <v>4017</v>
      </c>
      <c r="N142" s="25" t="s">
        <v>3234</v>
      </c>
      <c r="O142" s="25" t="s">
        <v>4073</v>
      </c>
      <c r="P142" s="28">
        <v>43187</v>
      </c>
      <c r="Q142" s="28">
        <v>50492</v>
      </c>
      <c r="R142" s="25" t="str">
        <f t="shared" si="10"/>
        <v>男</v>
      </c>
      <c r="S142" s="25" t="s">
        <v>3984</v>
      </c>
      <c r="T142" s="28" t="str">
        <f t="shared" si="11"/>
        <v>1982-12-11</v>
      </c>
      <c r="U142" s="25">
        <f t="shared" ca="1" si="14"/>
        <v>43</v>
      </c>
      <c r="V142" s="25">
        <v>13987623110</v>
      </c>
      <c r="W142" s="28">
        <v>39734</v>
      </c>
      <c r="X142" s="28">
        <v>39734</v>
      </c>
      <c r="Y142" s="29" t="str">
        <f t="shared" ca="1" si="12"/>
        <v>17年6个月</v>
      </c>
      <c r="Z142" s="25"/>
      <c r="AA142" s="26" t="str">
        <f t="shared" ca="1" si="13"/>
        <v>17年6个月</v>
      </c>
      <c r="AB142" s="25" t="s">
        <v>29</v>
      </c>
      <c r="AC142" s="25" t="s">
        <v>3985</v>
      </c>
      <c r="AD142" s="25" t="s">
        <v>3986</v>
      </c>
      <c r="AE142" s="25"/>
      <c r="AF142" s="25"/>
      <c r="AG142" s="27"/>
      <c r="AH142" s="25"/>
      <c r="AI142" s="25"/>
      <c r="AJ142" s="25"/>
      <c r="AK142" s="27"/>
      <c r="AL142" s="25" t="s">
        <v>81</v>
      </c>
      <c r="AM142" s="25" t="s">
        <v>3987</v>
      </c>
      <c r="AN142" s="27" t="s">
        <v>5128</v>
      </c>
      <c r="AO142" s="25" t="s">
        <v>4787</v>
      </c>
      <c r="AP142" s="27" t="s">
        <v>5129</v>
      </c>
      <c r="AQ142" s="25">
        <v>211</v>
      </c>
      <c r="AR142" s="25" t="s">
        <v>5130</v>
      </c>
      <c r="AS142" s="26" t="s">
        <v>4011</v>
      </c>
      <c r="AT142" s="25" t="s">
        <v>415</v>
      </c>
      <c r="AU142" s="25" t="s">
        <v>5131</v>
      </c>
      <c r="AV142" s="25" t="s">
        <v>3230</v>
      </c>
      <c r="AW142" s="30" t="s">
        <v>3991</v>
      </c>
      <c r="AX142" s="28">
        <v>41640</v>
      </c>
      <c r="AY142" s="25" t="s">
        <v>3991</v>
      </c>
      <c r="AZ142" s="28"/>
      <c r="BA142" s="28"/>
      <c r="BB142" s="28"/>
      <c r="BC142" s="25"/>
      <c r="BD142" s="25"/>
      <c r="BE142" s="25"/>
      <c r="BF142" s="25"/>
      <c r="BG142" s="25"/>
      <c r="BH142" s="25"/>
      <c r="BI142" s="27"/>
    </row>
    <row r="143" spans="1:61" ht="15.6" x14ac:dyDescent="0.25">
      <c r="A143" s="25">
        <v>141</v>
      </c>
      <c r="B143" s="25" t="s">
        <v>5132</v>
      </c>
      <c r="C143" s="25" t="s">
        <v>4002</v>
      </c>
      <c r="D143" s="26" t="s">
        <v>3975</v>
      </c>
      <c r="E143" s="26" t="s">
        <v>3975</v>
      </c>
      <c r="F143" s="25" t="s">
        <v>1967</v>
      </c>
      <c r="G143" s="25"/>
      <c r="H143" s="25"/>
      <c r="I143" s="25"/>
      <c r="J143" s="25" t="s">
        <v>4624</v>
      </c>
      <c r="K143" s="25" t="s">
        <v>399</v>
      </c>
      <c r="L143" s="25" t="s">
        <v>4625</v>
      </c>
      <c r="M143" s="25" t="s">
        <v>4029</v>
      </c>
      <c r="N143" s="27" t="s">
        <v>5133</v>
      </c>
      <c r="O143" s="27" t="s">
        <v>4552</v>
      </c>
      <c r="P143" s="28">
        <v>42271</v>
      </c>
      <c r="Q143" s="28">
        <v>49576</v>
      </c>
      <c r="R143" s="25" t="str">
        <f t="shared" si="10"/>
        <v>男</v>
      </c>
      <c r="S143" s="25" t="s">
        <v>3984</v>
      </c>
      <c r="T143" s="28" t="str">
        <f t="shared" si="11"/>
        <v>1989-05-22</v>
      </c>
      <c r="U143" s="25">
        <f t="shared" ca="1" si="14"/>
        <v>36</v>
      </c>
      <c r="V143" s="25">
        <v>13529380749</v>
      </c>
      <c r="W143" s="28">
        <v>41414</v>
      </c>
      <c r="X143" s="28">
        <v>41414</v>
      </c>
      <c r="Y143" s="29" t="str">
        <f t="shared" ca="1" si="12"/>
        <v>12年10个月</v>
      </c>
      <c r="Z143" s="25" t="s">
        <v>4327</v>
      </c>
      <c r="AA143" s="26" t="str">
        <f t="shared" ca="1" si="13"/>
        <v>13年10个月</v>
      </c>
      <c r="AB143" s="25" t="s">
        <v>29</v>
      </c>
      <c r="AC143" s="25" t="s">
        <v>3985</v>
      </c>
      <c r="AD143" s="25" t="s">
        <v>3986</v>
      </c>
      <c r="AE143" s="25"/>
      <c r="AF143" s="25"/>
      <c r="AG143" s="27"/>
      <c r="AH143" s="25"/>
      <c r="AI143" s="25"/>
      <c r="AJ143" s="25"/>
      <c r="AK143" s="27"/>
      <c r="AL143" s="25" t="s">
        <v>81</v>
      </c>
      <c r="AM143" s="25" t="s">
        <v>3987</v>
      </c>
      <c r="AN143" s="27" t="s">
        <v>5134</v>
      </c>
      <c r="AO143" s="25" t="s">
        <v>4062</v>
      </c>
      <c r="AP143" s="27" t="s">
        <v>5135</v>
      </c>
      <c r="AQ143" s="25"/>
      <c r="AR143" s="25" t="s">
        <v>5130</v>
      </c>
      <c r="AS143" s="26" t="s">
        <v>4011</v>
      </c>
      <c r="AT143" s="25" t="s">
        <v>4487</v>
      </c>
      <c r="AU143" s="25" t="s">
        <v>5136</v>
      </c>
      <c r="AV143" s="25" t="s">
        <v>5137</v>
      </c>
      <c r="AW143" s="30" t="s">
        <v>4000</v>
      </c>
      <c r="AX143" s="28">
        <v>41414</v>
      </c>
      <c r="AY143" s="28">
        <v>42509</v>
      </c>
      <c r="AZ143" s="28">
        <v>43603</v>
      </c>
      <c r="BA143" s="28">
        <v>44773</v>
      </c>
      <c r="BB143" s="28" t="s">
        <v>4000</v>
      </c>
      <c r="BC143" s="25"/>
      <c r="BD143" s="25"/>
      <c r="BE143" s="25"/>
      <c r="BF143" s="25"/>
      <c r="BG143" s="25"/>
      <c r="BH143" s="25"/>
      <c r="BI143" s="27"/>
    </row>
    <row r="144" spans="1:61" ht="15.6" x14ac:dyDescent="0.25">
      <c r="A144" s="25">
        <v>142</v>
      </c>
      <c r="B144" s="25" t="s">
        <v>5138</v>
      </c>
      <c r="C144" s="25" t="s">
        <v>4002</v>
      </c>
      <c r="D144" s="26" t="s">
        <v>3975</v>
      </c>
      <c r="E144" s="26" t="s">
        <v>3975</v>
      </c>
      <c r="F144" s="25" t="s">
        <v>1967</v>
      </c>
      <c r="G144" s="25"/>
      <c r="H144" s="25"/>
      <c r="I144" s="25"/>
      <c r="J144" s="25" t="s">
        <v>4624</v>
      </c>
      <c r="K144" s="25" t="s">
        <v>399</v>
      </c>
      <c r="L144" s="25" t="s">
        <v>4625</v>
      </c>
      <c r="M144" s="25" t="s">
        <v>4029</v>
      </c>
      <c r="N144" s="27" t="s">
        <v>5139</v>
      </c>
      <c r="O144" s="27" t="s">
        <v>4073</v>
      </c>
      <c r="P144" s="28">
        <v>44921</v>
      </c>
      <c r="Q144" s="28">
        <v>52226</v>
      </c>
      <c r="R144" s="25" t="str">
        <f t="shared" si="10"/>
        <v>女</v>
      </c>
      <c r="S144" s="25" t="s">
        <v>3984</v>
      </c>
      <c r="T144" s="28" t="str">
        <f t="shared" si="11"/>
        <v>1989-06-17</v>
      </c>
      <c r="U144" s="25">
        <f t="shared" ca="1" si="14"/>
        <v>36</v>
      </c>
      <c r="V144" s="25">
        <v>18669083435</v>
      </c>
      <c r="W144" s="28">
        <v>41091</v>
      </c>
      <c r="X144" s="28">
        <v>41091</v>
      </c>
      <c r="Y144" s="29" t="str">
        <f t="shared" ca="1" si="12"/>
        <v>13年9个月</v>
      </c>
      <c r="Z144" s="25"/>
      <c r="AA144" s="26" t="str">
        <f t="shared" ca="1" si="13"/>
        <v>13年9个月</v>
      </c>
      <c r="AB144" s="25" t="s">
        <v>253</v>
      </c>
      <c r="AC144" s="25" t="s">
        <v>3985</v>
      </c>
      <c r="AD144" s="25" t="s">
        <v>4035</v>
      </c>
      <c r="AE144" s="33"/>
      <c r="AF144" s="33"/>
      <c r="AG144" s="34"/>
      <c r="AH144" s="25" t="s">
        <v>4102</v>
      </c>
      <c r="AI144" s="25" t="s">
        <v>1965</v>
      </c>
      <c r="AJ144" s="25" t="s">
        <v>1012</v>
      </c>
      <c r="AK144" s="27" t="s">
        <v>3890</v>
      </c>
      <c r="AL144" s="25" t="s">
        <v>81</v>
      </c>
      <c r="AM144" s="25" t="s">
        <v>3987</v>
      </c>
      <c r="AN144" s="27" t="s">
        <v>5140</v>
      </c>
      <c r="AO144" s="25" t="s">
        <v>5141</v>
      </c>
      <c r="AP144" s="27" t="s">
        <v>5142</v>
      </c>
      <c r="AQ144" s="25"/>
      <c r="AR144" s="25" t="s">
        <v>5130</v>
      </c>
      <c r="AS144" s="26" t="s">
        <v>4011</v>
      </c>
      <c r="AT144" s="25" t="s">
        <v>1458</v>
      </c>
      <c r="AU144" s="25" t="s">
        <v>5143</v>
      </c>
      <c r="AV144" s="25" t="s">
        <v>5144</v>
      </c>
      <c r="AW144" s="30">
        <v>46234</v>
      </c>
      <c r="AX144" s="28">
        <v>41091</v>
      </c>
      <c r="AY144" s="28">
        <v>41455</v>
      </c>
      <c r="AZ144" s="28">
        <v>43281</v>
      </c>
      <c r="BA144" s="28">
        <v>44408</v>
      </c>
      <c r="BB144" s="28">
        <v>46234</v>
      </c>
      <c r="BC144" s="25"/>
      <c r="BD144" s="25"/>
      <c r="BE144" s="25"/>
      <c r="BF144" s="25"/>
      <c r="BG144" s="25"/>
      <c r="BH144" s="25"/>
      <c r="BI144" s="27"/>
    </row>
    <row r="145" spans="1:61" ht="15.6" x14ac:dyDescent="0.25">
      <c r="A145" s="25">
        <v>143</v>
      </c>
      <c r="B145" s="25" t="s">
        <v>5145</v>
      </c>
      <c r="C145" s="25" t="s">
        <v>4002</v>
      </c>
      <c r="D145" s="26" t="s">
        <v>3975</v>
      </c>
      <c r="E145" s="26" t="s">
        <v>3975</v>
      </c>
      <c r="F145" s="25" t="s">
        <v>1967</v>
      </c>
      <c r="G145" s="25"/>
      <c r="H145" s="25"/>
      <c r="I145" s="25"/>
      <c r="J145" s="25" t="s">
        <v>4624</v>
      </c>
      <c r="K145" s="25" t="s">
        <v>399</v>
      </c>
      <c r="L145" s="25" t="s">
        <v>4625</v>
      </c>
      <c r="M145" s="25" t="s">
        <v>4029</v>
      </c>
      <c r="N145" s="27" t="s">
        <v>5146</v>
      </c>
      <c r="O145" s="27" t="s">
        <v>5147</v>
      </c>
      <c r="P145" s="28">
        <v>42534</v>
      </c>
      <c r="Q145" s="28">
        <v>46186</v>
      </c>
      <c r="R145" s="25" t="str">
        <f t="shared" si="10"/>
        <v>男</v>
      </c>
      <c r="S145" s="25" t="s">
        <v>3984</v>
      </c>
      <c r="T145" s="28" t="str">
        <f t="shared" si="11"/>
        <v>1995-07-26</v>
      </c>
      <c r="U145" s="25">
        <f t="shared" ca="1" si="14"/>
        <v>30</v>
      </c>
      <c r="V145" s="25">
        <v>18087757926</v>
      </c>
      <c r="W145" s="28">
        <v>42917</v>
      </c>
      <c r="X145" s="28">
        <v>42917</v>
      </c>
      <c r="Y145" s="29" t="str">
        <f t="shared" ca="1" si="12"/>
        <v>8年9个月</v>
      </c>
      <c r="Z145" s="25"/>
      <c r="AA145" s="26" t="str">
        <f t="shared" ca="1" si="13"/>
        <v>8年9个月</v>
      </c>
      <c r="AB145" s="25" t="s">
        <v>29</v>
      </c>
      <c r="AC145" s="25" t="s">
        <v>3985</v>
      </c>
      <c r="AD145" s="25" t="s">
        <v>3986</v>
      </c>
      <c r="AE145" s="33"/>
      <c r="AF145" s="33"/>
      <c r="AG145" s="34"/>
      <c r="AH145" s="25" t="s">
        <v>4102</v>
      </c>
      <c r="AI145" s="25" t="s">
        <v>1965</v>
      </c>
      <c r="AJ145" s="25" t="s">
        <v>1012</v>
      </c>
      <c r="AK145" s="27" t="s">
        <v>5148</v>
      </c>
      <c r="AL145" s="25" t="s">
        <v>81</v>
      </c>
      <c r="AM145" s="25" t="s">
        <v>3987</v>
      </c>
      <c r="AN145" s="27" t="s">
        <v>5149</v>
      </c>
      <c r="AO145" s="25" t="s">
        <v>4787</v>
      </c>
      <c r="AP145" s="27" t="s">
        <v>5150</v>
      </c>
      <c r="AQ145" s="25">
        <v>211</v>
      </c>
      <c r="AR145" s="25" t="s">
        <v>4639</v>
      </c>
      <c r="AS145" s="26" t="s">
        <v>4011</v>
      </c>
      <c r="AT145" s="25" t="s">
        <v>4711</v>
      </c>
      <c r="AU145" s="25" t="s">
        <v>5151</v>
      </c>
      <c r="AV145" s="25" t="s">
        <v>5152</v>
      </c>
      <c r="AW145" s="30" t="s">
        <v>4000</v>
      </c>
      <c r="AX145" s="28">
        <v>42917</v>
      </c>
      <c r="AY145" s="28">
        <v>43312</v>
      </c>
      <c r="AZ145" s="28">
        <v>44408</v>
      </c>
      <c r="BA145" s="28">
        <v>45504</v>
      </c>
      <c r="BB145" s="28" t="s">
        <v>4000</v>
      </c>
      <c r="BC145" s="25"/>
      <c r="BD145" s="25"/>
      <c r="BE145" s="25"/>
      <c r="BF145" s="25"/>
      <c r="BG145" s="25"/>
      <c r="BH145" s="25"/>
      <c r="BI145" s="27"/>
    </row>
    <row r="146" spans="1:61" ht="15.6" x14ac:dyDescent="0.25">
      <c r="A146" s="25">
        <v>144</v>
      </c>
      <c r="B146" s="25" t="s">
        <v>5153</v>
      </c>
      <c r="C146" s="25" t="s">
        <v>4002</v>
      </c>
      <c r="D146" s="26" t="s">
        <v>3975</v>
      </c>
      <c r="E146" s="26" t="s">
        <v>3975</v>
      </c>
      <c r="F146" s="25" t="s">
        <v>1967</v>
      </c>
      <c r="G146" s="25"/>
      <c r="H146" s="25"/>
      <c r="I146" s="25"/>
      <c r="J146" s="25" t="s">
        <v>4624</v>
      </c>
      <c r="K146" s="25" t="s">
        <v>399</v>
      </c>
      <c r="L146" s="25" t="s">
        <v>4625</v>
      </c>
      <c r="M146" s="25" t="s">
        <v>4029</v>
      </c>
      <c r="N146" s="27" t="s">
        <v>5154</v>
      </c>
      <c r="O146" s="27" t="s">
        <v>5155</v>
      </c>
      <c r="P146" s="28">
        <v>45275</v>
      </c>
      <c r="Q146" s="28">
        <v>52580</v>
      </c>
      <c r="R146" s="25" t="str">
        <f t="shared" si="10"/>
        <v>女</v>
      </c>
      <c r="S146" s="25" t="s">
        <v>3984</v>
      </c>
      <c r="T146" s="28" t="str">
        <f t="shared" si="11"/>
        <v>1994-11-22</v>
      </c>
      <c r="U146" s="25">
        <f t="shared" ca="1" si="14"/>
        <v>31</v>
      </c>
      <c r="V146" s="25">
        <v>18487131061</v>
      </c>
      <c r="W146" s="28">
        <v>42917</v>
      </c>
      <c r="X146" s="28">
        <v>42917</v>
      </c>
      <c r="Y146" s="29" t="str">
        <f t="shared" ca="1" si="12"/>
        <v>8年9个月</v>
      </c>
      <c r="Z146" s="25"/>
      <c r="AA146" s="26" t="str">
        <f t="shared" ca="1" si="13"/>
        <v>8年9个月</v>
      </c>
      <c r="AB146" s="25" t="s">
        <v>4049</v>
      </c>
      <c r="AC146" s="25" t="s">
        <v>119</v>
      </c>
      <c r="AD146" s="25" t="s">
        <v>4035</v>
      </c>
      <c r="AE146" s="25"/>
      <c r="AF146" s="25"/>
      <c r="AG146" s="27"/>
      <c r="AH146" s="25"/>
      <c r="AI146" s="25"/>
      <c r="AJ146" s="25"/>
      <c r="AK146" s="27"/>
      <c r="AL146" s="25" t="s">
        <v>81</v>
      </c>
      <c r="AM146" s="25" t="s">
        <v>3987</v>
      </c>
      <c r="AN146" s="27" t="s">
        <v>5156</v>
      </c>
      <c r="AO146" s="25" t="s">
        <v>4196</v>
      </c>
      <c r="AP146" s="27" t="s">
        <v>5157</v>
      </c>
      <c r="AQ146" s="25"/>
      <c r="AR146" s="25" t="s">
        <v>5130</v>
      </c>
      <c r="AS146" s="26" t="s">
        <v>4011</v>
      </c>
      <c r="AT146" s="25" t="s">
        <v>4527</v>
      </c>
      <c r="AU146" s="25" t="s">
        <v>5158</v>
      </c>
      <c r="AV146" s="25" t="s">
        <v>4790</v>
      </c>
      <c r="AW146" s="30" t="s">
        <v>4000</v>
      </c>
      <c r="AX146" s="28">
        <v>42917</v>
      </c>
      <c r="AY146" s="28">
        <v>43312</v>
      </c>
      <c r="AZ146" s="28">
        <v>44408</v>
      </c>
      <c r="BA146" s="28">
        <v>45504</v>
      </c>
      <c r="BB146" s="28" t="s">
        <v>4000</v>
      </c>
      <c r="BC146" s="25"/>
      <c r="BD146" s="25"/>
      <c r="BE146" s="25"/>
      <c r="BF146" s="25"/>
      <c r="BG146" s="25"/>
      <c r="BH146" s="25"/>
      <c r="BI146" s="27"/>
    </row>
    <row r="147" spans="1:61" ht="15.6" x14ac:dyDescent="0.25">
      <c r="A147" s="25">
        <v>145</v>
      </c>
      <c r="B147" s="25" t="s">
        <v>5159</v>
      </c>
      <c r="C147" s="25" t="s">
        <v>4002</v>
      </c>
      <c r="D147" s="26" t="s">
        <v>3975</v>
      </c>
      <c r="E147" s="26" t="s">
        <v>3975</v>
      </c>
      <c r="F147" s="25" t="s">
        <v>1967</v>
      </c>
      <c r="G147" s="25"/>
      <c r="H147" s="25"/>
      <c r="I147" s="25"/>
      <c r="J147" s="25" t="s">
        <v>5160</v>
      </c>
      <c r="K147" s="25" t="s">
        <v>399</v>
      </c>
      <c r="L147" s="25" t="s">
        <v>5161</v>
      </c>
      <c r="M147" s="25" t="s">
        <v>4029</v>
      </c>
      <c r="N147" s="27" t="s">
        <v>5162</v>
      </c>
      <c r="O147" s="27" t="s">
        <v>5163</v>
      </c>
      <c r="P147" s="28">
        <v>42760</v>
      </c>
      <c r="Q147" s="28">
        <v>50065</v>
      </c>
      <c r="R147" s="25" t="str">
        <f t="shared" si="10"/>
        <v>男</v>
      </c>
      <c r="S147" s="25" t="s">
        <v>3984</v>
      </c>
      <c r="T147" s="28" t="str">
        <f t="shared" si="11"/>
        <v>1983-05-10</v>
      </c>
      <c r="U147" s="25">
        <f t="shared" ca="1" si="14"/>
        <v>42</v>
      </c>
      <c r="V147" s="25">
        <v>15887110522</v>
      </c>
      <c r="W147" s="28">
        <v>39178</v>
      </c>
      <c r="X147" s="28">
        <v>39178</v>
      </c>
      <c r="Y147" s="29" t="str">
        <f t="shared" ca="1" si="12"/>
        <v>19年0个月</v>
      </c>
      <c r="Z147" s="25" t="s">
        <v>5164</v>
      </c>
      <c r="AA147" s="26" t="str">
        <f t="shared" ca="1" si="13"/>
        <v>23年10个月</v>
      </c>
      <c r="AB147" s="25" t="s">
        <v>29</v>
      </c>
      <c r="AC147" s="25" t="s">
        <v>3985</v>
      </c>
      <c r="AD147" s="25" t="s">
        <v>4035</v>
      </c>
      <c r="AE147" s="25" t="s">
        <v>692</v>
      </c>
      <c r="AF147" s="25" t="s">
        <v>437</v>
      </c>
      <c r="AG147" s="27" t="s">
        <v>3891</v>
      </c>
      <c r="AH147" s="25"/>
      <c r="AI147" s="25"/>
      <c r="AJ147" s="25"/>
      <c r="AK147" s="27"/>
      <c r="AL147" s="25" t="s">
        <v>305</v>
      </c>
      <c r="AM147" s="25"/>
      <c r="AN147" s="27" t="s">
        <v>4039</v>
      </c>
      <c r="AO147" s="25" t="s">
        <v>4787</v>
      </c>
      <c r="AP147" s="27" t="s">
        <v>5165</v>
      </c>
      <c r="AQ147" s="25"/>
      <c r="AR147" s="25" t="s">
        <v>4569</v>
      </c>
      <c r="AS147" s="26" t="s">
        <v>4011</v>
      </c>
      <c r="AT147" s="25" t="s">
        <v>3423</v>
      </c>
      <c r="AU147" s="25" t="s">
        <v>3424</v>
      </c>
      <c r="AV147" s="25" t="s">
        <v>5166</v>
      </c>
      <c r="AW147" s="30" t="s">
        <v>3991</v>
      </c>
      <c r="AX147" s="45">
        <v>39234</v>
      </c>
      <c r="AY147" s="28">
        <v>39965</v>
      </c>
      <c r="AZ147" s="28">
        <v>41791</v>
      </c>
      <c r="BA147" s="28">
        <v>42156</v>
      </c>
      <c r="BB147" s="28">
        <v>43312</v>
      </c>
      <c r="BC147" s="28">
        <v>45138</v>
      </c>
      <c r="BD147" s="25" t="s">
        <v>3991</v>
      </c>
      <c r="BE147" s="25"/>
      <c r="BF147" s="25"/>
      <c r="BG147" s="25"/>
      <c r="BH147" s="25"/>
      <c r="BI147" s="27"/>
    </row>
    <row r="148" spans="1:61" ht="15.6" x14ac:dyDescent="0.25">
      <c r="A148" s="25">
        <v>146</v>
      </c>
      <c r="B148" s="26" t="s">
        <v>5167</v>
      </c>
      <c r="C148" s="26" t="s">
        <v>3974</v>
      </c>
      <c r="D148" s="26" t="s">
        <v>3975</v>
      </c>
      <c r="E148" s="26" t="s">
        <v>3975</v>
      </c>
      <c r="F148" s="25" t="s">
        <v>1967</v>
      </c>
      <c r="G148" s="25"/>
      <c r="H148" s="25"/>
      <c r="I148" s="25"/>
      <c r="J148" s="25" t="s">
        <v>5160</v>
      </c>
      <c r="K148" s="25" t="s">
        <v>399</v>
      </c>
      <c r="L148" s="25" t="s">
        <v>5161</v>
      </c>
      <c r="M148" s="25" t="s">
        <v>4029</v>
      </c>
      <c r="N148" s="35" t="s">
        <v>5168</v>
      </c>
      <c r="O148" s="35" t="s">
        <v>4019</v>
      </c>
      <c r="P148" s="36">
        <v>42849</v>
      </c>
      <c r="Q148" s="36" t="s">
        <v>3983</v>
      </c>
      <c r="R148" s="25" t="str">
        <f t="shared" si="10"/>
        <v>女</v>
      </c>
      <c r="S148" s="26" t="s">
        <v>4254</v>
      </c>
      <c r="T148" s="28" t="str">
        <f t="shared" si="11"/>
        <v>1969-09-18</v>
      </c>
      <c r="U148" s="25">
        <f t="shared" ca="1" si="14"/>
        <v>56</v>
      </c>
      <c r="V148" s="25">
        <v>18908893273</v>
      </c>
      <c r="W148" s="28">
        <v>42633</v>
      </c>
      <c r="X148" s="36">
        <v>42633</v>
      </c>
      <c r="Y148" s="29" t="str">
        <f t="shared" ca="1" si="12"/>
        <v>9年6个月</v>
      </c>
      <c r="Z148" s="26" t="s">
        <v>5169</v>
      </c>
      <c r="AA148" s="26" t="str">
        <f t="shared" ca="1" si="13"/>
        <v>35年6个月</v>
      </c>
      <c r="AB148" s="26" t="s">
        <v>4034</v>
      </c>
      <c r="AC148" s="25" t="s">
        <v>3985</v>
      </c>
      <c r="AD148" s="26" t="s">
        <v>3986</v>
      </c>
      <c r="AE148" s="25" t="s">
        <v>2022</v>
      </c>
      <c r="AF148" s="25" t="s">
        <v>1012</v>
      </c>
      <c r="AG148" s="27" t="s">
        <v>3886</v>
      </c>
      <c r="AH148" s="25"/>
      <c r="AI148" s="25"/>
      <c r="AJ148" s="25"/>
      <c r="AK148" s="27"/>
      <c r="AL148" s="25" t="s">
        <v>305</v>
      </c>
      <c r="AM148" s="25"/>
      <c r="AN148" s="27" t="s">
        <v>4039</v>
      </c>
      <c r="AO148" s="26" t="s">
        <v>5170</v>
      </c>
      <c r="AP148" s="35" t="s">
        <v>5171</v>
      </c>
      <c r="AQ148" s="25"/>
      <c r="AR148" s="35" t="s">
        <v>5090</v>
      </c>
      <c r="AS148" s="26" t="s">
        <v>4011</v>
      </c>
      <c r="AT148" s="26" t="s">
        <v>4207</v>
      </c>
      <c r="AU148" s="25" t="s">
        <v>5172</v>
      </c>
      <c r="AV148" s="26" t="s">
        <v>5173</v>
      </c>
      <c r="AW148" s="30">
        <v>46234</v>
      </c>
      <c r="AX148" s="36">
        <v>42633</v>
      </c>
      <c r="AY148" s="36">
        <v>42997</v>
      </c>
      <c r="AZ148" s="36">
        <v>43312</v>
      </c>
      <c r="BA148" s="28">
        <v>43677</v>
      </c>
      <c r="BB148" s="36">
        <v>44043</v>
      </c>
      <c r="BC148" s="36">
        <v>44408</v>
      </c>
      <c r="BD148" s="36">
        <v>44773</v>
      </c>
      <c r="BE148" s="36">
        <v>45138</v>
      </c>
      <c r="BF148" s="36">
        <v>45504</v>
      </c>
      <c r="BG148" s="36">
        <v>45869</v>
      </c>
      <c r="BH148" s="35" t="s">
        <v>5174</v>
      </c>
      <c r="BI148" s="38"/>
    </row>
    <row r="149" spans="1:61" ht="15.6" x14ac:dyDescent="0.25">
      <c r="A149" s="25">
        <v>147</v>
      </c>
      <c r="B149" s="25" t="s">
        <v>5175</v>
      </c>
      <c r="C149" s="25" t="s">
        <v>4002</v>
      </c>
      <c r="D149" s="26" t="s">
        <v>3975</v>
      </c>
      <c r="E149" s="26" t="s">
        <v>3975</v>
      </c>
      <c r="F149" s="25" t="s">
        <v>1967</v>
      </c>
      <c r="G149" s="25"/>
      <c r="H149" s="25"/>
      <c r="I149" s="25"/>
      <c r="J149" s="25" t="s">
        <v>5176</v>
      </c>
      <c r="K149" s="25" t="s">
        <v>399</v>
      </c>
      <c r="L149" s="25" t="s">
        <v>5177</v>
      </c>
      <c r="M149" s="25" t="s">
        <v>4029</v>
      </c>
      <c r="N149" s="27" t="s">
        <v>5178</v>
      </c>
      <c r="O149" s="27" t="s">
        <v>4031</v>
      </c>
      <c r="P149" s="28">
        <v>43963</v>
      </c>
      <c r="Q149" s="28">
        <v>51268</v>
      </c>
      <c r="R149" s="25" t="str">
        <f t="shared" si="10"/>
        <v>女</v>
      </c>
      <c r="S149" s="25" t="s">
        <v>3984</v>
      </c>
      <c r="T149" s="28" t="str">
        <f t="shared" si="11"/>
        <v>1987-03-10</v>
      </c>
      <c r="U149" s="25">
        <f t="shared" ca="1" si="14"/>
        <v>39</v>
      </c>
      <c r="V149" s="25">
        <v>13508805232</v>
      </c>
      <c r="W149" s="28">
        <v>41701</v>
      </c>
      <c r="X149" s="28">
        <v>41701</v>
      </c>
      <c r="Y149" s="29" t="str">
        <f t="shared" ca="1" si="12"/>
        <v>12年1个月</v>
      </c>
      <c r="Z149" s="25" t="s">
        <v>4655</v>
      </c>
      <c r="AA149" s="26" t="str">
        <f t="shared" ca="1" si="13"/>
        <v>12年9个月</v>
      </c>
      <c r="AB149" s="25" t="s">
        <v>29</v>
      </c>
      <c r="AC149" s="25" t="s">
        <v>3985</v>
      </c>
      <c r="AD149" s="25" t="s">
        <v>3986</v>
      </c>
      <c r="AE149" s="25"/>
      <c r="AF149" s="25"/>
      <c r="AG149" s="27"/>
      <c r="AH149" s="25"/>
      <c r="AI149" s="25"/>
      <c r="AJ149" s="25"/>
      <c r="AK149" s="27"/>
      <c r="AL149" s="25" t="s">
        <v>81</v>
      </c>
      <c r="AM149" s="25" t="s">
        <v>4038</v>
      </c>
      <c r="AN149" s="27" t="s">
        <v>4039</v>
      </c>
      <c r="AO149" s="25" t="s">
        <v>5179</v>
      </c>
      <c r="AP149" s="27" t="s">
        <v>5180</v>
      </c>
      <c r="AQ149" s="25"/>
      <c r="AR149" s="27" t="s">
        <v>4238</v>
      </c>
      <c r="AS149" s="26" t="s">
        <v>4011</v>
      </c>
      <c r="AT149" s="25" t="s">
        <v>4456</v>
      </c>
      <c r="AU149" s="25" t="s">
        <v>2547</v>
      </c>
      <c r="AV149" s="25" t="s">
        <v>5181</v>
      </c>
      <c r="AW149" s="30" t="s">
        <v>3991</v>
      </c>
      <c r="AX149" s="28">
        <v>41701</v>
      </c>
      <c r="AY149" s="28">
        <v>42066</v>
      </c>
      <c r="AZ149" s="28">
        <v>43220</v>
      </c>
      <c r="BA149" s="28" t="s">
        <v>3991</v>
      </c>
      <c r="BB149" s="28"/>
      <c r="BC149" s="25"/>
      <c r="BD149" s="25"/>
      <c r="BE149" s="25"/>
      <c r="BF149" s="25"/>
      <c r="BG149" s="25"/>
      <c r="BH149" s="25"/>
      <c r="BI149" s="27"/>
    </row>
    <row r="150" spans="1:61" ht="15.6" x14ac:dyDescent="0.25">
      <c r="A150" s="25">
        <v>148</v>
      </c>
      <c r="B150" s="25" t="s">
        <v>5182</v>
      </c>
      <c r="C150" s="25" t="s">
        <v>4002</v>
      </c>
      <c r="D150" s="26" t="s">
        <v>3975</v>
      </c>
      <c r="E150" s="26" t="s">
        <v>3975</v>
      </c>
      <c r="F150" s="25" t="s">
        <v>1967</v>
      </c>
      <c r="G150" s="25"/>
      <c r="H150" s="25"/>
      <c r="I150" s="25"/>
      <c r="J150" s="25" t="s">
        <v>5176</v>
      </c>
      <c r="K150" s="25" t="s">
        <v>399</v>
      </c>
      <c r="L150" s="25" t="s">
        <v>5177</v>
      </c>
      <c r="M150" s="25" t="s">
        <v>4029</v>
      </c>
      <c r="N150" s="27" t="s">
        <v>5183</v>
      </c>
      <c r="O150" s="27" t="s">
        <v>4073</v>
      </c>
      <c r="P150" s="28">
        <v>39406</v>
      </c>
      <c r="Q150" s="28">
        <v>46711</v>
      </c>
      <c r="R150" s="25" t="str">
        <f>IF(MOD(RIGHT(LEFT(N150,17)),2),"男","女")</f>
        <v>男</v>
      </c>
      <c r="S150" s="25" t="s">
        <v>3984</v>
      </c>
      <c r="T150" s="28" t="str">
        <f>TEXT(MID(N150,7,6+(LEN(N150)=18)*2),"0-00-00")</f>
        <v>1968-03-06</v>
      </c>
      <c r="U150" s="25">
        <f ca="1">DATEDIF(T150,TODAY(),"Y")</f>
        <v>58</v>
      </c>
      <c r="V150" s="25">
        <v>13116291584</v>
      </c>
      <c r="W150" s="28">
        <v>42180</v>
      </c>
      <c r="X150" s="28">
        <v>42180</v>
      </c>
      <c r="Y150" s="29" t="str">
        <f ca="1">DATEDIF(X150,TODAY(),"Y")&amp;"年"&amp;TEXT(DATEDIF(X150,TODAY(),"YM"),"0")&amp;"个月"</f>
        <v>10年9个月</v>
      </c>
      <c r="Z150" s="25" t="s">
        <v>5184</v>
      </c>
      <c r="AA150" s="26"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5" t="s">
        <v>4034</v>
      </c>
      <c r="AC150" s="25" t="s">
        <v>3985</v>
      </c>
      <c r="AD150" s="25" t="s">
        <v>3986</v>
      </c>
      <c r="AE150" s="25"/>
      <c r="AF150" s="25"/>
      <c r="AG150" s="27"/>
      <c r="AH150" s="25"/>
      <c r="AI150" s="25"/>
      <c r="AJ150" s="25"/>
      <c r="AK150" s="27"/>
      <c r="AL150" s="25" t="s">
        <v>120</v>
      </c>
      <c r="AM150" s="25"/>
      <c r="AN150" s="27" t="s">
        <v>4039</v>
      </c>
      <c r="AO150" s="25" t="s">
        <v>5185</v>
      </c>
      <c r="AP150" s="27"/>
      <c r="AQ150" s="25"/>
      <c r="AR150" s="27"/>
      <c r="AS150" s="26" t="s">
        <v>3990</v>
      </c>
      <c r="AT150" s="25" t="s">
        <v>4107</v>
      </c>
      <c r="AU150" s="25" t="s">
        <v>5186</v>
      </c>
      <c r="AV150" s="25" t="s">
        <v>5187</v>
      </c>
      <c r="AW150" s="30" t="s">
        <v>3991</v>
      </c>
      <c r="AX150" s="28">
        <v>42180</v>
      </c>
      <c r="AY150" s="28">
        <v>42582</v>
      </c>
      <c r="AZ150" s="28">
        <v>44407</v>
      </c>
      <c r="BA150" s="28" t="s">
        <v>3991</v>
      </c>
      <c r="BB150" s="28"/>
      <c r="BC150" s="25"/>
      <c r="BD150" s="25"/>
      <c r="BE150" s="25"/>
      <c r="BF150" s="25"/>
      <c r="BG150" s="25"/>
      <c r="BH150" s="25"/>
      <c r="BI150" s="27"/>
    </row>
    <row r="151" spans="1:61" ht="15.6" x14ac:dyDescent="0.25">
      <c r="A151" s="25">
        <v>149</v>
      </c>
      <c r="B151" s="25" t="s">
        <v>5188</v>
      </c>
      <c r="C151" s="25" t="s">
        <v>4002</v>
      </c>
      <c r="D151" s="26" t="s">
        <v>3975</v>
      </c>
      <c r="E151" s="26" t="s">
        <v>3975</v>
      </c>
      <c r="F151" s="25" t="s">
        <v>1967</v>
      </c>
      <c r="G151" s="25"/>
      <c r="H151" s="25"/>
      <c r="I151" s="25"/>
      <c r="J151" s="25" t="s">
        <v>5189</v>
      </c>
      <c r="K151" s="25" t="s">
        <v>361</v>
      </c>
      <c r="L151" s="25" t="s">
        <v>4028</v>
      </c>
      <c r="M151" s="25" t="s">
        <v>4029</v>
      </c>
      <c r="N151" s="27" t="s">
        <v>5190</v>
      </c>
      <c r="O151" s="27" t="s">
        <v>4031</v>
      </c>
      <c r="P151" s="28">
        <v>41822</v>
      </c>
      <c r="Q151" s="28">
        <v>49127</v>
      </c>
      <c r="R151" s="25" t="str">
        <f t="shared" si="10"/>
        <v>女</v>
      </c>
      <c r="S151" s="25" t="s">
        <v>3984</v>
      </c>
      <c r="T151" s="28" t="str">
        <f t="shared" si="11"/>
        <v>1985-09-03</v>
      </c>
      <c r="U151" s="25">
        <f t="shared" ca="1" si="14"/>
        <v>40</v>
      </c>
      <c r="V151" s="25">
        <v>13678707031</v>
      </c>
      <c r="W151" s="28">
        <v>40701</v>
      </c>
      <c r="X151" s="28">
        <v>40701</v>
      </c>
      <c r="Y151" s="29" t="str">
        <f t="shared" ca="1" si="12"/>
        <v>14年10个月</v>
      </c>
      <c r="Z151" s="25" t="s">
        <v>5191</v>
      </c>
      <c r="AA151" s="26" t="str">
        <f t="shared" ca="1" si="13"/>
        <v>20年2个月</v>
      </c>
      <c r="AB151" s="25" t="s">
        <v>29</v>
      </c>
      <c r="AC151" s="25" t="s">
        <v>3985</v>
      </c>
      <c r="AD151" s="25" t="s">
        <v>3986</v>
      </c>
      <c r="AE151" s="25"/>
      <c r="AF151" s="25"/>
      <c r="AG151" s="27"/>
      <c r="AH151" s="25" t="s">
        <v>4036</v>
      </c>
      <c r="AI151" s="25" t="s">
        <v>2827</v>
      </c>
      <c r="AJ151" s="25" t="s">
        <v>964</v>
      </c>
      <c r="AK151" s="27" t="s">
        <v>5192</v>
      </c>
      <c r="AL151" s="25" t="s">
        <v>305</v>
      </c>
      <c r="AM151" s="25"/>
      <c r="AN151" s="27" t="s">
        <v>4039</v>
      </c>
      <c r="AO151" s="25" t="s">
        <v>4593</v>
      </c>
      <c r="AP151" s="27" t="s">
        <v>5193</v>
      </c>
      <c r="AQ151" s="25"/>
      <c r="AR151" s="25" t="s">
        <v>5194</v>
      </c>
      <c r="AS151" s="26" t="s">
        <v>3990</v>
      </c>
      <c r="AT151" s="25" t="s">
        <v>294</v>
      </c>
      <c r="AU151" s="25" t="s">
        <v>5195</v>
      </c>
      <c r="AV151" s="25" t="s">
        <v>5196</v>
      </c>
      <c r="AW151" s="30">
        <v>47330</v>
      </c>
      <c r="AX151" s="28">
        <v>40702</v>
      </c>
      <c r="AY151" s="28">
        <v>41432</v>
      </c>
      <c r="AZ151" s="28">
        <v>43258</v>
      </c>
      <c r="BA151" s="28">
        <v>44408</v>
      </c>
      <c r="BB151" s="28">
        <v>45504</v>
      </c>
      <c r="BC151" s="28">
        <v>47330</v>
      </c>
      <c r="BD151" s="25"/>
      <c r="BE151" s="25"/>
      <c r="BF151" s="25"/>
      <c r="BG151" s="25"/>
      <c r="BH151" s="25"/>
      <c r="BI151" s="27"/>
    </row>
    <row r="152" spans="1:61" ht="15.6" x14ac:dyDescent="0.25">
      <c r="A152" s="25">
        <v>150</v>
      </c>
      <c r="B152" s="25" t="s">
        <v>5197</v>
      </c>
      <c r="C152" s="25" t="s">
        <v>4002</v>
      </c>
      <c r="D152" s="26" t="s">
        <v>3975</v>
      </c>
      <c r="E152" s="26" t="s">
        <v>3975</v>
      </c>
      <c r="F152" s="25" t="s">
        <v>1967</v>
      </c>
      <c r="G152" s="25"/>
      <c r="H152" s="25"/>
      <c r="I152" s="25"/>
      <c r="J152" s="25" t="s">
        <v>5189</v>
      </c>
      <c r="K152" s="25" t="s">
        <v>361</v>
      </c>
      <c r="L152" s="25" t="s">
        <v>4028</v>
      </c>
      <c r="M152" s="25" t="s">
        <v>4029</v>
      </c>
      <c r="N152" s="27" t="s">
        <v>5198</v>
      </c>
      <c r="O152" s="27" t="s">
        <v>4031</v>
      </c>
      <c r="P152" s="28">
        <v>42564</v>
      </c>
      <c r="Q152" s="28">
        <v>46216</v>
      </c>
      <c r="R152" s="25" t="str">
        <f t="shared" si="10"/>
        <v>女</v>
      </c>
      <c r="S152" s="25" t="s">
        <v>3984</v>
      </c>
      <c r="T152" s="28" t="str">
        <f t="shared" si="11"/>
        <v>1994-03-03</v>
      </c>
      <c r="U152" s="25">
        <f t="shared" ca="1" si="14"/>
        <v>32</v>
      </c>
      <c r="V152" s="25">
        <v>18725075554</v>
      </c>
      <c r="W152" s="28">
        <v>41456</v>
      </c>
      <c r="X152" s="28">
        <v>41456</v>
      </c>
      <c r="Y152" s="29" t="str">
        <f t="shared" ca="1" si="12"/>
        <v>12年9个月</v>
      </c>
      <c r="Z152" s="25"/>
      <c r="AA152" s="26" t="str">
        <f t="shared" ca="1" si="13"/>
        <v>12年9个月</v>
      </c>
      <c r="AB152" s="26" t="s">
        <v>4034</v>
      </c>
      <c r="AC152" s="25" t="s">
        <v>119</v>
      </c>
      <c r="AD152" s="25" t="s">
        <v>4035</v>
      </c>
      <c r="AE152" s="25"/>
      <c r="AF152" s="25"/>
      <c r="AG152" s="27"/>
      <c r="AH152" s="25" t="s">
        <v>4036</v>
      </c>
      <c r="AI152" s="25" t="s">
        <v>2242</v>
      </c>
      <c r="AJ152" s="25" t="s">
        <v>964</v>
      </c>
      <c r="AK152" s="27" t="s">
        <v>5199</v>
      </c>
      <c r="AL152" s="25" t="s">
        <v>305</v>
      </c>
      <c r="AM152" s="25"/>
      <c r="AN152" s="27" t="s">
        <v>4039</v>
      </c>
      <c r="AO152" s="25" t="s">
        <v>4196</v>
      </c>
      <c r="AP152" s="27" t="s">
        <v>5200</v>
      </c>
      <c r="AQ152" s="25"/>
      <c r="AR152" s="25" t="s">
        <v>5090</v>
      </c>
      <c r="AS152" s="26" t="s">
        <v>3990</v>
      </c>
      <c r="AT152" s="25" t="s">
        <v>294</v>
      </c>
      <c r="AU152" s="25" t="s">
        <v>5201</v>
      </c>
      <c r="AV152" s="25" t="s">
        <v>5202</v>
      </c>
      <c r="AW152" s="30">
        <v>47330</v>
      </c>
      <c r="AX152" s="28">
        <v>41456</v>
      </c>
      <c r="AY152" s="28">
        <v>42552</v>
      </c>
      <c r="AZ152" s="28">
        <v>43676</v>
      </c>
      <c r="BA152" s="28">
        <v>45504</v>
      </c>
      <c r="BB152" s="28">
        <v>47330</v>
      </c>
      <c r="BC152" s="25"/>
      <c r="BD152" s="25"/>
      <c r="BE152" s="25"/>
      <c r="BF152" s="25"/>
      <c r="BG152" s="25"/>
      <c r="BH152" s="25"/>
      <c r="BI152" s="27"/>
    </row>
    <row r="153" spans="1:61" ht="15.6" x14ac:dyDescent="0.25">
      <c r="A153" s="25">
        <v>151</v>
      </c>
      <c r="B153" s="25" t="s">
        <v>5203</v>
      </c>
      <c r="C153" s="25" t="s">
        <v>4002</v>
      </c>
      <c r="D153" s="26" t="s">
        <v>4150</v>
      </c>
      <c r="E153" s="26" t="s">
        <v>3975</v>
      </c>
      <c r="F153" s="25" t="s">
        <v>5204</v>
      </c>
      <c r="G153" s="25" t="s">
        <v>5205</v>
      </c>
      <c r="H153" s="25" t="s">
        <v>5206</v>
      </c>
      <c r="I153" s="25"/>
      <c r="J153" s="25" t="s">
        <v>5207</v>
      </c>
      <c r="K153" s="25" t="s">
        <v>676</v>
      </c>
      <c r="L153" s="25" t="s">
        <v>4016</v>
      </c>
      <c r="M153" s="25" t="s">
        <v>5208</v>
      </c>
      <c r="N153" s="27" t="s">
        <v>5209</v>
      </c>
      <c r="O153" s="27" t="s">
        <v>5210</v>
      </c>
      <c r="P153" s="28">
        <v>44183</v>
      </c>
      <c r="Q153" s="28">
        <v>51488</v>
      </c>
      <c r="R153" s="25" t="str">
        <f t="shared" si="10"/>
        <v>女</v>
      </c>
      <c r="S153" s="25" t="s">
        <v>3984</v>
      </c>
      <c r="T153" s="28" t="str">
        <f t="shared" si="11"/>
        <v>1989-06-15</v>
      </c>
      <c r="U153" s="25">
        <f t="shared" ca="1" si="14"/>
        <v>36</v>
      </c>
      <c r="V153" s="25">
        <v>15198892198</v>
      </c>
      <c r="W153" s="28">
        <v>45870</v>
      </c>
      <c r="X153" s="28">
        <v>41065</v>
      </c>
      <c r="Y153" s="29" t="str">
        <f t="shared" ca="1" si="12"/>
        <v>13年10个月</v>
      </c>
      <c r="Z153" s="25"/>
      <c r="AA153" s="26" t="str">
        <f t="shared" ca="1" si="13"/>
        <v>13年10个月</v>
      </c>
      <c r="AB153" s="25" t="s">
        <v>253</v>
      </c>
      <c r="AC153" s="25" t="s">
        <v>3985</v>
      </c>
      <c r="AD153" s="25" t="s">
        <v>4035</v>
      </c>
      <c r="AE153" s="25"/>
      <c r="AF153" s="25"/>
      <c r="AG153" s="27"/>
      <c r="AH153" s="25"/>
      <c r="AI153" s="25"/>
      <c r="AJ153" s="25"/>
      <c r="AK153" s="27"/>
      <c r="AL153" s="25" t="s">
        <v>81</v>
      </c>
      <c r="AM153" s="25" t="s">
        <v>4038</v>
      </c>
      <c r="AN153" s="27" t="s">
        <v>4039</v>
      </c>
      <c r="AO153" s="25" t="s">
        <v>5211</v>
      </c>
      <c r="AP153" s="27" t="s">
        <v>5212</v>
      </c>
      <c r="AQ153" s="25">
        <v>211</v>
      </c>
      <c r="AR153" s="25" t="s">
        <v>4493</v>
      </c>
      <c r="AS153" s="26" t="s">
        <v>4011</v>
      </c>
      <c r="AT153" s="25" t="s">
        <v>5213</v>
      </c>
      <c r="AU153" s="25" t="s">
        <v>5214</v>
      </c>
      <c r="AV153" s="25" t="s">
        <v>2917</v>
      </c>
      <c r="AW153" s="30">
        <v>46873</v>
      </c>
      <c r="AX153" s="61">
        <v>45870</v>
      </c>
      <c r="AY153" s="28">
        <v>46873</v>
      </c>
      <c r="AZ153" s="40"/>
      <c r="BA153" s="28"/>
      <c r="BB153" s="28"/>
      <c r="BC153" s="25"/>
      <c r="BD153" s="25"/>
      <c r="BE153" s="25"/>
      <c r="BF153" s="25"/>
      <c r="BG153" s="25"/>
      <c r="BH153" s="25"/>
      <c r="BI153" s="27"/>
    </row>
    <row r="154" spans="1:61" ht="15.6" x14ac:dyDescent="0.25">
      <c r="A154" s="25">
        <v>152</v>
      </c>
      <c r="B154" s="25" t="s">
        <v>5215</v>
      </c>
      <c r="C154" s="25" t="s">
        <v>4002</v>
      </c>
      <c r="D154" s="26" t="s">
        <v>4150</v>
      </c>
      <c r="E154" s="26" t="s">
        <v>3975</v>
      </c>
      <c r="F154" s="25" t="s">
        <v>5204</v>
      </c>
      <c r="G154" s="25" t="s">
        <v>5205</v>
      </c>
      <c r="H154" s="25" t="s">
        <v>5206</v>
      </c>
      <c r="I154" s="25"/>
      <c r="J154" s="25" t="s">
        <v>2613</v>
      </c>
      <c r="K154" s="25" t="s">
        <v>361</v>
      </c>
      <c r="L154" s="25" t="s">
        <v>4028</v>
      </c>
      <c r="M154" s="25" t="s">
        <v>4029</v>
      </c>
      <c r="N154" s="27" t="s">
        <v>5216</v>
      </c>
      <c r="O154" s="27" t="s">
        <v>4031</v>
      </c>
      <c r="P154" s="28">
        <v>43952</v>
      </c>
      <c r="Q154" s="28">
        <v>51257</v>
      </c>
      <c r="R154" s="25" t="str">
        <f t="shared" si="10"/>
        <v>女</v>
      </c>
      <c r="S154" s="25" t="s">
        <v>3984</v>
      </c>
      <c r="T154" s="28" t="str">
        <f t="shared" si="11"/>
        <v>1992-05-07</v>
      </c>
      <c r="U154" s="25">
        <f t="shared" ca="1" si="14"/>
        <v>33</v>
      </c>
      <c r="V154" s="25">
        <v>15911587943</v>
      </c>
      <c r="W154" s="28">
        <v>45870</v>
      </c>
      <c r="X154" s="28">
        <v>41541</v>
      </c>
      <c r="Y154" s="29" t="str">
        <f t="shared" ca="1" si="12"/>
        <v>12年6个月</v>
      </c>
      <c r="Z154" s="25"/>
      <c r="AA154" s="26" t="str">
        <f t="shared" ca="1" si="13"/>
        <v>12年6个月</v>
      </c>
      <c r="AB154" s="25" t="s">
        <v>4034</v>
      </c>
      <c r="AC154" s="25" t="s">
        <v>3985</v>
      </c>
      <c r="AD154" s="25" t="s">
        <v>4035</v>
      </c>
      <c r="AE154" s="25"/>
      <c r="AF154" s="25"/>
      <c r="AG154" s="27"/>
      <c r="AH154" s="25" t="s">
        <v>4036</v>
      </c>
      <c r="AI154" s="25" t="s">
        <v>2611</v>
      </c>
      <c r="AJ154" s="25" t="s">
        <v>964</v>
      </c>
      <c r="AK154" s="27"/>
      <c r="AL154" s="25" t="s">
        <v>4246</v>
      </c>
      <c r="AM154" s="25"/>
      <c r="AN154" s="27" t="s">
        <v>4039</v>
      </c>
      <c r="AO154" s="25" t="s">
        <v>3988</v>
      </c>
      <c r="AP154" s="27" t="s">
        <v>5217</v>
      </c>
      <c r="AQ154" s="25"/>
      <c r="AR154" s="27" t="s">
        <v>5218</v>
      </c>
      <c r="AS154" s="26" t="s">
        <v>3990</v>
      </c>
      <c r="AT154" s="25" t="s">
        <v>294</v>
      </c>
      <c r="AU154" s="25" t="s">
        <v>5219</v>
      </c>
      <c r="AV154" s="25" t="s">
        <v>5219</v>
      </c>
      <c r="AW154" s="30" t="s">
        <v>4000</v>
      </c>
      <c r="AX154" s="28">
        <v>45870</v>
      </c>
      <c r="AY154" s="28" t="s">
        <v>4000</v>
      </c>
      <c r="AZ154" s="28"/>
      <c r="BA154" s="28"/>
      <c r="BB154" s="28"/>
      <c r="BC154" s="25"/>
      <c r="BD154" s="25"/>
      <c r="BE154" s="25"/>
      <c r="BF154" s="25"/>
      <c r="BG154" s="25"/>
      <c r="BH154" s="25"/>
      <c r="BI154" s="27"/>
    </row>
    <row r="155" spans="1:61" ht="15.6" x14ac:dyDescent="0.25">
      <c r="A155" s="25">
        <v>153</v>
      </c>
      <c r="B155" s="25" t="s">
        <v>5220</v>
      </c>
      <c r="C155" s="25" t="s">
        <v>4002</v>
      </c>
      <c r="D155" s="26" t="s">
        <v>4150</v>
      </c>
      <c r="E155" s="26" t="s">
        <v>3975</v>
      </c>
      <c r="F155" s="25" t="s">
        <v>5204</v>
      </c>
      <c r="G155" s="25" t="s">
        <v>5205</v>
      </c>
      <c r="H155" s="25" t="s">
        <v>5206</v>
      </c>
      <c r="I155" s="25"/>
      <c r="J155" s="25" t="s">
        <v>2225</v>
      </c>
      <c r="K155" s="25" t="s">
        <v>361</v>
      </c>
      <c r="L155" s="25" t="s">
        <v>4028</v>
      </c>
      <c r="M155" s="25" t="s">
        <v>4029</v>
      </c>
      <c r="N155" s="27" t="s">
        <v>5221</v>
      </c>
      <c r="O155" s="27" t="s">
        <v>4031</v>
      </c>
      <c r="P155" s="28">
        <v>42810</v>
      </c>
      <c r="Q155" s="28">
        <v>46462</v>
      </c>
      <c r="R155" s="25" t="str">
        <f t="shared" si="10"/>
        <v>男</v>
      </c>
      <c r="S155" s="25" t="s">
        <v>3984</v>
      </c>
      <c r="T155" s="28" t="str">
        <f t="shared" si="11"/>
        <v>1996-09-29</v>
      </c>
      <c r="U155" s="25">
        <f t="shared" ca="1" si="14"/>
        <v>29</v>
      </c>
      <c r="V155" s="25">
        <v>15288190431</v>
      </c>
      <c r="W155" s="28">
        <v>45870</v>
      </c>
      <c r="X155" s="28">
        <v>42219</v>
      </c>
      <c r="Y155" s="29" t="str">
        <f t="shared" ca="1" si="12"/>
        <v>10年8个月</v>
      </c>
      <c r="Z155" s="25"/>
      <c r="AA155" s="26" t="str">
        <f t="shared" ca="1" si="13"/>
        <v>10年8个月</v>
      </c>
      <c r="AB155" s="25" t="s">
        <v>29</v>
      </c>
      <c r="AC155" s="25" t="s">
        <v>119</v>
      </c>
      <c r="AD155" s="25" t="s">
        <v>3986</v>
      </c>
      <c r="AE155" s="25"/>
      <c r="AF155" s="25"/>
      <c r="AG155" s="27"/>
      <c r="AH155" s="25"/>
      <c r="AI155" s="25"/>
      <c r="AJ155" s="25"/>
      <c r="AK155" s="27"/>
      <c r="AL155" s="25" t="s">
        <v>305</v>
      </c>
      <c r="AM155" s="25"/>
      <c r="AN155" s="27" t="s">
        <v>4039</v>
      </c>
      <c r="AO155" s="25" t="s">
        <v>5222</v>
      </c>
      <c r="AP155" s="27" t="s">
        <v>5223</v>
      </c>
      <c r="AQ155" s="25"/>
      <c r="AR155" s="27" t="s">
        <v>5105</v>
      </c>
      <c r="AS155" s="26" t="s">
        <v>3990</v>
      </c>
      <c r="AT155" s="25" t="s">
        <v>4043</v>
      </c>
      <c r="AU155" s="25" t="s">
        <v>5224</v>
      </c>
      <c r="AV155" s="25" t="s">
        <v>5225</v>
      </c>
      <c r="AW155" s="30">
        <v>47603</v>
      </c>
      <c r="AX155" s="28">
        <v>45870</v>
      </c>
      <c r="AY155" s="28">
        <v>47603</v>
      </c>
      <c r="AZ155" s="28"/>
      <c r="BA155" s="28"/>
      <c r="BB155" s="28"/>
      <c r="BC155" s="25"/>
      <c r="BD155" s="25"/>
      <c r="BE155" s="25"/>
      <c r="BF155" s="25"/>
      <c r="BG155" s="25"/>
      <c r="BH155" s="25"/>
      <c r="BI155" s="27"/>
    </row>
    <row r="156" spans="1:61" ht="15.6" x14ac:dyDescent="0.25">
      <c r="A156" s="25">
        <v>154</v>
      </c>
      <c r="B156" s="25" t="s">
        <v>5226</v>
      </c>
      <c r="C156" s="25" t="s">
        <v>4002</v>
      </c>
      <c r="D156" s="26" t="s">
        <v>4150</v>
      </c>
      <c r="E156" s="26" t="s">
        <v>3975</v>
      </c>
      <c r="F156" s="25" t="s">
        <v>5204</v>
      </c>
      <c r="G156" s="25" t="s">
        <v>5205</v>
      </c>
      <c r="H156" s="25" t="s">
        <v>5206</v>
      </c>
      <c r="I156" s="25"/>
      <c r="J156" s="25" t="s">
        <v>2183</v>
      </c>
      <c r="K156" s="25" t="s">
        <v>556</v>
      </c>
      <c r="L156" s="25" t="s">
        <v>4543</v>
      </c>
      <c r="M156" s="25" t="s">
        <v>4029</v>
      </c>
      <c r="N156" s="27" t="s">
        <v>5227</v>
      </c>
      <c r="O156" s="27" t="s">
        <v>4073</v>
      </c>
      <c r="P156" s="28">
        <v>42640</v>
      </c>
      <c r="Q156" s="28">
        <v>49945</v>
      </c>
      <c r="R156" s="25" t="str">
        <f t="shared" si="10"/>
        <v>男</v>
      </c>
      <c r="S156" s="25" t="s">
        <v>3984</v>
      </c>
      <c r="T156" s="28" t="str">
        <f t="shared" si="11"/>
        <v>1982-10-20</v>
      </c>
      <c r="U156" s="25">
        <f t="shared" ca="1" si="14"/>
        <v>43</v>
      </c>
      <c r="V156" s="25">
        <v>13987193419</v>
      </c>
      <c r="W156" s="28">
        <v>45870</v>
      </c>
      <c r="X156" s="28">
        <v>42285</v>
      </c>
      <c r="Y156" s="29" t="str">
        <f t="shared" ca="1" si="12"/>
        <v>10年6个月</v>
      </c>
      <c r="Z156" s="25" t="s">
        <v>5121</v>
      </c>
      <c r="AA156" s="26" t="str">
        <f t="shared" ca="1" si="13"/>
        <v>16年9个月</v>
      </c>
      <c r="AB156" s="25" t="s">
        <v>29</v>
      </c>
      <c r="AC156" s="25" t="s">
        <v>3985</v>
      </c>
      <c r="AD156" s="25" t="s">
        <v>3986</v>
      </c>
      <c r="AE156" s="25"/>
      <c r="AF156" s="25"/>
      <c r="AG156" s="27"/>
      <c r="AH156" s="25"/>
      <c r="AI156" s="25"/>
      <c r="AJ156" s="25"/>
      <c r="AK156" s="27"/>
      <c r="AL156" s="25" t="s">
        <v>4246</v>
      </c>
      <c r="AM156" s="25"/>
      <c r="AN156" s="27" t="s">
        <v>4039</v>
      </c>
      <c r="AO156" s="25" t="s">
        <v>5228</v>
      </c>
      <c r="AP156" s="27" t="s">
        <v>5229</v>
      </c>
      <c r="AQ156" s="25"/>
      <c r="AR156" s="25" t="s">
        <v>5230</v>
      </c>
      <c r="AS156" s="26" t="s">
        <v>3990</v>
      </c>
      <c r="AT156" s="25" t="s">
        <v>4487</v>
      </c>
      <c r="AU156" s="25" t="s">
        <v>5231</v>
      </c>
      <c r="AV156" s="25" t="s">
        <v>5232</v>
      </c>
      <c r="AW156" s="30" t="s">
        <v>3991</v>
      </c>
      <c r="AX156" s="28">
        <v>45870</v>
      </c>
      <c r="AY156" s="28" t="s">
        <v>3991</v>
      </c>
      <c r="AZ156" s="28"/>
      <c r="BA156" s="33"/>
      <c r="BB156" s="28"/>
      <c r="BC156" s="25"/>
      <c r="BD156" s="25"/>
      <c r="BE156" s="25"/>
      <c r="BF156" s="25"/>
      <c r="BG156" s="25"/>
      <c r="BH156" s="25"/>
      <c r="BI156" s="27"/>
    </row>
    <row r="157" spans="1:61" ht="15.6" x14ac:dyDescent="0.25">
      <c r="A157" s="25">
        <v>155</v>
      </c>
      <c r="B157" s="25" t="s">
        <v>5233</v>
      </c>
      <c r="C157" s="25" t="s">
        <v>4002</v>
      </c>
      <c r="D157" s="26" t="s">
        <v>4150</v>
      </c>
      <c r="E157" s="26" t="s">
        <v>3975</v>
      </c>
      <c r="F157" s="25" t="s">
        <v>5204</v>
      </c>
      <c r="G157" s="25" t="s">
        <v>5205</v>
      </c>
      <c r="H157" s="25" t="s">
        <v>5234</v>
      </c>
      <c r="I157" s="25"/>
      <c r="J157" s="25" t="s">
        <v>3407</v>
      </c>
      <c r="K157" s="25" t="s">
        <v>676</v>
      </c>
      <c r="L157" s="25" t="s">
        <v>4016</v>
      </c>
      <c r="M157" s="25" t="s">
        <v>5208</v>
      </c>
      <c r="N157" s="27" t="s">
        <v>5235</v>
      </c>
      <c r="O157" s="27" t="s">
        <v>3981</v>
      </c>
      <c r="P157" s="28">
        <v>38913</v>
      </c>
      <c r="Q157" s="28">
        <v>46218</v>
      </c>
      <c r="R157" s="25" t="str">
        <f t="shared" si="10"/>
        <v>男</v>
      </c>
      <c r="S157" s="25" t="s">
        <v>3984</v>
      </c>
      <c r="T157" s="28" t="str">
        <f t="shared" si="11"/>
        <v>1971-10-09</v>
      </c>
      <c r="U157" s="25">
        <f t="shared" ca="1" si="14"/>
        <v>54</v>
      </c>
      <c r="V157" s="25">
        <v>13629424148</v>
      </c>
      <c r="W157" s="28">
        <v>45870</v>
      </c>
      <c r="X157" s="43">
        <v>39230</v>
      </c>
      <c r="Y157" s="29" t="str">
        <f t="shared" ca="1" si="12"/>
        <v>18年10个月</v>
      </c>
      <c r="Z157" s="25"/>
      <c r="AA157" s="26" t="str">
        <f t="shared" ca="1" si="13"/>
        <v>18年10个月</v>
      </c>
      <c r="AB157" s="25" t="s">
        <v>29</v>
      </c>
      <c r="AC157" s="25" t="s">
        <v>28</v>
      </c>
      <c r="AD157" s="25" t="s">
        <v>3986</v>
      </c>
      <c r="AE157" s="25"/>
      <c r="AF157" s="25"/>
      <c r="AG157" s="27"/>
      <c r="AH157" s="25" t="s">
        <v>4036</v>
      </c>
      <c r="AI157" s="25" t="s">
        <v>965</v>
      </c>
      <c r="AJ157" s="25" t="s">
        <v>964</v>
      </c>
      <c r="AK157" s="27" t="s">
        <v>5236</v>
      </c>
      <c r="AL157" s="25" t="s">
        <v>1705</v>
      </c>
      <c r="AM157" s="25"/>
      <c r="AN157" s="27" t="s">
        <v>4039</v>
      </c>
      <c r="AO157" s="25"/>
      <c r="AP157" s="27"/>
      <c r="AQ157" s="25"/>
      <c r="AR157" s="25"/>
      <c r="AS157" s="26" t="s">
        <v>4011</v>
      </c>
      <c r="AT157" s="25" t="s">
        <v>668</v>
      </c>
      <c r="AU157" s="25" t="s">
        <v>3405</v>
      </c>
      <c r="AV157" s="25" t="s">
        <v>3405</v>
      </c>
      <c r="AW157" s="30" t="s">
        <v>3991</v>
      </c>
      <c r="AX157" s="28">
        <v>45870</v>
      </c>
      <c r="AY157" s="28" t="s">
        <v>3991</v>
      </c>
      <c r="AZ157" s="28"/>
      <c r="BA157" s="28"/>
      <c r="BB157" s="28"/>
      <c r="BC157" s="25"/>
      <c r="BD157" s="25"/>
      <c r="BE157" s="25"/>
      <c r="BF157" s="25"/>
      <c r="BG157" s="25"/>
      <c r="BH157" s="25"/>
      <c r="BI157" s="27"/>
    </row>
    <row r="158" spans="1:61" ht="15.6" x14ac:dyDescent="0.25">
      <c r="A158" s="25">
        <v>156</v>
      </c>
      <c r="B158" s="26" t="s">
        <v>5237</v>
      </c>
      <c r="C158" s="26" t="s">
        <v>4002</v>
      </c>
      <c r="D158" s="26" t="s">
        <v>4150</v>
      </c>
      <c r="E158" s="26" t="s">
        <v>3975</v>
      </c>
      <c r="F158" s="25" t="s">
        <v>5204</v>
      </c>
      <c r="G158" s="25" t="s">
        <v>5205</v>
      </c>
      <c r="H158" s="25" t="s">
        <v>5234</v>
      </c>
      <c r="I158" s="25"/>
      <c r="J158" s="25" t="s">
        <v>1739</v>
      </c>
      <c r="K158" s="25" t="s">
        <v>556</v>
      </c>
      <c r="L158" s="25" t="s">
        <v>4543</v>
      </c>
      <c r="M158" s="25" t="s">
        <v>4029</v>
      </c>
      <c r="N158" s="27" t="s">
        <v>5238</v>
      </c>
      <c r="O158" s="27" t="s">
        <v>5239</v>
      </c>
      <c r="P158" s="28">
        <v>45851</v>
      </c>
      <c r="Q158" s="28">
        <v>53156</v>
      </c>
      <c r="R158" s="25" t="str">
        <f t="shared" si="10"/>
        <v>男</v>
      </c>
      <c r="S158" s="25" t="s">
        <v>4082</v>
      </c>
      <c r="T158" s="28" t="str">
        <f t="shared" si="11"/>
        <v>1997-08-06</v>
      </c>
      <c r="U158" s="25">
        <f t="shared" ca="1" si="14"/>
        <v>28</v>
      </c>
      <c r="V158" s="25">
        <v>18087364637</v>
      </c>
      <c r="W158" s="28">
        <v>45870</v>
      </c>
      <c r="X158" s="28">
        <v>43647</v>
      </c>
      <c r="Y158" s="29" t="str">
        <f t="shared" ca="1" si="12"/>
        <v>6年9个月</v>
      </c>
      <c r="Z158" s="48"/>
      <c r="AA158" s="26" t="str">
        <f t="shared" ca="1" si="13"/>
        <v>6年9个月</v>
      </c>
      <c r="AB158" s="25" t="s">
        <v>4034</v>
      </c>
      <c r="AC158" s="25" t="s">
        <v>119</v>
      </c>
      <c r="AD158" s="25" t="s">
        <v>4035</v>
      </c>
      <c r="AE158" s="25"/>
      <c r="AF158" s="25"/>
      <c r="AG158" s="27"/>
      <c r="AH158" s="25"/>
      <c r="AI158" s="25"/>
      <c r="AJ158" s="25"/>
      <c r="AK158" s="27"/>
      <c r="AL158" s="25" t="s">
        <v>305</v>
      </c>
      <c r="AM158" s="25"/>
      <c r="AN158" s="27" t="s">
        <v>4039</v>
      </c>
      <c r="AO158" s="26" t="s">
        <v>559</v>
      </c>
      <c r="AP158" s="35" t="s">
        <v>5240</v>
      </c>
      <c r="AQ158" s="25"/>
      <c r="AR158" s="62" t="s">
        <v>1744</v>
      </c>
      <c r="AS158" s="26" t="s">
        <v>3990</v>
      </c>
      <c r="AT158" s="25" t="s">
        <v>4419</v>
      </c>
      <c r="AU158" s="26" t="s">
        <v>5241</v>
      </c>
      <c r="AV158" s="26" t="s">
        <v>5242</v>
      </c>
      <c r="AW158" s="39">
        <v>46142</v>
      </c>
      <c r="AX158" s="28">
        <v>45870</v>
      </c>
      <c r="AY158" s="36">
        <v>46142</v>
      </c>
      <c r="AZ158" s="28"/>
      <c r="BA158" s="48"/>
      <c r="BB158" s="48"/>
      <c r="BC158" s="48"/>
      <c r="BD158" s="48"/>
      <c r="BE158" s="48"/>
      <c r="BF158" s="48"/>
      <c r="BG158" s="48"/>
      <c r="BH158" s="48"/>
      <c r="BI158" s="48"/>
    </row>
    <row r="159" spans="1:61" ht="15.6" x14ac:dyDescent="0.25">
      <c r="A159" s="25">
        <v>157</v>
      </c>
      <c r="B159" s="25" t="s">
        <v>5243</v>
      </c>
      <c r="C159" s="25" t="s">
        <v>4002</v>
      </c>
      <c r="D159" s="26" t="s">
        <v>4150</v>
      </c>
      <c r="E159" s="26" t="s">
        <v>3975</v>
      </c>
      <c r="F159" s="25" t="s">
        <v>5204</v>
      </c>
      <c r="G159" s="25" t="s">
        <v>5205</v>
      </c>
      <c r="H159" s="25" t="s">
        <v>5234</v>
      </c>
      <c r="I159" s="25"/>
      <c r="J159" s="25" t="s">
        <v>5244</v>
      </c>
      <c r="K159" s="25" t="s">
        <v>556</v>
      </c>
      <c r="L159" s="25" t="s">
        <v>4543</v>
      </c>
      <c r="M159" s="25" t="s">
        <v>4029</v>
      </c>
      <c r="N159" s="27" t="s">
        <v>5245</v>
      </c>
      <c r="O159" s="27" t="s">
        <v>3981</v>
      </c>
      <c r="P159" s="28">
        <v>43540</v>
      </c>
      <c r="Q159" s="28">
        <v>50845</v>
      </c>
      <c r="R159" s="25" t="str">
        <f t="shared" si="10"/>
        <v>男</v>
      </c>
      <c r="S159" s="25" t="s">
        <v>4803</v>
      </c>
      <c r="T159" s="28" t="str">
        <f t="shared" si="11"/>
        <v>1979-03-17</v>
      </c>
      <c r="U159" s="25">
        <f t="shared" ca="1" si="14"/>
        <v>47</v>
      </c>
      <c r="V159" s="25">
        <v>15808707317</v>
      </c>
      <c r="W159" s="28">
        <v>44470</v>
      </c>
      <c r="X159" s="43">
        <v>39158</v>
      </c>
      <c r="Y159" s="29" t="str">
        <f t="shared" ca="1" si="12"/>
        <v>19年0个月</v>
      </c>
      <c r="Z159" s="25" t="s">
        <v>5246</v>
      </c>
      <c r="AA159" s="26" t="str">
        <f t="shared" ca="1" si="13"/>
        <v>24年6个月</v>
      </c>
      <c r="AB159" s="25" t="s">
        <v>29</v>
      </c>
      <c r="AC159" s="25" t="s">
        <v>3985</v>
      </c>
      <c r="AD159" s="25" t="s">
        <v>3986</v>
      </c>
      <c r="AE159" s="25"/>
      <c r="AF159" s="25"/>
      <c r="AG159" s="27"/>
      <c r="AH159" s="25" t="s">
        <v>4036</v>
      </c>
      <c r="AI159" s="25" t="s">
        <v>3153</v>
      </c>
      <c r="AJ159" s="25" t="s">
        <v>964</v>
      </c>
      <c r="AK159" s="27" t="s">
        <v>5247</v>
      </c>
      <c r="AL159" s="25" t="s">
        <v>4503</v>
      </c>
      <c r="AM159" s="25"/>
      <c r="AN159" s="27" t="s">
        <v>4039</v>
      </c>
      <c r="AO159" s="25" t="s">
        <v>5248</v>
      </c>
      <c r="AP159" s="27" t="s">
        <v>5249</v>
      </c>
      <c r="AQ159" s="25"/>
      <c r="AR159" s="25" t="s">
        <v>5250</v>
      </c>
      <c r="AS159" s="26" t="s">
        <v>3990</v>
      </c>
      <c r="AT159" s="25" t="s">
        <v>668</v>
      </c>
      <c r="AU159" s="25" t="s">
        <v>5251</v>
      </c>
      <c r="AV159" s="25" t="s">
        <v>5251</v>
      </c>
      <c r="AW159" s="30" t="s">
        <v>4000</v>
      </c>
      <c r="AX159" s="28">
        <v>44470</v>
      </c>
      <c r="AY159" s="28" t="s">
        <v>4000</v>
      </c>
      <c r="AZ159" s="28"/>
      <c r="BA159" s="28"/>
      <c r="BB159" s="28"/>
      <c r="BC159" s="25"/>
      <c r="BD159" s="25"/>
      <c r="BE159" s="25"/>
      <c r="BF159" s="25"/>
      <c r="BG159" s="25"/>
      <c r="BH159" s="25"/>
      <c r="BI159" s="27"/>
    </row>
    <row r="160" spans="1:61" ht="15.6" x14ac:dyDescent="0.25">
      <c r="A160" s="25">
        <v>158</v>
      </c>
      <c r="B160" s="25" t="s">
        <v>5252</v>
      </c>
      <c r="C160" s="25" t="s">
        <v>4002</v>
      </c>
      <c r="D160" s="26" t="s">
        <v>4150</v>
      </c>
      <c r="E160" s="26" t="s">
        <v>3975</v>
      </c>
      <c r="F160" s="25" t="s">
        <v>5204</v>
      </c>
      <c r="G160" s="25" t="s">
        <v>5205</v>
      </c>
      <c r="H160" s="25" t="s">
        <v>5253</v>
      </c>
      <c r="I160" s="25"/>
      <c r="J160" s="25" t="s">
        <v>5254</v>
      </c>
      <c r="K160" s="25" t="s">
        <v>556</v>
      </c>
      <c r="L160" s="25" t="s">
        <v>4543</v>
      </c>
      <c r="M160" s="25" t="s">
        <v>4029</v>
      </c>
      <c r="N160" s="27" t="s">
        <v>5255</v>
      </c>
      <c r="O160" s="27" t="s">
        <v>5256</v>
      </c>
      <c r="P160" s="28">
        <v>43326</v>
      </c>
      <c r="Q160" s="28">
        <v>50631</v>
      </c>
      <c r="R160" s="25" t="str">
        <f t="shared" si="10"/>
        <v>男</v>
      </c>
      <c r="S160" s="25" t="s">
        <v>3984</v>
      </c>
      <c r="T160" s="28" t="str">
        <f t="shared" si="11"/>
        <v>1988-01-15</v>
      </c>
      <c r="U160" s="25">
        <f t="shared" ca="1" si="14"/>
        <v>38</v>
      </c>
      <c r="V160" s="25">
        <v>13759543028</v>
      </c>
      <c r="W160" s="28">
        <v>45870</v>
      </c>
      <c r="X160" s="28">
        <v>41038</v>
      </c>
      <c r="Y160" s="29" t="str">
        <f t="shared" ca="1" si="12"/>
        <v>13年11个月</v>
      </c>
      <c r="Z160" s="25" t="s">
        <v>4837</v>
      </c>
      <c r="AA160" s="26" t="str">
        <f t="shared" ca="1" si="13"/>
        <v>15年9个月</v>
      </c>
      <c r="AB160" s="25" t="s">
        <v>253</v>
      </c>
      <c r="AC160" s="25" t="s">
        <v>3985</v>
      </c>
      <c r="AD160" s="25" t="s">
        <v>3986</v>
      </c>
      <c r="AE160" s="25" t="s">
        <v>2873</v>
      </c>
      <c r="AF160" s="25" t="s">
        <v>4050</v>
      </c>
      <c r="AG160" s="27" t="s">
        <v>5257</v>
      </c>
      <c r="AH160" s="25" t="s">
        <v>4036</v>
      </c>
      <c r="AI160" s="25" t="s">
        <v>2937</v>
      </c>
      <c r="AJ160" s="25" t="s">
        <v>964</v>
      </c>
      <c r="AK160" s="27" t="s">
        <v>5258</v>
      </c>
      <c r="AL160" s="25" t="s">
        <v>305</v>
      </c>
      <c r="AM160" s="25"/>
      <c r="AN160" s="27" t="s">
        <v>4039</v>
      </c>
      <c r="AO160" s="25" t="s">
        <v>4406</v>
      </c>
      <c r="AP160" s="27" t="s">
        <v>5259</v>
      </c>
      <c r="AQ160" s="25"/>
      <c r="AR160" s="25" t="s">
        <v>4546</v>
      </c>
      <c r="AS160" s="26" t="s">
        <v>3990</v>
      </c>
      <c r="AT160" s="25" t="s">
        <v>4807</v>
      </c>
      <c r="AU160" s="25" t="s">
        <v>5260</v>
      </c>
      <c r="AV160" s="25" t="s">
        <v>5261</v>
      </c>
      <c r="AW160" s="30" t="s">
        <v>4000</v>
      </c>
      <c r="AX160" s="28">
        <v>45870</v>
      </c>
      <c r="AY160" s="28" t="s">
        <v>4000</v>
      </c>
      <c r="AZ160" s="28"/>
      <c r="BA160" s="28"/>
      <c r="BB160" s="28"/>
      <c r="BC160" s="25"/>
      <c r="BD160" s="25"/>
      <c r="BE160" s="25"/>
      <c r="BF160" s="25"/>
      <c r="BG160" s="25"/>
      <c r="BH160" s="25"/>
      <c r="BI160" s="27"/>
    </row>
    <row r="161" spans="1:61" ht="15.6" x14ac:dyDescent="0.25">
      <c r="A161" s="25">
        <v>159</v>
      </c>
      <c r="B161" s="25" t="s">
        <v>5262</v>
      </c>
      <c r="C161" s="25" t="s">
        <v>4002</v>
      </c>
      <c r="D161" s="26" t="s">
        <v>4150</v>
      </c>
      <c r="E161" s="26" t="s">
        <v>3975</v>
      </c>
      <c r="F161" s="25" t="s">
        <v>5204</v>
      </c>
      <c r="G161" s="25" t="s">
        <v>5205</v>
      </c>
      <c r="H161" s="25" t="s">
        <v>5253</v>
      </c>
      <c r="I161" s="25" t="s">
        <v>5263</v>
      </c>
      <c r="J161" s="25" t="s">
        <v>5264</v>
      </c>
      <c r="K161" s="25" t="s">
        <v>676</v>
      </c>
      <c r="L161" s="25" t="s">
        <v>4016</v>
      </c>
      <c r="M161" s="25" t="s">
        <v>4080</v>
      </c>
      <c r="N161" s="27" t="s">
        <v>5265</v>
      </c>
      <c r="O161" s="27" t="s">
        <v>3981</v>
      </c>
      <c r="P161" s="28">
        <v>42592</v>
      </c>
      <c r="Q161" s="28">
        <v>49897</v>
      </c>
      <c r="R161" s="25" t="str">
        <f t="shared" si="10"/>
        <v>男</v>
      </c>
      <c r="S161" s="25" t="s">
        <v>3984</v>
      </c>
      <c r="T161" s="28" t="str">
        <f t="shared" si="11"/>
        <v>1982-09-29</v>
      </c>
      <c r="U161" s="25">
        <f t="shared" ca="1" si="14"/>
        <v>43</v>
      </c>
      <c r="V161" s="25">
        <v>13987139685</v>
      </c>
      <c r="W161" s="28">
        <v>45870</v>
      </c>
      <c r="X161" s="28">
        <v>42202</v>
      </c>
      <c r="Y161" s="29" t="str">
        <f t="shared" ca="1" si="12"/>
        <v>10年8个月</v>
      </c>
      <c r="Z161" s="25" t="s">
        <v>5266</v>
      </c>
      <c r="AA161" s="26" t="str">
        <f t="shared" ca="1" si="13"/>
        <v>23年8个月</v>
      </c>
      <c r="AB161" s="25" t="s">
        <v>29</v>
      </c>
      <c r="AC161" s="25" t="s">
        <v>28</v>
      </c>
      <c r="AD161" s="25" t="s">
        <v>3986</v>
      </c>
      <c r="AE161" s="25"/>
      <c r="AF161" s="25"/>
      <c r="AG161" s="27"/>
      <c r="AH161" s="25"/>
      <c r="AI161" s="25"/>
      <c r="AJ161" s="25"/>
      <c r="AK161" s="27"/>
      <c r="AL161" s="25" t="s">
        <v>305</v>
      </c>
      <c r="AM161" s="25"/>
      <c r="AN161" s="27" t="s">
        <v>4039</v>
      </c>
      <c r="AO161" s="25" t="s">
        <v>559</v>
      </c>
      <c r="AP161" s="27" t="s">
        <v>5267</v>
      </c>
      <c r="AQ161" s="25"/>
      <c r="AR161" s="25" t="s">
        <v>5268</v>
      </c>
      <c r="AS161" s="26" t="s">
        <v>4011</v>
      </c>
      <c r="AT161" s="25" t="s">
        <v>4024</v>
      </c>
      <c r="AU161" s="25" t="s">
        <v>5269</v>
      </c>
      <c r="AV161" s="25" t="s">
        <v>5269</v>
      </c>
      <c r="AW161" s="30" t="s">
        <v>3991</v>
      </c>
      <c r="AX161" s="28">
        <v>45870</v>
      </c>
      <c r="AY161" s="28" t="s">
        <v>3991</v>
      </c>
      <c r="AZ161" s="28"/>
      <c r="BA161" s="28"/>
      <c r="BB161" s="28"/>
      <c r="BC161" s="25"/>
      <c r="BD161" s="25"/>
      <c r="BE161" s="25"/>
      <c r="BF161" s="25"/>
      <c r="BG161" s="25"/>
      <c r="BH161" s="25"/>
      <c r="BI161" s="27"/>
    </row>
    <row r="162" spans="1:61" ht="15.6" x14ac:dyDescent="0.25">
      <c r="A162" s="25">
        <v>160</v>
      </c>
      <c r="B162" s="25" t="s">
        <v>5270</v>
      </c>
      <c r="C162" s="25" t="s">
        <v>4002</v>
      </c>
      <c r="D162" s="26" t="s">
        <v>4150</v>
      </c>
      <c r="E162" s="26" t="s">
        <v>3975</v>
      </c>
      <c r="F162" s="25" t="s">
        <v>5204</v>
      </c>
      <c r="G162" s="25" t="s">
        <v>5205</v>
      </c>
      <c r="H162" s="25" t="s">
        <v>5253</v>
      </c>
      <c r="I162" s="25" t="s">
        <v>5263</v>
      </c>
      <c r="J162" s="25" t="s">
        <v>5271</v>
      </c>
      <c r="K162" s="25" t="s">
        <v>676</v>
      </c>
      <c r="L162" s="25" t="s">
        <v>4016</v>
      </c>
      <c r="M162" s="25" t="s">
        <v>5208</v>
      </c>
      <c r="N162" s="27" t="s">
        <v>5272</v>
      </c>
      <c r="O162" s="27" t="s">
        <v>4031</v>
      </c>
      <c r="P162" s="28">
        <v>45744</v>
      </c>
      <c r="Q162" s="28">
        <v>53049</v>
      </c>
      <c r="R162" s="25" t="str">
        <f t="shared" si="10"/>
        <v>男</v>
      </c>
      <c r="S162" s="25" t="s">
        <v>3984</v>
      </c>
      <c r="T162" s="28" t="str">
        <f t="shared" si="11"/>
        <v>1991-02-05</v>
      </c>
      <c r="U162" s="25">
        <f t="shared" ca="1" si="14"/>
        <v>35</v>
      </c>
      <c r="V162" s="25">
        <v>18788488873</v>
      </c>
      <c r="W162" s="28">
        <v>45870</v>
      </c>
      <c r="X162" s="28">
        <v>41456</v>
      </c>
      <c r="Y162" s="29" t="str">
        <f t="shared" ca="1" si="12"/>
        <v>12年9个月</v>
      </c>
      <c r="Z162" s="25"/>
      <c r="AA162" s="26" t="str">
        <f t="shared" ca="1" si="13"/>
        <v>12年9个月</v>
      </c>
      <c r="AB162" s="25" t="s">
        <v>4034</v>
      </c>
      <c r="AC162" s="25" t="s">
        <v>119</v>
      </c>
      <c r="AD162" s="25" t="s">
        <v>4035</v>
      </c>
      <c r="AE162" s="25"/>
      <c r="AF162" s="25"/>
      <c r="AG162" s="27"/>
      <c r="AH162" s="25"/>
      <c r="AI162" s="25"/>
      <c r="AJ162" s="25"/>
      <c r="AK162" s="27"/>
      <c r="AL162" s="25" t="s">
        <v>81</v>
      </c>
      <c r="AM162" s="25" t="s">
        <v>4038</v>
      </c>
      <c r="AN162" s="27" t="s">
        <v>4039</v>
      </c>
      <c r="AO162" s="25" t="s">
        <v>5179</v>
      </c>
      <c r="AP162" s="27" t="s">
        <v>5273</v>
      </c>
      <c r="AQ162" s="25"/>
      <c r="AR162" s="25" t="s">
        <v>4106</v>
      </c>
      <c r="AS162" s="26" t="s">
        <v>4011</v>
      </c>
      <c r="AT162" s="25" t="s">
        <v>4043</v>
      </c>
      <c r="AU162" s="25" t="s">
        <v>5274</v>
      </c>
      <c r="AV162" s="25" t="s">
        <v>5274</v>
      </c>
      <c r="AW162" s="30" t="s">
        <v>4000</v>
      </c>
      <c r="AX162" s="28">
        <v>45870</v>
      </c>
      <c r="AY162" s="28" t="s">
        <v>4000</v>
      </c>
      <c r="AZ162" s="28"/>
      <c r="BA162" s="28"/>
      <c r="BB162" s="28"/>
      <c r="BC162" s="25"/>
      <c r="BD162" s="25"/>
      <c r="BE162" s="25"/>
      <c r="BF162" s="25"/>
      <c r="BG162" s="25"/>
      <c r="BH162" s="25"/>
      <c r="BI162" s="27"/>
    </row>
    <row r="163" spans="1:61" ht="15.6" x14ac:dyDescent="0.25">
      <c r="A163" s="25">
        <v>161</v>
      </c>
      <c r="B163" s="25" t="s">
        <v>5275</v>
      </c>
      <c r="C163" s="25" t="s">
        <v>4002</v>
      </c>
      <c r="D163" s="26" t="s">
        <v>4150</v>
      </c>
      <c r="E163" s="26" t="s">
        <v>3975</v>
      </c>
      <c r="F163" s="25" t="s">
        <v>5204</v>
      </c>
      <c r="G163" s="25" t="s">
        <v>5205</v>
      </c>
      <c r="H163" s="25" t="s">
        <v>5253</v>
      </c>
      <c r="I163" s="25" t="s">
        <v>5263</v>
      </c>
      <c r="J163" s="25" t="s">
        <v>5276</v>
      </c>
      <c r="K163" s="25" t="s">
        <v>556</v>
      </c>
      <c r="L163" s="25" t="s">
        <v>4543</v>
      </c>
      <c r="M163" s="25" t="s">
        <v>4029</v>
      </c>
      <c r="N163" s="27" t="s">
        <v>2318</v>
      </c>
      <c r="O163" s="27" t="s">
        <v>5277</v>
      </c>
      <c r="P163" s="28">
        <v>43161</v>
      </c>
      <c r="Q163" s="28">
        <v>50466</v>
      </c>
      <c r="R163" s="25" t="str">
        <f t="shared" si="10"/>
        <v>男</v>
      </c>
      <c r="S163" s="25" t="s">
        <v>3984</v>
      </c>
      <c r="T163" s="28" t="str">
        <f t="shared" si="11"/>
        <v>1987-04-28</v>
      </c>
      <c r="U163" s="25">
        <f t="shared" ca="1" si="14"/>
        <v>38</v>
      </c>
      <c r="V163" s="25">
        <v>18291736309</v>
      </c>
      <c r="W163" s="28">
        <v>45870</v>
      </c>
      <c r="X163" s="28">
        <v>42088</v>
      </c>
      <c r="Y163" s="29" t="str">
        <f t="shared" ca="1" si="12"/>
        <v>11年0个月</v>
      </c>
      <c r="Z163" s="25"/>
      <c r="AA163" s="26" t="str">
        <f t="shared" ca="1" si="13"/>
        <v>11年0个月</v>
      </c>
      <c r="AB163" s="25" t="s">
        <v>4034</v>
      </c>
      <c r="AC163" s="25" t="s">
        <v>28</v>
      </c>
      <c r="AD163" s="25" t="s">
        <v>4035</v>
      </c>
      <c r="AE163" s="25"/>
      <c r="AF163" s="25"/>
      <c r="AG163" s="27"/>
      <c r="AH163" s="25"/>
      <c r="AI163" s="25"/>
      <c r="AJ163" s="25"/>
      <c r="AK163" s="27"/>
      <c r="AL163" s="25" t="s">
        <v>305</v>
      </c>
      <c r="AM163" s="25"/>
      <c r="AN163" s="27" t="s">
        <v>4039</v>
      </c>
      <c r="AO163" s="25" t="s">
        <v>2320</v>
      </c>
      <c r="AP163" s="27" t="s">
        <v>5278</v>
      </c>
      <c r="AQ163" s="25"/>
      <c r="AR163" s="25" t="s">
        <v>2067</v>
      </c>
      <c r="AS163" s="26" t="s">
        <v>4011</v>
      </c>
      <c r="AT163" s="25" t="s">
        <v>2313</v>
      </c>
      <c r="AU163" s="25" t="s">
        <v>5279</v>
      </c>
      <c r="AV163" s="25" t="s">
        <v>2314</v>
      </c>
      <c r="AW163" s="30">
        <v>47603</v>
      </c>
      <c r="AX163" s="28">
        <v>45870</v>
      </c>
      <c r="AY163" s="28">
        <v>47603</v>
      </c>
      <c r="AZ163" s="28"/>
      <c r="BA163" s="28"/>
      <c r="BB163" s="28"/>
      <c r="BC163" s="25"/>
      <c r="BD163" s="25"/>
      <c r="BE163" s="25"/>
      <c r="BF163" s="25"/>
      <c r="BG163" s="25"/>
      <c r="BH163" s="25"/>
      <c r="BI163" s="27"/>
    </row>
    <row r="164" spans="1:61" ht="15.6" x14ac:dyDescent="0.25">
      <c r="A164" s="25">
        <v>162</v>
      </c>
      <c r="B164" s="25" t="s">
        <v>5280</v>
      </c>
      <c r="C164" s="25" t="s">
        <v>4002</v>
      </c>
      <c r="D164" s="26" t="s">
        <v>4150</v>
      </c>
      <c r="E164" s="26" t="s">
        <v>3975</v>
      </c>
      <c r="F164" s="25" t="s">
        <v>5204</v>
      </c>
      <c r="G164" s="25" t="s">
        <v>5205</v>
      </c>
      <c r="H164" s="25" t="s">
        <v>5253</v>
      </c>
      <c r="I164" s="25" t="s">
        <v>5281</v>
      </c>
      <c r="J164" s="25" t="s">
        <v>2793</v>
      </c>
      <c r="K164" s="25" t="s">
        <v>556</v>
      </c>
      <c r="L164" s="25" t="s">
        <v>5282</v>
      </c>
      <c r="M164" s="25" t="s">
        <v>4029</v>
      </c>
      <c r="N164" s="27" t="s">
        <v>5283</v>
      </c>
      <c r="O164" s="27" t="s">
        <v>4031</v>
      </c>
      <c r="P164" s="28">
        <v>39794</v>
      </c>
      <c r="Q164" s="28">
        <v>47099</v>
      </c>
      <c r="R164" s="25" t="str">
        <f t="shared" si="10"/>
        <v>男</v>
      </c>
      <c r="S164" s="25" t="s">
        <v>3984</v>
      </c>
      <c r="T164" s="28" t="str">
        <f t="shared" si="11"/>
        <v>1974-04-22</v>
      </c>
      <c r="U164" s="25">
        <f t="shared" ca="1" si="14"/>
        <v>51</v>
      </c>
      <c r="V164" s="25">
        <v>13658710650</v>
      </c>
      <c r="W164" s="28">
        <v>45870</v>
      </c>
      <c r="X164" s="28">
        <v>41407</v>
      </c>
      <c r="Y164" s="29" t="str">
        <f t="shared" ca="1" si="12"/>
        <v>12年11个月</v>
      </c>
      <c r="Z164" s="25" t="s">
        <v>5284</v>
      </c>
      <c r="AA164" s="26" t="str">
        <f t="shared" ca="1" si="13"/>
        <v>27年11个月</v>
      </c>
      <c r="AB164" s="25" t="s">
        <v>29</v>
      </c>
      <c r="AC164" s="25" t="s">
        <v>3985</v>
      </c>
      <c r="AD164" s="25" t="s">
        <v>3986</v>
      </c>
      <c r="AE164" s="25"/>
      <c r="AF164" s="25"/>
      <c r="AG164" s="27"/>
      <c r="AH164" s="25"/>
      <c r="AI164" s="25"/>
      <c r="AJ164" s="25"/>
      <c r="AK164" s="27"/>
      <c r="AL164" s="25" t="s">
        <v>1705</v>
      </c>
      <c r="AM164" s="25"/>
      <c r="AN164" s="27" t="s">
        <v>4039</v>
      </c>
      <c r="AO164" s="25"/>
      <c r="AP164" s="27"/>
      <c r="AQ164" s="25"/>
      <c r="AR164" s="27"/>
      <c r="AS164" s="26" t="s">
        <v>3990</v>
      </c>
      <c r="AT164" s="25" t="s">
        <v>294</v>
      </c>
      <c r="AU164" s="25" t="s">
        <v>5285</v>
      </c>
      <c r="AV164" s="25" t="s">
        <v>5286</v>
      </c>
      <c r="AW164" s="30" t="s">
        <v>4000</v>
      </c>
      <c r="AX164" s="28">
        <v>45870</v>
      </c>
      <c r="AY164" s="28" t="s">
        <v>4000</v>
      </c>
      <c r="AZ164" s="28"/>
      <c r="BA164" s="28"/>
      <c r="BB164" s="28"/>
      <c r="BC164" s="25"/>
      <c r="BD164" s="25"/>
      <c r="BE164" s="25"/>
      <c r="BF164" s="25"/>
      <c r="BG164" s="25"/>
      <c r="BH164" s="25"/>
      <c r="BI164" s="27"/>
    </row>
    <row r="165" spans="1:61" ht="15.6" x14ac:dyDescent="0.25">
      <c r="A165" s="25">
        <v>163</v>
      </c>
      <c r="B165" s="25" t="s">
        <v>5287</v>
      </c>
      <c r="C165" s="25" t="s">
        <v>4002</v>
      </c>
      <c r="D165" s="26" t="s">
        <v>4150</v>
      </c>
      <c r="E165" s="26" t="s">
        <v>3975</v>
      </c>
      <c r="F165" s="25" t="s">
        <v>5204</v>
      </c>
      <c r="G165" s="25" t="s">
        <v>5205</v>
      </c>
      <c r="H165" s="25" t="s">
        <v>5253</v>
      </c>
      <c r="I165" s="25" t="s">
        <v>5288</v>
      </c>
      <c r="J165" s="25" t="s">
        <v>2573</v>
      </c>
      <c r="K165" s="25" t="s">
        <v>556</v>
      </c>
      <c r="L165" s="25" t="s">
        <v>5282</v>
      </c>
      <c r="M165" s="25" t="s">
        <v>4029</v>
      </c>
      <c r="N165" s="27" t="s">
        <v>5289</v>
      </c>
      <c r="O165" s="27" t="s">
        <v>4031</v>
      </c>
      <c r="P165" s="28">
        <v>41453</v>
      </c>
      <c r="Q165" s="28">
        <v>48758</v>
      </c>
      <c r="R165" s="25" t="str">
        <f t="shared" ref="R165:R197" si="15">IF(MOD(RIGHT(LEFT(N165,17)),2),"男","女")</f>
        <v>男</v>
      </c>
      <c r="S165" s="25" t="s">
        <v>3984</v>
      </c>
      <c r="T165" s="28" t="str">
        <f t="shared" si="11"/>
        <v>1986-09-19</v>
      </c>
      <c r="U165" s="25">
        <f t="shared" ca="1" si="14"/>
        <v>39</v>
      </c>
      <c r="V165" s="25">
        <v>18088279129</v>
      </c>
      <c r="W165" s="28">
        <v>45870</v>
      </c>
      <c r="X165" s="28">
        <v>41684</v>
      </c>
      <c r="Y165" s="29" t="str">
        <f t="shared" ca="1" si="12"/>
        <v>12年1个月</v>
      </c>
      <c r="Z165" s="25" t="s">
        <v>4520</v>
      </c>
      <c r="AA165" s="26" t="str">
        <f t="shared" ca="1" si="13"/>
        <v>14年0个月</v>
      </c>
      <c r="AB165" s="25" t="s">
        <v>29</v>
      </c>
      <c r="AC165" s="25" t="s">
        <v>3985</v>
      </c>
      <c r="AD165" s="25" t="s">
        <v>4035</v>
      </c>
      <c r="AE165" s="25"/>
      <c r="AF165" s="25"/>
      <c r="AG165" s="27"/>
      <c r="AH165" s="25"/>
      <c r="AI165" s="25"/>
      <c r="AJ165" s="25"/>
      <c r="AK165" s="27"/>
      <c r="AL165" s="25" t="s">
        <v>4503</v>
      </c>
      <c r="AM165" s="25"/>
      <c r="AN165" s="27" t="s">
        <v>4039</v>
      </c>
      <c r="AO165" s="25" t="s">
        <v>5290</v>
      </c>
      <c r="AP165" s="27" t="s">
        <v>5291</v>
      </c>
      <c r="AQ165" s="25"/>
      <c r="AR165" s="27" t="s">
        <v>4993</v>
      </c>
      <c r="AS165" s="26" t="s">
        <v>4011</v>
      </c>
      <c r="AT165" s="25" t="s">
        <v>294</v>
      </c>
      <c r="AU165" s="25" t="s">
        <v>5292</v>
      </c>
      <c r="AV165" s="25" t="s">
        <v>5292</v>
      </c>
      <c r="AW165" s="30" t="s">
        <v>4000</v>
      </c>
      <c r="AX165" s="28">
        <v>45870</v>
      </c>
      <c r="AY165" s="28" t="s">
        <v>4000</v>
      </c>
      <c r="AZ165" s="28"/>
      <c r="BA165" s="28"/>
      <c r="BB165" s="28"/>
      <c r="BC165" s="25"/>
      <c r="BD165" s="25"/>
      <c r="BE165" s="25"/>
      <c r="BF165" s="25"/>
      <c r="BG165" s="25"/>
      <c r="BH165" s="25"/>
      <c r="BI165" s="27"/>
    </row>
    <row r="166" spans="1:61" ht="15.6" x14ac:dyDescent="0.25">
      <c r="A166" s="25">
        <v>164</v>
      </c>
      <c r="B166" s="25" t="s">
        <v>5293</v>
      </c>
      <c r="C166" s="25" t="s">
        <v>4002</v>
      </c>
      <c r="D166" s="26" t="s">
        <v>4150</v>
      </c>
      <c r="E166" s="26" t="s">
        <v>3975</v>
      </c>
      <c r="F166" s="25" t="s">
        <v>5204</v>
      </c>
      <c r="G166" s="25" t="s">
        <v>5205</v>
      </c>
      <c r="H166" s="25" t="s">
        <v>5253</v>
      </c>
      <c r="I166" s="25" t="s">
        <v>5288</v>
      </c>
      <c r="J166" s="25" t="s">
        <v>2865</v>
      </c>
      <c r="K166" s="25" t="s">
        <v>556</v>
      </c>
      <c r="L166" s="25" t="s">
        <v>5282</v>
      </c>
      <c r="M166" s="25" t="s">
        <v>4029</v>
      </c>
      <c r="N166" s="27" t="s">
        <v>5294</v>
      </c>
      <c r="O166" s="27" t="s">
        <v>4552</v>
      </c>
      <c r="P166" s="28">
        <v>42811</v>
      </c>
      <c r="Q166" s="28">
        <v>50116</v>
      </c>
      <c r="R166" s="25" t="str">
        <f t="shared" si="15"/>
        <v>男</v>
      </c>
      <c r="S166" s="25" t="s">
        <v>3984</v>
      </c>
      <c r="T166" s="28" t="str">
        <f t="shared" si="11"/>
        <v>1989-09-22</v>
      </c>
      <c r="U166" s="25">
        <f t="shared" ca="1" si="14"/>
        <v>36</v>
      </c>
      <c r="V166" s="25">
        <v>15969410747</v>
      </c>
      <c r="W166" s="28">
        <v>45870</v>
      </c>
      <c r="X166" s="28">
        <v>41236</v>
      </c>
      <c r="Y166" s="29" t="str">
        <f t="shared" ca="1" si="12"/>
        <v>13年4个月</v>
      </c>
      <c r="Z166" s="25"/>
      <c r="AA166" s="26" t="str">
        <f t="shared" ca="1" si="13"/>
        <v>13年4个月</v>
      </c>
      <c r="AB166" s="25" t="s">
        <v>4034</v>
      </c>
      <c r="AC166" s="25" t="s">
        <v>3985</v>
      </c>
      <c r="AD166" s="25" t="s">
        <v>4035</v>
      </c>
      <c r="AE166" s="25"/>
      <c r="AF166" s="25"/>
      <c r="AG166" s="27"/>
      <c r="AH166" s="25"/>
      <c r="AI166" s="25"/>
      <c r="AJ166" s="25"/>
      <c r="AK166" s="27"/>
      <c r="AL166" s="25" t="s">
        <v>1705</v>
      </c>
      <c r="AM166" s="25"/>
      <c r="AN166" s="27" t="s">
        <v>4039</v>
      </c>
      <c r="AO166" s="25"/>
      <c r="AP166" s="27"/>
      <c r="AQ166" s="25"/>
      <c r="AR166" s="27"/>
      <c r="AS166" s="26" t="s">
        <v>3990</v>
      </c>
      <c r="AT166" s="25" t="s">
        <v>4137</v>
      </c>
      <c r="AU166" s="25" t="s">
        <v>2863</v>
      </c>
      <c r="AV166" s="25" t="s">
        <v>2863</v>
      </c>
      <c r="AW166" s="30" t="s">
        <v>3991</v>
      </c>
      <c r="AX166" s="28">
        <v>45870</v>
      </c>
      <c r="AY166" s="28" t="s">
        <v>3991</v>
      </c>
      <c r="AZ166" s="28"/>
      <c r="BA166" s="28"/>
      <c r="BB166" s="28"/>
      <c r="BC166" s="25"/>
      <c r="BD166" s="25"/>
      <c r="BE166" s="25"/>
      <c r="BF166" s="25"/>
      <c r="BG166" s="25"/>
      <c r="BH166" s="25"/>
      <c r="BI166" s="27"/>
    </row>
    <row r="167" spans="1:61" ht="15.6" x14ac:dyDescent="0.25">
      <c r="A167" s="25">
        <v>165</v>
      </c>
      <c r="B167" s="25" t="s">
        <v>5295</v>
      </c>
      <c r="C167" s="25" t="s">
        <v>4002</v>
      </c>
      <c r="D167" s="26" t="s">
        <v>4150</v>
      </c>
      <c r="E167" s="26" t="s">
        <v>3975</v>
      </c>
      <c r="F167" s="25" t="s">
        <v>5204</v>
      </c>
      <c r="G167" s="25" t="s">
        <v>5205</v>
      </c>
      <c r="H167" s="25" t="s">
        <v>5253</v>
      </c>
      <c r="I167" s="25" t="s">
        <v>5288</v>
      </c>
      <c r="J167" s="25" t="s">
        <v>2839</v>
      </c>
      <c r="K167" s="25" t="s">
        <v>556</v>
      </c>
      <c r="L167" s="25" t="s">
        <v>5282</v>
      </c>
      <c r="M167" s="25" t="s">
        <v>4029</v>
      </c>
      <c r="N167" s="27" t="s">
        <v>5296</v>
      </c>
      <c r="O167" s="27" t="s">
        <v>5297</v>
      </c>
      <c r="P167" s="28">
        <v>43318</v>
      </c>
      <c r="Q167" s="28">
        <v>50623</v>
      </c>
      <c r="R167" s="25" t="str">
        <f t="shared" si="15"/>
        <v>男</v>
      </c>
      <c r="S167" s="25" t="s">
        <v>3984</v>
      </c>
      <c r="T167" s="28" t="str">
        <f t="shared" si="11"/>
        <v>1991-05-13</v>
      </c>
      <c r="U167" s="25">
        <f t="shared" ca="1" si="14"/>
        <v>34</v>
      </c>
      <c r="V167" s="25">
        <v>13888478394</v>
      </c>
      <c r="W167" s="28">
        <v>45870</v>
      </c>
      <c r="X167" s="28">
        <v>41249</v>
      </c>
      <c r="Y167" s="29" t="str">
        <f t="shared" ca="1" si="12"/>
        <v>13年4个月</v>
      </c>
      <c r="Z167" s="25"/>
      <c r="AA167" s="26" t="str">
        <f t="shared" ca="1" si="13"/>
        <v>13年4个月</v>
      </c>
      <c r="AB167" s="25" t="s">
        <v>29</v>
      </c>
      <c r="AC167" s="25" t="s">
        <v>3985</v>
      </c>
      <c r="AD167" s="25" t="s">
        <v>4035</v>
      </c>
      <c r="AE167" s="25"/>
      <c r="AF167" s="25"/>
      <c r="AG167" s="27"/>
      <c r="AH167" s="25"/>
      <c r="AI167" s="25"/>
      <c r="AJ167" s="25"/>
      <c r="AK167" s="27"/>
      <c r="AL167" s="25" t="s">
        <v>305</v>
      </c>
      <c r="AM167" s="25"/>
      <c r="AN167" s="27" t="s">
        <v>4039</v>
      </c>
      <c r="AO167" s="25" t="s">
        <v>4040</v>
      </c>
      <c r="AP167" s="27" t="s">
        <v>5298</v>
      </c>
      <c r="AQ167" s="25"/>
      <c r="AR167" s="27" t="s">
        <v>5299</v>
      </c>
      <c r="AS167" s="26" t="s">
        <v>3990</v>
      </c>
      <c r="AT167" s="25" t="s">
        <v>5300</v>
      </c>
      <c r="AU167" s="25" t="s">
        <v>5301</v>
      </c>
      <c r="AV167" s="25" t="s">
        <v>5301</v>
      </c>
      <c r="AW167" s="30" t="s">
        <v>4000</v>
      </c>
      <c r="AX167" s="28">
        <v>45870</v>
      </c>
      <c r="AY167" s="28" t="s">
        <v>4000</v>
      </c>
      <c r="AZ167" s="28"/>
      <c r="BA167" s="28"/>
      <c r="BB167" s="28"/>
      <c r="BC167" s="25"/>
      <c r="BD167" s="25"/>
      <c r="BE167" s="25"/>
      <c r="BF167" s="25"/>
      <c r="BG167" s="25"/>
      <c r="BH167" s="25"/>
      <c r="BI167" s="27"/>
    </row>
    <row r="168" spans="1:61" ht="15.6" x14ac:dyDescent="0.25">
      <c r="A168" s="25">
        <v>166</v>
      </c>
      <c r="B168" s="25" t="s">
        <v>5302</v>
      </c>
      <c r="C168" s="25" t="s">
        <v>4002</v>
      </c>
      <c r="D168" s="26" t="s">
        <v>4150</v>
      </c>
      <c r="E168" s="26" t="s">
        <v>3975</v>
      </c>
      <c r="F168" s="25" t="s">
        <v>5204</v>
      </c>
      <c r="G168" s="25" t="s">
        <v>5205</v>
      </c>
      <c r="H168" s="25" t="s">
        <v>5253</v>
      </c>
      <c r="I168" s="25" t="s">
        <v>5303</v>
      </c>
      <c r="J168" s="25" t="s">
        <v>3268</v>
      </c>
      <c r="K168" s="25" t="s">
        <v>556</v>
      </c>
      <c r="L168" s="25" t="s">
        <v>5282</v>
      </c>
      <c r="M168" s="25" t="s">
        <v>4029</v>
      </c>
      <c r="N168" s="27" t="s">
        <v>5304</v>
      </c>
      <c r="O168" s="27" t="s">
        <v>3981</v>
      </c>
      <c r="P168" s="28">
        <v>39346</v>
      </c>
      <c r="Q168" s="28">
        <v>46651</v>
      </c>
      <c r="R168" s="25" t="str">
        <f t="shared" si="15"/>
        <v>男</v>
      </c>
      <c r="S168" s="25" t="s">
        <v>3984</v>
      </c>
      <c r="T168" s="28" t="str">
        <f t="shared" si="11"/>
        <v>1975-10-25</v>
      </c>
      <c r="U168" s="25">
        <f t="shared" ca="1" si="14"/>
        <v>50</v>
      </c>
      <c r="V168" s="25">
        <v>13888252773</v>
      </c>
      <c r="W168" s="28">
        <v>45870</v>
      </c>
      <c r="X168" s="43">
        <v>39511</v>
      </c>
      <c r="Y168" s="29" t="str">
        <f t="shared" ca="1" si="12"/>
        <v>18年1个月</v>
      </c>
      <c r="Z168" s="25" t="s">
        <v>5305</v>
      </c>
      <c r="AA168" s="26" t="str">
        <f t="shared" ca="1" si="13"/>
        <v>30年4个月</v>
      </c>
      <c r="AB168" s="25" t="s">
        <v>29</v>
      </c>
      <c r="AC168" s="25" t="s">
        <v>3985</v>
      </c>
      <c r="AD168" s="25" t="s">
        <v>3986</v>
      </c>
      <c r="AE168" s="25"/>
      <c r="AF168" s="25"/>
      <c r="AG168" s="27"/>
      <c r="AH168" s="25"/>
      <c r="AI168" s="25"/>
      <c r="AJ168" s="25"/>
      <c r="AK168" s="27"/>
      <c r="AL168" s="25" t="s">
        <v>4246</v>
      </c>
      <c r="AM168" s="25"/>
      <c r="AN168" s="27" t="s">
        <v>4039</v>
      </c>
      <c r="AO168" s="25" t="s">
        <v>5306</v>
      </c>
      <c r="AP168" s="27" t="s">
        <v>5307</v>
      </c>
      <c r="AQ168" s="25"/>
      <c r="AR168" s="25" t="s">
        <v>5308</v>
      </c>
      <c r="AS168" s="26" t="s">
        <v>3990</v>
      </c>
      <c r="AT168" s="25" t="s">
        <v>668</v>
      </c>
      <c r="AU168" s="25" t="s">
        <v>3266</v>
      </c>
      <c r="AV168" s="25" t="s">
        <v>3266</v>
      </c>
      <c r="AW168" s="30" t="s">
        <v>4000</v>
      </c>
      <c r="AX168" s="28">
        <v>45870</v>
      </c>
      <c r="AY168" s="28" t="s">
        <v>4000</v>
      </c>
      <c r="AZ168" s="28"/>
      <c r="BA168" s="28"/>
      <c r="BB168" s="28"/>
      <c r="BC168" s="25"/>
      <c r="BD168" s="25"/>
      <c r="BE168" s="25"/>
      <c r="BF168" s="25"/>
      <c r="BG168" s="25"/>
      <c r="BH168" s="25"/>
      <c r="BI168" s="27"/>
    </row>
    <row r="169" spans="1:61" ht="15.6" x14ac:dyDescent="0.25">
      <c r="A169" s="25">
        <v>167</v>
      </c>
      <c r="B169" s="25" t="s">
        <v>5309</v>
      </c>
      <c r="C169" s="25" t="s">
        <v>4002</v>
      </c>
      <c r="D169" s="26" t="s">
        <v>4150</v>
      </c>
      <c r="E169" s="26" t="s">
        <v>3975</v>
      </c>
      <c r="F169" s="25" t="s">
        <v>5204</v>
      </c>
      <c r="G169" s="25" t="s">
        <v>5205</v>
      </c>
      <c r="H169" s="25" t="s">
        <v>5253</v>
      </c>
      <c r="I169" s="25" t="s">
        <v>5303</v>
      </c>
      <c r="J169" s="25" t="s">
        <v>3372</v>
      </c>
      <c r="K169" s="25" t="s">
        <v>556</v>
      </c>
      <c r="L169" s="25" t="s">
        <v>5282</v>
      </c>
      <c r="M169" s="25" t="s">
        <v>4029</v>
      </c>
      <c r="N169" s="27" t="s">
        <v>5310</v>
      </c>
      <c r="O169" s="27" t="s">
        <v>4031</v>
      </c>
      <c r="P169" s="28">
        <v>42620</v>
      </c>
      <c r="Q169" s="28">
        <v>49925</v>
      </c>
      <c r="R169" s="25" t="str">
        <f t="shared" si="15"/>
        <v>男</v>
      </c>
      <c r="S169" s="25" t="s">
        <v>3984</v>
      </c>
      <c r="T169" s="28" t="str">
        <f t="shared" si="11"/>
        <v>1990-06-08</v>
      </c>
      <c r="U169" s="25">
        <f t="shared" ca="1" si="14"/>
        <v>35</v>
      </c>
      <c r="V169" s="25">
        <v>13669761325</v>
      </c>
      <c r="W169" s="28">
        <v>45870</v>
      </c>
      <c r="X169" s="43">
        <v>39237</v>
      </c>
      <c r="Y169" s="29" t="str">
        <f t="shared" ca="1" si="12"/>
        <v>18年10个月</v>
      </c>
      <c r="Z169" s="25"/>
      <c r="AA169" s="26" t="str">
        <f t="shared" ca="1" si="13"/>
        <v>18年10个月</v>
      </c>
      <c r="AB169" s="25" t="s">
        <v>4034</v>
      </c>
      <c r="AC169" s="25" t="s">
        <v>3985</v>
      </c>
      <c r="AD169" s="25" t="s">
        <v>3986</v>
      </c>
      <c r="AE169" s="25"/>
      <c r="AF169" s="25"/>
      <c r="AG169" s="27"/>
      <c r="AH169" s="25"/>
      <c r="AI169" s="25"/>
      <c r="AJ169" s="25"/>
      <c r="AK169" s="27"/>
      <c r="AL169" s="25" t="s">
        <v>4246</v>
      </c>
      <c r="AM169" s="25"/>
      <c r="AN169" s="27" t="s">
        <v>4039</v>
      </c>
      <c r="AO169" s="25" t="s">
        <v>5311</v>
      </c>
      <c r="AP169" s="27" t="s">
        <v>5312</v>
      </c>
      <c r="AQ169" s="25"/>
      <c r="AR169" s="25" t="s">
        <v>5313</v>
      </c>
      <c r="AS169" s="26" t="s">
        <v>3990</v>
      </c>
      <c r="AT169" s="25" t="s">
        <v>294</v>
      </c>
      <c r="AU169" s="25" t="s">
        <v>5314</v>
      </c>
      <c r="AV169" s="25" t="s">
        <v>5314</v>
      </c>
      <c r="AW169" s="30">
        <v>46142</v>
      </c>
      <c r="AX169" s="28">
        <v>45870</v>
      </c>
      <c r="AY169" s="28">
        <v>46142</v>
      </c>
      <c r="AZ169" s="28"/>
      <c r="BA169" s="28"/>
      <c r="BB169" s="28"/>
      <c r="BC169" s="25"/>
      <c r="BD169" s="25"/>
      <c r="BE169" s="25"/>
      <c r="BF169" s="25"/>
      <c r="BG169" s="25"/>
      <c r="BH169" s="25"/>
      <c r="BI169" s="27"/>
    </row>
    <row r="170" spans="1:61" ht="15.6" x14ac:dyDescent="0.25">
      <c r="A170" s="25">
        <v>168</v>
      </c>
      <c r="B170" s="25" t="s">
        <v>5315</v>
      </c>
      <c r="C170" s="25" t="s">
        <v>4002</v>
      </c>
      <c r="D170" s="26" t="s">
        <v>4150</v>
      </c>
      <c r="E170" s="26" t="s">
        <v>3975</v>
      </c>
      <c r="F170" s="25" t="s">
        <v>5204</v>
      </c>
      <c r="G170" s="25" t="s">
        <v>5205</v>
      </c>
      <c r="H170" s="25" t="s">
        <v>5253</v>
      </c>
      <c r="I170" s="25" t="s">
        <v>5303</v>
      </c>
      <c r="J170" s="25" t="s">
        <v>3259</v>
      </c>
      <c r="K170" s="25" t="s">
        <v>556</v>
      </c>
      <c r="L170" s="25" t="s">
        <v>5282</v>
      </c>
      <c r="M170" s="25" t="s">
        <v>4029</v>
      </c>
      <c r="N170" s="27" t="s">
        <v>5316</v>
      </c>
      <c r="O170" s="27" t="s">
        <v>5317</v>
      </c>
      <c r="P170" s="28">
        <v>38892</v>
      </c>
      <c r="Q170" s="28">
        <v>46197</v>
      </c>
      <c r="R170" s="25" t="str">
        <f t="shared" si="15"/>
        <v>男</v>
      </c>
      <c r="S170" s="25" t="s">
        <v>3984</v>
      </c>
      <c r="T170" s="28" t="str">
        <f t="shared" si="11"/>
        <v>1977-06-01</v>
      </c>
      <c r="U170" s="25">
        <f t="shared" ca="1" si="14"/>
        <v>48</v>
      </c>
      <c r="V170" s="25">
        <v>13518705179</v>
      </c>
      <c r="W170" s="28">
        <v>45870</v>
      </c>
      <c r="X170" s="43">
        <v>39514</v>
      </c>
      <c r="Y170" s="29" t="str">
        <f t="shared" ca="1" si="12"/>
        <v>18年1个月</v>
      </c>
      <c r="Z170" s="25"/>
      <c r="AA170" s="26" t="str">
        <f t="shared" ca="1" si="13"/>
        <v>18年1个月</v>
      </c>
      <c r="AB170" s="25" t="s">
        <v>29</v>
      </c>
      <c r="AC170" s="25" t="s">
        <v>3985</v>
      </c>
      <c r="AD170" s="25" t="s">
        <v>4035</v>
      </c>
      <c r="AE170" s="25"/>
      <c r="AF170" s="25"/>
      <c r="AG170" s="27"/>
      <c r="AH170" s="25"/>
      <c r="AI170" s="25"/>
      <c r="AJ170" s="25"/>
      <c r="AK170" s="27"/>
      <c r="AL170" s="25" t="s">
        <v>1705</v>
      </c>
      <c r="AM170" s="25"/>
      <c r="AN170" s="27" t="s">
        <v>4039</v>
      </c>
      <c r="AO170" s="25"/>
      <c r="AP170" s="27"/>
      <c r="AQ170" s="25"/>
      <c r="AR170" s="25"/>
      <c r="AS170" s="26" t="s">
        <v>3990</v>
      </c>
      <c r="AT170" s="25" t="s">
        <v>4527</v>
      </c>
      <c r="AU170" s="25" t="s">
        <v>3257</v>
      </c>
      <c r="AV170" s="25" t="s">
        <v>3257</v>
      </c>
      <c r="AW170" s="30">
        <v>46142</v>
      </c>
      <c r="AX170" s="28">
        <v>45870</v>
      </c>
      <c r="AY170" s="28">
        <v>46142</v>
      </c>
      <c r="AZ170" s="28"/>
      <c r="BA170" s="28"/>
      <c r="BB170" s="28"/>
      <c r="BC170" s="25"/>
      <c r="BD170" s="25"/>
      <c r="BE170" s="25"/>
      <c r="BF170" s="25"/>
      <c r="BG170" s="25"/>
      <c r="BH170" s="25"/>
      <c r="BI170" s="27"/>
    </row>
    <row r="171" spans="1:61" ht="15.6" x14ac:dyDescent="0.25">
      <c r="A171" s="25">
        <v>169</v>
      </c>
      <c r="B171" s="25" t="s">
        <v>5318</v>
      </c>
      <c r="C171" s="25" t="s">
        <v>4002</v>
      </c>
      <c r="D171" s="26" t="s">
        <v>4150</v>
      </c>
      <c r="E171" s="26" t="s">
        <v>3975</v>
      </c>
      <c r="F171" s="25" t="s">
        <v>5204</v>
      </c>
      <c r="G171" s="25" t="s">
        <v>5205</v>
      </c>
      <c r="H171" s="25" t="s">
        <v>5253</v>
      </c>
      <c r="I171" s="25" t="s">
        <v>5319</v>
      </c>
      <c r="J171" s="25" t="s">
        <v>5320</v>
      </c>
      <c r="K171" s="25" t="s">
        <v>556</v>
      </c>
      <c r="L171" s="25" t="s">
        <v>5282</v>
      </c>
      <c r="M171" s="25" t="s">
        <v>4029</v>
      </c>
      <c r="N171" s="27" t="s">
        <v>5321</v>
      </c>
      <c r="O171" s="27" t="s">
        <v>4129</v>
      </c>
      <c r="P171" s="28">
        <v>45105</v>
      </c>
      <c r="Q171" s="28">
        <v>52410</v>
      </c>
      <c r="R171" s="25" t="str">
        <f t="shared" si="15"/>
        <v>男</v>
      </c>
      <c r="S171" s="25" t="s">
        <v>3984</v>
      </c>
      <c r="T171" s="28" t="str">
        <f t="shared" si="11"/>
        <v>1990-12-15</v>
      </c>
      <c r="U171" s="25">
        <f t="shared" ca="1" si="14"/>
        <v>35</v>
      </c>
      <c r="V171" s="25">
        <v>18388003052</v>
      </c>
      <c r="W171" s="28">
        <v>44470</v>
      </c>
      <c r="X171" s="28">
        <v>40749</v>
      </c>
      <c r="Y171" s="29" t="str">
        <f t="shared" ca="1" si="12"/>
        <v>14年8个月</v>
      </c>
      <c r="Z171" s="25"/>
      <c r="AA171" s="26" t="str">
        <f t="shared" ca="1" si="13"/>
        <v>14年8个月</v>
      </c>
      <c r="AB171" s="25" t="s">
        <v>4034</v>
      </c>
      <c r="AC171" s="25" t="s">
        <v>3985</v>
      </c>
      <c r="AD171" s="25" t="s">
        <v>4035</v>
      </c>
      <c r="AE171" s="25"/>
      <c r="AF171" s="25"/>
      <c r="AG171" s="27"/>
      <c r="AH171" s="25" t="s">
        <v>4036</v>
      </c>
      <c r="AI171" s="25" t="s">
        <v>3435</v>
      </c>
      <c r="AJ171" s="25" t="s">
        <v>964</v>
      </c>
      <c r="AK171" s="27" t="s">
        <v>5322</v>
      </c>
      <c r="AL171" s="25" t="s">
        <v>4503</v>
      </c>
      <c r="AM171" s="25"/>
      <c r="AN171" s="27" t="s">
        <v>4039</v>
      </c>
      <c r="AO171" s="25" t="s">
        <v>5323</v>
      </c>
      <c r="AP171" s="27" t="s">
        <v>5324</v>
      </c>
      <c r="AQ171" s="25"/>
      <c r="AR171" s="27" t="s">
        <v>5325</v>
      </c>
      <c r="AS171" s="26" t="s">
        <v>3990</v>
      </c>
      <c r="AT171" s="25" t="s">
        <v>4137</v>
      </c>
      <c r="AU171" s="25" t="s">
        <v>2996</v>
      </c>
      <c r="AV171" s="25" t="s">
        <v>2996</v>
      </c>
      <c r="AW171" s="30">
        <v>47238</v>
      </c>
      <c r="AX171" s="28">
        <v>44470</v>
      </c>
      <c r="AY171" s="28">
        <v>45412</v>
      </c>
      <c r="AZ171" s="28">
        <v>47238</v>
      </c>
      <c r="BA171" s="28"/>
      <c r="BB171" s="28"/>
      <c r="BC171" s="25"/>
      <c r="BD171" s="25"/>
      <c r="BE171" s="25"/>
      <c r="BF171" s="25"/>
      <c r="BG171" s="25"/>
      <c r="BH171" s="25"/>
      <c r="BI171" s="27"/>
    </row>
    <row r="172" spans="1:61" ht="15.6" x14ac:dyDescent="0.25">
      <c r="A172" s="25">
        <v>170</v>
      </c>
      <c r="B172" s="25" t="s">
        <v>5326</v>
      </c>
      <c r="C172" s="25" t="s">
        <v>4002</v>
      </c>
      <c r="D172" s="26" t="s">
        <v>4150</v>
      </c>
      <c r="E172" s="26" t="s">
        <v>3975</v>
      </c>
      <c r="F172" s="25" t="s">
        <v>5204</v>
      </c>
      <c r="G172" s="25" t="s">
        <v>5205</v>
      </c>
      <c r="H172" s="25" t="s">
        <v>5253</v>
      </c>
      <c r="I172" s="25" t="s">
        <v>5319</v>
      </c>
      <c r="J172" s="25" t="s">
        <v>1701</v>
      </c>
      <c r="K172" s="25" t="s">
        <v>556</v>
      </c>
      <c r="L172" s="25" t="s">
        <v>5282</v>
      </c>
      <c r="M172" s="25" t="s">
        <v>4029</v>
      </c>
      <c r="N172" s="27" t="s">
        <v>5327</v>
      </c>
      <c r="O172" s="27" t="s">
        <v>4573</v>
      </c>
      <c r="P172" s="28">
        <v>43656</v>
      </c>
      <c r="Q172" s="28">
        <v>50961</v>
      </c>
      <c r="R172" s="25" t="str">
        <f t="shared" si="15"/>
        <v>男</v>
      </c>
      <c r="S172" s="25" t="s">
        <v>4032</v>
      </c>
      <c r="T172" s="28" t="str">
        <f t="shared" si="11"/>
        <v>1986-03-27</v>
      </c>
      <c r="U172" s="25">
        <f t="shared" ca="1" si="14"/>
        <v>40</v>
      </c>
      <c r="V172" s="25">
        <v>18589378281</v>
      </c>
      <c r="W172" s="28">
        <v>45870</v>
      </c>
      <c r="X172" s="28">
        <v>43770</v>
      </c>
      <c r="Y172" s="29" t="str">
        <f t="shared" ca="1" si="12"/>
        <v>6年5个月</v>
      </c>
      <c r="Z172" s="25"/>
      <c r="AA172" s="26" t="str">
        <f t="shared" ca="1" si="13"/>
        <v>6年5个月</v>
      </c>
      <c r="AB172" s="25" t="s">
        <v>4049</v>
      </c>
      <c r="AC172" s="25" t="s">
        <v>3985</v>
      </c>
      <c r="AD172" s="25" t="s">
        <v>4035</v>
      </c>
      <c r="AE172" s="25"/>
      <c r="AF172" s="25"/>
      <c r="AG172" s="27"/>
      <c r="AH172" s="25"/>
      <c r="AI172" s="25"/>
      <c r="AJ172" s="25"/>
      <c r="AK172" s="27"/>
      <c r="AL172" s="25" t="s">
        <v>1705</v>
      </c>
      <c r="AM172" s="25"/>
      <c r="AN172" s="27" t="s">
        <v>4039</v>
      </c>
      <c r="AO172" s="25" t="s">
        <v>5328</v>
      </c>
      <c r="AP172" s="27"/>
      <c r="AQ172" s="25"/>
      <c r="AR172" s="27"/>
      <c r="AS172" s="26" t="s">
        <v>3990</v>
      </c>
      <c r="AT172" s="25" t="s">
        <v>4239</v>
      </c>
      <c r="AU172" s="25" t="s">
        <v>5329</v>
      </c>
      <c r="AV172" s="25" t="s">
        <v>5330</v>
      </c>
      <c r="AW172" s="30">
        <v>47238</v>
      </c>
      <c r="AX172" s="28">
        <v>45870</v>
      </c>
      <c r="AY172" s="28">
        <v>47238</v>
      </c>
      <c r="AZ172" s="28"/>
      <c r="BA172" s="28"/>
      <c r="BB172" s="28"/>
      <c r="BC172" s="25"/>
      <c r="BD172" s="25"/>
      <c r="BE172" s="25"/>
      <c r="BF172" s="25"/>
      <c r="BG172" s="25"/>
      <c r="BH172" s="25"/>
      <c r="BI172" s="27"/>
    </row>
    <row r="173" spans="1:61" ht="15.6" x14ac:dyDescent="0.25">
      <c r="A173" s="25">
        <v>171</v>
      </c>
      <c r="B173" s="25" t="s">
        <v>5331</v>
      </c>
      <c r="C173" s="25" t="s">
        <v>4002</v>
      </c>
      <c r="D173" s="26" t="s">
        <v>4150</v>
      </c>
      <c r="E173" s="26" t="s">
        <v>3975</v>
      </c>
      <c r="F173" s="25" t="s">
        <v>5204</v>
      </c>
      <c r="G173" s="25" t="s">
        <v>5205</v>
      </c>
      <c r="H173" s="25" t="s">
        <v>5253</v>
      </c>
      <c r="I173" s="25" t="s">
        <v>5319</v>
      </c>
      <c r="J173" s="25" t="s">
        <v>1285</v>
      </c>
      <c r="K173" s="25" t="s">
        <v>556</v>
      </c>
      <c r="L173" s="25" t="s">
        <v>5282</v>
      </c>
      <c r="M173" s="25" t="s">
        <v>4029</v>
      </c>
      <c r="N173" s="27" t="s">
        <v>5332</v>
      </c>
      <c r="O173" s="27" t="s">
        <v>4031</v>
      </c>
      <c r="P173" s="28">
        <v>42879</v>
      </c>
      <c r="Q173" s="28">
        <v>50184</v>
      </c>
      <c r="R173" s="25" t="str">
        <f t="shared" si="15"/>
        <v>男</v>
      </c>
      <c r="S173" s="25" t="s">
        <v>3984</v>
      </c>
      <c r="T173" s="28" t="str">
        <f t="shared" si="11"/>
        <v>1972-09-29</v>
      </c>
      <c r="U173" s="25">
        <f t="shared" ca="1" si="14"/>
        <v>53</v>
      </c>
      <c r="V173" s="25">
        <v>13888834810</v>
      </c>
      <c r="W173" s="28">
        <v>45870</v>
      </c>
      <c r="X173" s="43">
        <v>39349</v>
      </c>
      <c r="Y173" s="29" t="str">
        <f t="shared" ca="1" si="12"/>
        <v>18年6个月</v>
      </c>
      <c r="Z173" s="25"/>
      <c r="AA173" s="26" t="str">
        <f t="shared" ca="1" si="13"/>
        <v>18年6个月</v>
      </c>
      <c r="AB173" s="25" t="s">
        <v>5333</v>
      </c>
      <c r="AC173" s="25" t="s">
        <v>3985</v>
      </c>
      <c r="AD173" s="25" t="s">
        <v>4035</v>
      </c>
      <c r="AE173" s="25"/>
      <c r="AF173" s="25"/>
      <c r="AG173" s="27"/>
      <c r="AH173" s="25"/>
      <c r="AI173" s="25"/>
      <c r="AJ173" s="25"/>
      <c r="AK173" s="27"/>
      <c r="AL173" s="25" t="s">
        <v>120</v>
      </c>
      <c r="AM173" s="25"/>
      <c r="AN173" s="27" t="s">
        <v>4039</v>
      </c>
      <c r="AO173" s="25" t="s">
        <v>5334</v>
      </c>
      <c r="AP173" s="27" t="s">
        <v>5335</v>
      </c>
      <c r="AQ173" s="25"/>
      <c r="AR173" s="25"/>
      <c r="AS173" s="26" t="s">
        <v>3990</v>
      </c>
      <c r="AT173" s="25" t="s">
        <v>294</v>
      </c>
      <c r="AU173" s="25" t="s">
        <v>5336</v>
      </c>
      <c r="AV173" s="25" t="s">
        <v>5336</v>
      </c>
      <c r="AW173" s="30" t="s">
        <v>3991</v>
      </c>
      <c r="AX173" s="28">
        <v>45870</v>
      </c>
      <c r="AY173" s="28" t="s">
        <v>3991</v>
      </c>
      <c r="AZ173" s="28"/>
      <c r="BA173" s="28"/>
      <c r="BB173" s="28"/>
      <c r="BC173" s="25"/>
      <c r="BD173" s="25"/>
      <c r="BE173" s="25"/>
      <c r="BF173" s="25"/>
      <c r="BG173" s="25"/>
      <c r="BH173" s="25"/>
      <c r="BI173" s="27"/>
    </row>
    <row r="174" spans="1:61" ht="15.6" x14ac:dyDescent="0.25">
      <c r="A174" s="25">
        <v>172</v>
      </c>
      <c r="B174" s="25" t="s">
        <v>5337</v>
      </c>
      <c r="C174" s="25" t="s">
        <v>4002</v>
      </c>
      <c r="D174" s="26" t="s">
        <v>4150</v>
      </c>
      <c r="E174" s="26" t="s">
        <v>3975</v>
      </c>
      <c r="F174" s="25" t="s">
        <v>5204</v>
      </c>
      <c r="G174" s="25" t="s">
        <v>5205</v>
      </c>
      <c r="H174" s="25" t="s">
        <v>5253</v>
      </c>
      <c r="I174" s="25" t="s">
        <v>5319</v>
      </c>
      <c r="J174" s="25" t="s">
        <v>1285</v>
      </c>
      <c r="K174" s="25" t="s">
        <v>556</v>
      </c>
      <c r="L174" s="25" t="s">
        <v>5282</v>
      </c>
      <c r="M174" s="25" t="s">
        <v>4029</v>
      </c>
      <c r="N174" s="27" t="s">
        <v>5338</v>
      </c>
      <c r="O174" s="27" t="s">
        <v>4031</v>
      </c>
      <c r="P174" s="28">
        <v>43845</v>
      </c>
      <c r="Q174" s="28">
        <v>47498</v>
      </c>
      <c r="R174" s="25" t="str">
        <f t="shared" si="15"/>
        <v>男</v>
      </c>
      <c r="S174" s="25" t="s">
        <v>3984</v>
      </c>
      <c r="T174" s="28" t="str">
        <f t="shared" si="11"/>
        <v>2000-09-30</v>
      </c>
      <c r="U174" s="25">
        <f t="shared" ca="1" si="14"/>
        <v>25</v>
      </c>
      <c r="V174" s="25">
        <v>18313714737</v>
      </c>
      <c r="W174" s="28">
        <v>45870</v>
      </c>
      <c r="X174" s="28">
        <v>45110</v>
      </c>
      <c r="Y174" s="29" t="str">
        <f t="shared" ca="1" si="12"/>
        <v>2年9个月</v>
      </c>
      <c r="Z174" s="26"/>
      <c r="AA174" s="26" t="str">
        <f t="shared" ca="1" si="13"/>
        <v>2年9个月</v>
      </c>
      <c r="AB174" s="25" t="s">
        <v>29</v>
      </c>
      <c r="AC174" s="25" t="s">
        <v>272</v>
      </c>
      <c r="AD174" s="25" t="s">
        <v>4035</v>
      </c>
      <c r="AE174" s="25"/>
      <c r="AF174" s="25"/>
      <c r="AG174" s="27"/>
      <c r="AH174" s="25"/>
      <c r="AI174" s="25"/>
      <c r="AJ174" s="25"/>
      <c r="AK174" s="27"/>
      <c r="AL174" s="25" t="s">
        <v>81</v>
      </c>
      <c r="AM174" s="25" t="s">
        <v>3987</v>
      </c>
      <c r="AN174" s="27" t="s">
        <v>5339</v>
      </c>
      <c r="AO174" s="25" t="s">
        <v>4062</v>
      </c>
      <c r="AP174" s="27" t="s">
        <v>5340</v>
      </c>
      <c r="AQ174" s="25"/>
      <c r="AR174" s="25"/>
      <c r="AS174" s="26" t="s">
        <v>3990</v>
      </c>
      <c r="AT174" s="25" t="s">
        <v>4043</v>
      </c>
      <c r="AU174" s="25" t="s">
        <v>5341</v>
      </c>
      <c r="AV174" s="25" t="s">
        <v>5341</v>
      </c>
      <c r="AW174" s="30">
        <v>46507</v>
      </c>
      <c r="AX174" s="28">
        <v>45870</v>
      </c>
      <c r="AY174" s="28">
        <v>46507</v>
      </c>
      <c r="AZ174" s="28"/>
      <c r="BA174" s="28"/>
      <c r="BB174" s="28"/>
      <c r="BC174" s="25"/>
      <c r="BD174" s="25"/>
      <c r="BE174" s="25"/>
      <c r="BF174" s="25"/>
      <c r="BG174" s="25"/>
      <c r="BH174" s="25"/>
      <c r="BI174" s="27"/>
    </row>
    <row r="175" spans="1:61" ht="15.6" x14ac:dyDescent="0.25">
      <c r="A175" s="25">
        <v>173</v>
      </c>
      <c r="B175" s="25" t="s">
        <v>5342</v>
      </c>
      <c r="C175" s="25" t="s">
        <v>4002</v>
      </c>
      <c r="D175" s="26" t="s">
        <v>4150</v>
      </c>
      <c r="E175" s="26" t="s">
        <v>3975</v>
      </c>
      <c r="F175" s="25" t="s">
        <v>5204</v>
      </c>
      <c r="G175" s="25" t="s">
        <v>5205</v>
      </c>
      <c r="H175" s="25" t="s">
        <v>5253</v>
      </c>
      <c r="I175" s="25" t="s">
        <v>5319</v>
      </c>
      <c r="J175" s="25" t="s">
        <v>1285</v>
      </c>
      <c r="K175" s="25" t="s">
        <v>556</v>
      </c>
      <c r="L175" s="25" t="s">
        <v>5282</v>
      </c>
      <c r="M175" s="25" t="s">
        <v>4029</v>
      </c>
      <c r="N175" s="27" t="s">
        <v>5343</v>
      </c>
      <c r="O175" s="27" t="s">
        <v>4031</v>
      </c>
      <c r="P175" s="28">
        <v>44544</v>
      </c>
      <c r="Q175" s="28">
        <v>51849</v>
      </c>
      <c r="R175" s="25" t="str">
        <f t="shared" si="15"/>
        <v>男</v>
      </c>
      <c r="S175" s="25" t="s">
        <v>3984</v>
      </c>
      <c r="T175" s="28" t="str">
        <f t="shared" si="11"/>
        <v>1986-12-11</v>
      </c>
      <c r="U175" s="25">
        <f t="shared" ca="1" si="14"/>
        <v>39</v>
      </c>
      <c r="V175" s="25">
        <v>13888053515</v>
      </c>
      <c r="W175" s="28">
        <v>44470</v>
      </c>
      <c r="X175" s="28">
        <v>41256</v>
      </c>
      <c r="Y175" s="29" t="str">
        <f t="shared" ca="1" si="12"/>
        <v>13年4个月</v>
      </c>
      <c r="Z175" s="25"/>
      <c r="AA175" s="26" t="str">
        <f t="shared" ca="1" si="13"/>
        <v>13年4个月</v>
      </c>
      <c r="AB175" s="25" t="s">
        <v>29</v>
      </c>
      <c r="AC175" s="25" t="s">
        <v>3985</v>
      </c>
      <c r="AD175" s="25" t="s">
        <v>4035</v>
      </c>
      <c r="AE175" s="25"/>
      <c r="AF175" s="25"/>
      <c r="AG175" s="27"/>
      <c r="AH175" s="25" t="s">
        <v>4036</v>
      </c>
      <c r="AI175" s="25" t="s">
        <v>2827</v>
      </c>
      <c r="AJ175" s="25" t="s">
        <v>4050</v>
      </c>
      <c r="AK175" s="27" t="s">
        <v>5344</v>
      </c>
      <c r="AL175" s="25" t="s">
        <v>4256</v>
      </c>
      <c r="AM175" s="25"/>
      <c r="AN175" s="27" t="s">
        <v>4039</v>
      </c>
      <c r="AO175" s="25" t="s">
        <v>5345</v>
      </c>
      <c r="AP175" s="27" t="s">
        <v>5346</v>
      </c>
      <c r="AQ175" s="25"/>
      <c r="AR175" s="27" t="s">
        <v>5347</v>
      </c>
      <c r="AS175" s="26" t="s">
        <v>3990</v>
      </c>
      <c r="AT175" s="25" t="s">
        <v>294</v>
      </c>
      <c r="AU175" s="25" t="s">
        <v>5348</v>
      </c>
      <c r="AV175" s="25" t="s">
        <v>5348</v>
      </c>
      <c r="AW175" s="30">
        <v>46142</v>
      </c>
      <c r="AX175" s="28">
        <v>44470</v>
      </c>
      <c r="AY175" s="28">
        <v>46142</v>
      </c>
      <c r="AZ175" s="28"/>
      <c r="BA175" s="28"/>
      <c r="BB175" s="28"/>
      <c r="BC175" s="25"/>
      <c r="BD175" s="25"/>
      <c r="BE175" s="25"/>
      <c r="BF175" s="25"/>
      <c r="BG175" s="25"/>
      <c r="BH175" s="25"/>
      <c r="BI175" s="27"/>
    </row>
    <row r="176" spans="1:61" ht="15.6" x14ac:dyDescent="0.25">
      <c r="A176" s="25">
        <v>174</v>
      </c>
      <c r="B176" s="25" t="s">
        <v>5349</v>
      </c>
      <c r="C176" s="25" t="s">
        <v>4002</v>
      </c>
      <c r="D176" s="26" t="s">
        <v>4150</v>
      </c>
      <c r="E176" s="26" t="s">
        <v>3975</v>
      </c>
      <c r="F176" s="25" t="s">
        <v>5204</v>
      </c>
      <c r="G176" s="25" t="s">
        <v>5205</v>
      </c>
      <c r="H176" s="25" t="s">
        <v>5253</v>
      </c>
      <c r="I176" s="25" t="s">
        <v>5319</v>
      </c>
      <c r="J176" s="25" t="s">
        <v>2624</v>
      </c>
      <c r="K176" s="25" t="s">
        <v>556</v>
      </c>
      <c r="L176" s="25" t="s">
        <v>5282</v>
      </c>
      <c r="M176" s="25" t="s">
        <v>4029</v>
      </c>
      <c r="N176" s="27" t="s">
        <v>5350</v>
      </c>
      <c r="O176" s="27" t="s">
        <v>4573</v>
      </c>
      <c r="P176" s="28">
        <v>42933</v>
      </c>
      <c r="Q176" s="28">
        <v>50238</v>
      </c>
      <c r="R176" s="25" t="str">
        <f t="shared" si="15"/>
        <v>男</v>
      </c>
      <c r="S176" s="25" t="s">
        <v>4032</v>
      </c>
      <c r="T176" s="28" t="str">
        <f t="shared" si="11"/>
        <v>1979-06-16</v>
      </c>
      <c r="U176" s="25">
        <f t="shared" ca="1" si="14"/>
        <v>46</v>
      </c>
      <c r="V176" s="25">
        <v>13759514165</v>
      </c>
      <c r="W176" s="28">
        <v>45870</v>
      </c>
      <c r="X176" s="28">
        <v>41495</v>
      </c>
      <c r="Y176" s="29" t="str">
        <f t="shared" ca="1" si="12"/>
        <v>12年8个月</v>
      </c>
      <c r="Z176" s="25"/>
      <c r="AA176" s="26" t="str">
        <f t="shared" ca="1" si="13"/>
        <v>12年8个月</v>
      </c>
      <c r="AB176" s="25" t="s">
        <v>29</v>
      </c>
      <c r="AC176" s="25" t="s">
        <v>3985</v>
      </c>
      <c r="AD176" s="25" t="s">
        <v>4035</v>
      </c>
      <c r="AE176" s="25"/>
      <c r="AF176" s="25"/>
      <c r="AG176" s="27"/>
      <c r="AH176" s="25"/>
      <c r="AI176" s="25"/>
      <c r="AJ176" s="25"/>
      <c r="AK176" s="27"/>
      <c r="AL176" s="25" t="s">
        <v>1705</v>
      </c>
      <c r="AM176" s="25"/>
      <c r="AN176" s="27" t="s">
        <v>4039</v>
      </c>
      <c r="AO176" s="25" t="s">
        <v>2628</v>
      </c>
      <c r="AP176" s="27"/>
      <c r="AQ176" s="25"/>
      <c r="AR176" s="25"/>
      <c r="AS176" s="26" t="s">
        <v>3990</v>
      </c>
      <c r="AT176" s="25" t="s">
        <v>4239</v>
      </c>
      <c r="AU176" s="25" t="s">
        <v>5351</v>
      </c>
      <c r="AV176" s="25" t="s">
        <v>2622</v>
      </c>
      <c r="AW176" s="51">
        <v>46873</v>
      </c>
      <c r="AX176" s="28">
        <v>45870</v>
      </c>
      <c r="AY176" s="45">
        <v>46873</v>
      </c>
      <c r="AZ176" s="45"/>
      <c r="BA176" s="28"/>
      <c r="BB176" s="28"/>
      <c r="BC176" s="25"/>
      <c r="BD176" s="25"/>
      <c r="BE176" s="25"/>
      <c r="BF176" s="25"/>
      <c r="BG176" s="25"/>
      <c r="BH176" s="25"/>
      <c r="BI176" s="27"/>
    </row>
    <row r="177" spans="1:61" ht="15.6" x14ac:dyDescent="0.25">
      <c r="A177" s="25">
        <v>175</v>
      </c>
      <c r="B177" s="25" t="s">
        <v>5352</v>
      </c>
      <c r="C177" s="25" t="s">
        <v>4002</v>
      </c>
      <c r="D177" s="26" t="s">
        <v>4150</v>
      </c>
      <c r="E177" s="26" t="s">
        <v>3975</v>
      </c>
      <c r="F177" s="25" t="s">
        <v>5204</v>
      </c>
      <c r="G177" s="25" t="s">
        <v>5205</v>
      </c>
      <c r="H177" s="25" t="s">
        <v>5253</v>
      </c>
      <c r="I177" s="25" t="s">
        <v>5319</v>
      </c>
      <c r="J177" s="25" t="s">
        <v>3122</v>
      </c>
      <c r="K177" s="25" t="s">
        <v>556</v>
      </c>
      <c r="L177" s="25" t="s">
        <v>5282</v>
      </c>
      <c r="M177" s="25" t="s">
        <v>4029</v>
      </c>
      <c r="N177" s="27" t="s">
        <v>5353</v>
      </c>
      <c r="O177" s="27" t="s">
        <v>4961</v>
      </c>
      <c r="P177" s="28">
        <v>42465</v>
      </c>
      <c r="Q177" s="28">
        <v>49770</v>
      </c>
      <c r="R177" s="25" t="str">
        <f t="shared" si="15"/>
        <v>男</v>
      </c>
      <c r="S177" s="25" t="s">
        <v>3984</v>
      </c>
      <c r="T177" s="28" t="str">
        <f t="shared" si="11"/>
        <v>1985-05-25</v>
      </c>
      <c r="U177" s="25">
        <f t="shared" ca="1" si="14"/>
        <v>40</v>
      </c>
      <c r="V177" s="25">
        <v>13888839076</v>
      </c>
      <c r="W177" s="28">
        <v>45870</v>
      </c>
      <c r="X177" s="43">
        <v>40302</v>
      </c>
      <c r="Y177" s="29" t="str">
        <f t="shared" ca="1" si="12"/>
        <v>15年11个月</v>
      </c>
      <c r="Z177" s="25"/>
      <c r="AA177" s="26" t="str">
        <f t="shared" ca="1" si="13"/>
        <v>15年11个月</v>
      </c>
      <c r="AB177" s="25" t="s">
        <v>29</v>
      </c>
      <c r="AC177" s="25" t="s">
        <v>3985</v>
      </c>
      <c r="AD177" s="25" t="s">
        <v>4035</v>
      </c>
      <c r="AE177" s="25"/>
      <c r="AF177" s="25"/>
      <c r="AG177" s="27"/>
      <c r="AH177" s="25"/>
      <c r="AI177" s="25"/>
      <c r="AJ177" s="25"/>
      <c r="AK177" s="27"/>
      <c r="AL177" s="25" t="s">
        <v>1705</v>
      </c>
      <c r="AM177" s="25"/>
      <c r="AN177" s="27" t="s">
        <v>4039</v>
      </c>
      <c r="AO177" s="25"/>
      <c r="AP177" s="27"/>
      <c r="AQ177" s="25"/>
      <c r="AR177" s="25"/>
      <c r="AS177" s="26" t="s">
        <v>3990</v>
      </c>
      <c r="AT177" s="25" t="s">
        <v>1458</v>
      </c>
      <c r="AU177" s="25" t="s">
        <v>3120</v>
      </c>
      <c r="AV177" s="25" t="s">
        <v>3120</v>
      </c>
      <c r="AW177" s="30">
        <v>47603</v>
      </c>
      <c r="AX177" s="28">
        <v>45870</v>
      </c>
      <c r="AY177" s="28">
        <v>47603</v>
      </c>
      <c r="AZ177" s="28"/>
      <c r="BA177" s="28"/>
      <c r="BB177" s="28"/>
      <c r="BC177" s="25"/>
      <c r="BD177" s="25"/>
      <c r="BE177" s="25"/>
      <c r="BF177" s="25"/>
      <c r="BG177" s="25"/>
      <c r="BH177" s="25"/>
      <c r="BI177" s="27"/>
    </row>
    <row r="178" spans="1:61" ht="15.6" x14ac:dyDescent="0.25">
      <c r="A178" s="25">
        <v>176</v>
      </c>
      <c r="B178" s="25" t="s">
        <v>5354</v>
      </c>
      <c r="C178" s="25" t="s">
        <v>4002</v>
      </c>
      <c r="D178" s="26" t="s">
        <v>4150</v>
      </c>
      <c r="E178" s="26" t="s">
        <v>3975</v>
      </c>
      <c r="F178" s="25" t="s">
        <v>5204</v>
      </c>
      <c r="G178" s="25" t="s">
        <v>5205</v>
      </c>
      <c r="H178" s="25" t="s">
        <v>5253</v>
      </c>
      <c r="I178" s="25" t="s">
        <v>5319</v>
      </c>
      <c r="J178" s="25" t="s">
        <v>3122</v>
      </c>
      <c r="K178" s="25" t="s">
        <v>556</v>
      </c>
      <c r="L178" s="25" t="s">
        <v>5282</v>
      </c>
      <c r="M178" s="25" t="s">
        <v>4029</v>
      </c>
      <c r="N178" s="27" t="s">
        <v>5355</v>
      </c>
      <c r="O178" s="27" t="s">
        <v>5356</v>
      </c>
      <c r="P178" s="28">
        <v>42626</v>
      </c>
      <c r="Q178" s="28">
        <v>49931</v>
      </c>
      <c r="R178" s="25" t="str">
        <f t="shared" si="15"/>
        <v>男</v>
      </c>
      <c r="S178" s="25" t="s">
        <v>3984</v>
      </c>
      <c r="T178" s="28" t="str">
        <f t="shared" si="11"/>
        <v>1986-10-21</v>
      </c>
      <c r="U178" s="25">
        <f t="shared" ca="1" si="14"/>
        <v>39</v>
      </c>
      <c r="V178" s="25">
        <v>13908859545</v>
      </c>
      <c r="W178" s="28">
        <v>45870</v>
      </c>
      <c r="X178" s="43">
        <v>39995</v>
      </c>
      <c r="Y178" s="29" t="str">
        <f t="shared" ca="1" si="12"/>
        <v>16年9个月</v>
      </c>
      <c r="Z178" s="25"/>
      <c r="AA178" s="26" t="str">
        <f t="shared" ca="1" si="13"/>
        <v>16年9个月</v>
      </c>
      <c r="AB178" s="25" t="s">
        <v>4034</v>
      </c>
      <c r="AC178" s="25" t="s">
        <v>3985</v>
      </c>
      <c r="AD178" s="25" t="s">
        <v>4035</v>
      </c>
      <c r="AE178" s="25"/>
      <c r="AF178" s="25"/>
      <c r="AG178" s="27"/>
      <c r="AH178" s="25"/>
      <c r="AI178" s="25"/>
      <c r="AJ178" s="25"/>
      <c r="AK178" s="27"/>
      <c r="AL178" s="25" t="s">
        <v>4246</v>
      </c>
      <c r="AM178" s="25"/>
      <c r="AN178" s="27" t="s">
        <v>4039</v>
      </c>
      <c r="AO178" s="25" t="s">
        <v>1761</v>
      </c>
      <c r="AP178" s="27"/>
      <c r="AQ178" s="25"/>
      <c r="AR178" s="25" t="s">
        <v>3199</v>
      </c>
      <c r="AS178" s="26" t="s">
        <v>3990</v>
      </c>
      <c r="AT178" s="25" t="s">
        <v>621</v>
      </c>
      <c r="AU178" s="25" t="s">
        <v>3163</v>
      </c>
      <c r="AV178" s="25" t="s">
        <v>3163</v>
      </c>
      <c r="AW178" s="30" t="s">
        <v>3991</v>
      </c>
      <c r="AX178" s="28">
        <v>45870</v>
      </c>
      <c r="AY178" s="28" t="s">
        <v>3991</v>
      </c>
      <c r="AZ178" s="28"/>
      <c r="BA178" s="28"/>
      <c r="BB178" s="28"/>
      <c r="BC178" s="28"/>
      <c r="BD178" s="25"/>
      <c r="BE178" s="25"/>
      <c r="BF178" s="25"/>
      <c r="BG178" s="25"/>
      <c r="BH178" s="25"/>
      <c r="BI178" s="27"/>
    </row>
    <row r="179" spans="1:61" ht="15.6" x14ac:dyDescent="0.25">
      <c r="A179" s="25">
        <v>177</v>
      </c>
      <c r="B179" s="25" t="s">
        <v>5357</v>
      </c>
      <c r="C179" s="25" t="s">
        <v>4002</v>
      </c>
      <c r="D179" s="26" t="s">
        <v>4150</v>
      </c>
      <c r="E179" s="26" t="s">
        <v>3975</v>
      </c>
      <c r="F179" s="25" t="s">
        <v>5204</v>
      </c>
      <c r="G179" s="25" t="s">
        <v>5205</v>
      </c>
      <c r="H179" s="25" t="s">
        <v>5253</v>
      </c>
      <c r="I179" s="25" t="s">
        <v>5319</v>
      </c>
      <c r="J179" s="25" t="s">
        <v>2393</v>
      </c>
      <c r="K179" s="25" t="s">
        <v>556</v>
      </c>
      <c r="L179" s="25" t="s">
        <v>5282</v>
      </c>
      <c r="M179" s="25" t="s">
        <v>4029</v>
      </c>
      <c r="N179" s="27" t="s">
        <v>2395</v>
      </c>
      <c r="O179" s="27" t="s">
        <v>4497</v>
      </c>
      <c r="P179" s="28">
        <v>43746</v>
      </c>
      <c r="Q179" s="28">
        <v>51051</v>
      </c>
      <c r="R179" s="25" t="str">
        <f t="shared" si="15"/>
        <v>男</v>
      </c>
      <c r="S179" s="25" t="s">
        <v>27</v>
      </c>
      <c r="T179" s="28" t="str">
        <f t="shared" si="11"/>
        <v>1992-02-18</v>
      </c>
      <c r="U179" s="25">
        <f t="shared" ca="1" si="14"/>
        <v>34</v>
      </c>
      <c r="V179" s="25">
        <v>18787101878</v>
      </c>
      <c r="W179" s="28">
        <v>45870</v>
      </c>
      <c r="X179" s="28">
        <v>41821</v>
      </c>
      <c r="Y179" s="29" t="str">
        <f t="shared" ca="1" si="12"/>
        <v>11年9个月</v>
      </c>
      <c r="Z179" s="25"/>
      <c r="AA179" s="26" t="str">
        <f t="shared" ca="1" si="13"/>
        <v>11年9个月</v>
      </c>
      <c r="AB179" s="25" t="s">
        <v>4034</v>
      </c>
      <c r="AC179" s="25" t="s">
        <v>3985</v>
      </c>
      <c r="AD179" s="25" t="s">
        <v>4234</v>
      </c>
      <c r="AE179" s="25"/>
      <c r="AF179" s="25"/>
      <c r="AG179" s="27"/>
      <c r="AH179" s="25"/>
      <c r="AI179" s="25"/>
      <c r="AJ179" s="25"/>
      <c r="AK179" s="27"/>
      <c r="AL179" s="25" t="s">
        <v>305</v>
      </c>
      <c r="AM179" s="25"/>
      <c r="AN179" s="27" t="s">
        <v>4039</v>
      </c>
      <c r="AO179" s="25" t="s">
        <v>559</v>
      </c>
      <c r="AP179" s="27" t="s">
        <v>5358</v>
      </c>
      <c r="AQ179" s="25"/>
      <c r="AR179" s="27" t="s">
        <v>1835</v>
      </c>
      <c r="AS179" s="26" t="s">
        <v>3990</v>
      </c>
      <c r="AT179" s="25" t="s">
        <v>4137</v>
      </c>
      <c r="AU179" s="25" t="s">
        <v>5359</v>
      </c>
      <c r="AV179" s="25" t="s">
        <v>5359</v>
      </c>
      <c r="AW179" s="30">
        <v>46142</v>
      </c>
      <c r="AX179" s="28">
        <v>45870</v>
      </c>
      <c r="AY179" s="28">
        <v>46142</v>
      </c>
      <c r="AZ179" s="28"/>
      <c r="BA179" s="28"/>
      <c r="BB179" s="28"/>
      <c r="BC179" s="25"/>
      <c r="BD179" s="25"/>
      <c r="BE179" s="25"/>
      <c r="BF179" s="25"/>
      <c r="BG179" s="25"/>
      <c r="BH179" s="25"/>
      <c r="BI179" s="27"/>
    </row>
    <row r="180" spans="1:61" ht="15.6" x14ac:dyDescent="0.25">
      <c r="A180" s="25">
        <v>178</v>
      </c>
      <c r="B180" s="25" t="s">
        <v>5360</v>
      </c>
      <c r="C180" s="25" t="s">
        <v>4002</v>
      </c>
      <c r="D180" s="26" t="s">
        <v>4150</v>
      </c>
      <c r="E180" s="26" t="s">
        <v>3975</v>
      </c>
      <c r="F180" s="25" t="s">
        <v>5204</v>
      </c>
      <c r="G180" s="25" t="s">
        <v>5205</v>
      </c>
      <c r="H180" s="25" t="s">
        <v>5253</v>
      </c>
      <c r="I180" s="25" t="s">
        <v>5319</v>
      </c>
      <c r="J180" s="25" t="s">
        <v>1248</v>
      </c>
      <c r="K180" s="25" t="s">
        <v>556</v>
      </c>
      <c r="L180" s="25" t="s">
        <v>5282</v>
      </c>
      <c r="M180" s="25" t="s">
        <v>4029</v>
      </c>
      <c r="N180" s="27" t="s">
        <v>5361</v>
      </c>
      <c r="O180" s="27" t="s">
        <v>4031</v>
      </c>
      <c r="P180" s="28">
        <v>41533</v>
      </c>
      <c r="Q180" s="28">
        <v>48838</v>
      </c>
      <c r="R180" s="25" t="str">
        <f t="shared" si="15"/>
        <v>男</v>
      </c>
      <c r="S180" s="25" t="s">
        <v>4032</v>
      </c>
      <c r="T180" s="28" t="str">
        <f t="shared" si="11"/>
        <v>1980-03-27</v>
      </c>
      <c r="U180" s="25">
        <f t="shared" ca="1" si="14"/>
        <v>46</v>
      </c>
      <c r="V180" s="25">
        <v>13888094022</v>
      </c>
      <c r="W180" s="28">
        <v>45870</v>
      </c>
      <c r="X180" s="43">
        <v>40492</v>
      </c>
      <c r="Y180" s="29" t="str">
        <f t="shared" ca="1" si="12"/>
        <v>15年5个月</v>
      </c>
      <c r="Z180" s="25"/>
      <c r="AA180" s="26" t="str">
        <f t="shared" ca="1" si="13"/>
        <v>15年5个月</v>
      </c>
      <c r="AB180" s="25" t="s">
        <v>29</v>
      </c>
      <c r="AC180" s="25" t="s">
        <v>3985</v>
      </c>
      <c r="AD180" s="25" t="s">
        <v>4035</v>
      </c>
      <c r="AE180" s="25"/>
      <c r="AF180" s="25"/>
      <c r="AG180" s="27"/>
      <c r="AH180" s="25"/>
      <c r="AI180" s="25"/>
      <c r="AJ180" s="25"/>
      <c r="AK180" s="27"/>
      <c r="AL180" s="25" t="s">
        <v>1705</v>
      </c>
      <c r="AM180" s="25"/>
      <c r="AN180" s="27" t="s">
        <v>4039</v>
      </c>
      <c r="AO180" s="25"/>
      <c r="AP180" s="27"/>
      <c r="AQ180" s="25"/>
      <c r="AR180" s="25"/>
      <c r="AS180" s="26" t="s">
        <v>3990</v>
      </c>
      <c r="AT180" s="25" t="s">
        <v>294</v>
      </c>
      <c r="AU180" s="25" t="s">
        <v>5362</v>
      </c>
      <c r="AV180" s="25" t="s">
        <v>5362</v>
      </c>
      <c r="AW180" s="30">
        <v>47603</v>
      </c>
      <c r="AX180" s="28">
        <v>45870</v>
      </c>
      <c r="AY180" s="28">
        <v>47603</v>
      </c>
      <c r="AZ180" s="28"/>
      <c r="BA180" s="28"/>
      <c r="BB180" s="28"/>
      <c r="BC180" s="25"/>
      <c r="BD180" s="25"/>
      <c r="BE180" s="25"/>
      <c r="BF180" s="25"/>
      <c r="BG180" s="25"/>
      <c r="BH180" s="25"/>
      <c r="BI180" s="27"/>
    </row>
    <row r="181" spans="1:61" ht="15.6" x14ac:dyDescent="0.25">
      <c r="A181" s="25">
        <v>179</v>
      </c>
      <c r="B181" s="25" t="s">
        <v>5363</v>
      </c>
      <c r="C181" s="25" t="s">
        <v>4002</v>
      </c>
      <c r="D181" s="26" t="s">
        <v>4150</v>
      </c>
      <c r="E181" s="26" t="s">
        <v>3975</v>
      </c>
      <c r="F181" s="25" t="s">
        <v>5204</v>
      </c>
      <c r="G181" s="25" t="s">
        <v>5205</v>
      </c>
      <c r="H181" s="25" t="s">
        <v>5253</v>
      </c>
      <c r="I181" s="25" t="s">
        <v>5319</v>
      </c>
      <c r="J181" s="25" t="s">
        <v>3122</v>
      </c>
      <c r="K181" s="25" t="s">
        <v>556</v>
      </c>
      <c r="L181" s="25" t="s">
        <v>5282</v>
      </c>
      <c r="M181" s="25" t="s">
        <v>4029</v>
      </c>
      <c r="N181" s="27" t="s">
        <v>5364</v>
      </c>
      <c r="O181" s="27" t="s">
        <v>4031</v>
      </c>
      <c r="P181" s="28">
        <v>44051</v>
      </c>
      <c r="Q181" s="28">
        <v>51356</v>
      </c>
      <c r="R181" s="25" t="str">
        <f t="shared" si="15"/>
        <v>男</v>
      </c>
      <c r="S181" s="25" t="s">
        <v>4082</v>
      </c>
      <c r="T181" s="28" t="str">
        <f t="shared" si="11"/>
        <v>1981-09-29</v>
      </c>
      <c r="U181" s="25">
        <f t="shared" ca="1" si="14"/>
        <v>44</v>
      </c>
      <c r="V181" s="25">
        <v>13608844780</v>
      </c>
      <c r="W181" s="28">
        <v>44470</v>
      </c>
      <c r="X181" s="28">
        <v>39174</v>
      </c>
      <c r="Y181" s="29" t="str">
        <f t="shared" ca="1" si="12"/>
        <v>19年0个月</v>
      </c>
      <c r="Z181" s="25" t="s">
        <v>5365</v>
      </c>
      <c r="AA181" s="26" t="str">
        <f t="shared" ca="1" si="13"/>
        <v>22年10个月</v>
      </c>
      <c r="AB181" s="25" t="s">
        <v>29</v>
      </c>
      <c r="AC181" s="25" t="s">
        <v>3985</v>
      </c>
      <c r="AD181" s="25" t="s">
        <v>3986</v>
      </c>
      <c r="AE181" s="25"/>
      <c r="AF181" s="25"/>
      <c r="AG181" s="27"/>
      <c r="AH181" s="25" t="s">
        <v>4036</v>
      </c>
      <c r="AI181" s="25" t="s">
        <v>3435</v>
      </c>
      <c r="AJ181" s="25" t="s">
        <v>964</v>
      </c>
      <c r="AK181" s="27" t="s">
        <v>5366</v>
      </c>
      <c r="AL181" s="25" t="s">
        <v>4246</v>
      </c>
      <c r="AM181" s="25"/>
      <c r="AN181" s="27" t="s">
        <v>4039</v>
      </c>
      <c r="AO181" s="25" t="s">
        <v>5367</v>
      </c>
      <c r="AP181" s="27" t="s">
        <v>5368</v>
      </c>
      <c r="AQ181" s="25"/>
      <c r="AR181" s="25" t="s">
        <v>5369</v>
      </c>
      <c r="AS181" s="26" t="s">
        <v>3990</v>
      </c>
      <c r="AT181" s="25" t="s">
        <v>436</v>
      </c>
      <c r="AU181" s="25" t="s">
        <v>3434</v>
      </c>
      <c r="AV181" s="25" t="s">
        <v>3434</v>
      </c>
      <c r="AW181" s="30">
        <v>46142</v>
      </c>
      <c r="AX181" s="28">
        <v>44470</v>
      </c>
      <c r="AY181" s="28">
        <v>46142</v>
      </c>
      <c r="AZ181" s="28"/>
      <c r="BA181" s="28"/>
      <c r="BB181" s="28"/>
      <c r="BC181" s="28"/>
      <c r="BD181" s="25"/>
      <c r="BE181" s="25"/>
      <c r="BF181" s="25"/>
      <c r="BG181" s="25"/>
      <c r="BH181" s="25"/>
      <c r="BI181" s="27"/>
    </row>
    <row r="182" spans="1:61" ht="15.6" x14ac:dyDescent="0.25">
      <c r="A182" s="25">
        <v>180</v>
      </c>
      <c r="B182" s="25" t="s">
        <v>5370</v>
      </c>
      <c r="C182" s="25" t="s">
        <v>4002</v>
      </c>
      <c r="D182" s="26" t="s">
        <v>4150</v>
      </c>
      <c r="E182" s="26" t="s">
        <v>3975</v>
      </c>
      <c r="F182" s="25" t="s">
        <v>5204</v>
      </c>
      <c r="G182" s="25" t="s">
        <v>5205</v>
      </c>
      <c r="H182" s="25" t="s">
        <v>5253</v>
      </c>
      <c r="I182" s="25" t="s">
        <v>5371</v>
      </c>
      <c r="J182" s="25" t="s">
        <v>1406</v>
      </c>
      <c r="K182" s="25" t="s">
        <v>556</v>
      </c>
      <c r="L182" s="25" t="s">
        <v>4543</v>
      </c>
      <c r="M182" s="25" t="s">
        <v>4029</v>
      </c>
      <c r="N182" s="27" t="s">
        <v>5372</v>
      </c>
      <c r="O182" s="27" t="s">
        <v>4031</v>
      </c>
      <c r="P182" s="28">
        <v>44589</v>
      </c>
      <c r="Q182" s="28">
        <v>51894</v>
      </c>
      <c r="R182" s="25" t="str">
        <f t="shared" si="15"/>
        <v>男</v>
      </c>
      <c r="S182" s="25" t="s">
        <v>3984</v>
      </c>
      <c r="T182" s="28" t="str">
        <f t="shared" si="11"/>
        <v>1995-05-05</v>
      </c>
      <c r="U182" s="25">
        <f t="shared" ca="1" si="14"/>
        <v>30</v>
      </c>
      <c r="V182" s="25">
        <v>18487102810</v>
      </c>
      <c r="W182" s="28">
        <v>45870</v>
      </c>
      <c r="X182" s="28">
        <v>44973</v>
      </c>
      <c r="Y182" s="29" t="str">
        <f t="shared" ca="1" si="12"/>
        <v>3年1个月</v>
      </c>
      <c r="Z182" s="25" t="s">
        <v>4332</v>
      </c>
      <c r="AA182" s="26" t="str">
        <f t="shared" ca="1" si="13"/>
        <v>10年2个月</v>
      </c>
      <c r="AB182" s="25" t="s">
        <v>29</v>
      </c>
      <c r="AC182" s="25" t="s">
        <v>119</v>
      </c>
      <c r="AD182" s="25" t="s">
        <v>3986</v>
      </c>
      <c r="AE182" s="25"/>
      <c r="AF182" s="25"/>
      <c r="AG182" s="27"/>
      <c r="AH182" s="25"/>
      <c r="AI182" s="25"/>
      <c r="AJ182" s="25"/>
      <c r="AK182" s="27"/>
      <c r="AL182" s="25" t="s">
        <v>305</v>
      </c>
      <c r="AM182" s="25"/>
      <c r="AN182" s="27" t="s">
        <v>4039</v>
      </c>
      <c r="AO182" s="25" t="s">
        <v>4406</v>
      </c>
      <c r="AP182" s="27" t="s">
        <v>5373</v>
      </c>
      <c r="AQ182" s="25"/>
      <c r="AR182" s="25" t="s">
        <v>4936</v>
      </c>
      <c r="AS182" s="26" t="s">
        <v>3990</v>
      </c>
      <c r="AT182" s="25" t="s">
        <v>4043</v>
      </c>
      <c r="AU182" s="25" t="s">
        <v>5374</v>
      </c>
      <c r="AV182" s="25" t="s">
        <v>5374</v>
      </c>
      <c r="AW182" s="30">
        <v>46507</v>
      </c>
      <c r="AX182" s="28">
        <v>45870</v>
      </c>
      <c r="AY182" s="28">
        <v>46507</v>
      </c>
      <c r="AZ182" s="28"/>
      <c r="BA182" s="28"/>
      <c r="BB182" s="28"/>
      <c r="BC182" s="25"/>
      <c r="BD182" s="25"/>
      <c r="BE182" s="25"/>
      <c r="BF182" s="25"/>
      <c r="BG182" s="25"/>
      <c r="BH182" s="25"/>
      <c r="BI182" s="27"/>
    </row>
    <row r="183" spans="1:61" ht="15.6" x14ac:dyDescent="0.25">
      <c r="A183" s="25">
        <v>181</v>
      </c>
      <c r="B183" s="25" t="s">
        <v>5375</v>
      </c>
      <c r="C183" s="25" t="s">
        <v>4002</v>
      </c>
      <c r="D183" s="26" t="s">
        <v>4150</v>
      </c>
      <c r="E183" s="26" t="s">
        <v>3975</v>
      </c>
      <c r="F183" s="25" t="s">
        <v>5204</v>
      </c>
      <c r="G183" s="25" t="s">
        <v>5205</v>
      </c>
      <c r="H183" s="25" t="s">
        <v>5253</v>
      </c>
      <c r="I183" s="25" t="s">
        <v>5371</v>
      </c>
      <c r="J183" s="25" t="s">
        <v>1406</v>
      </c>
      <c r="K183" s="25" t="s">
        <v>556</v>
      </c>
      <c r="L183" s="25" t="s">
        <v>4543</v>
      </c>
      <c r="M183" s="25" t="s">
        <v>4029</v>
      </c>
      <c r="N183" s="27" t="s">
        <v>5376</v>
      </c>
      <c r="O183" s="27" t="s">
        <v>4031</v>
      </c>
      <c r="P183" s="28">
        <v>45017</v>
      </c>
      <c r="Q183" s="28">
        <v>52322</v>
      </c>
      <c r="R183" s="25" t="str">
        <f t="shared" si="15"/>
        <v>男</v>
      </c>
      <c r="S183" s="25" t="s">
        <v>3984</v>
      </c>
      <c r="T183" s="28" t="str">
        <f t="shared" si="11"/>
        <v>1992-02-17</v>
      </c>
      <c r="U183" s="25">
        <f t="shared" ca="1" si="14"/>
        <v>34</v>
      </c>
      <c r="V183" s="25">
        <v>13888484716</v>
      </c>
      <c r="W183" s="28">
        <v>45870</v>
      </c>
      <c r="X183" s="28">
        <v>44978</v>
      </c>
      <c r="Y183" s="29" t="str">
        <f t="shared" ca="1" si="12"/>
        <v>3年1个月</v>
      </c>
      <c r="Z183" s="25" t="s">
        <v>5377</v>
      </c>
      <c r="AA183" s="26" t="str">
        <f t="shared" ca="1" si="13"/>
        <v>12年10个月</v>
      </c>
      <c r="AB183" s="25" t="s">
        <v>29</v>
      </c>
      <c r="AC183" s="25" t="s">
        <v>28</v>
      </c>
      <c r="AD183" s="25" t="s">
        <v>3986</v>
      </c>
      <c r="AE183" s="25"/>
      <c r="AF183" s="25"/>
      <c r="AG183" s="27"/>
      <c r="AH183" s="25"/>
      <c r="AI183" s="25"/>
      <c r="AJ183" s="25"/>
      <c r="AK183" s="27"/>
      <c r="AL183" s="25" t="s">
        <v>305</v>
      </c>
      <c r="AM183" s="25"/>
      <c r="AN183" s="27" t="s">
        <v>4039</v>
      </c>
      <c r="AO183" s="25" t="s">
        <v>5122</v>
      </c>
      <c r="AP183" s="27" t="s">
        <v>5378</v>
      </c>
      <c r="AQ183" s="25"/>
      <c r="AR183" s="25" t="s">
        <v>4569</v>
      </c>
      <c r="AS183" s="26" t="s">
        <v>3990</v>
      </c>
      <c r="AT183" s="25" t="s">
        <v>4043</v>
      </c>
      <c r="AU183" s="25" t="s">
        <v>5379</v>
      </c>
      <c r="AV183" s="25" t="s">
        <v>5379</v>
      </c>
      <c r="AW183" s="30">
        <v>46507</v>
      </c>
      <c r="AX183" s="28">
        <v>45870</v>
      </c>
      <c r="AY183" s="28">
        <v>46507</v>
      </c>
      <c r="AZ183" s="28"/>
      <c r="BA183" s="28"/>
      <c r="BB183" s="28"/>
      <c r="BC183" s="25"/>
      <c r="BD183" s="25"/>
      <c r="BE183" s="25"/>
      <c r="BF183" s="25"/>
      <c r="BG183" s="25"/>
      <c r="BH183" s="25"/>
      <c r="BI183" s="27"/>
    </row>
    <row r="184" spans="1:61" ht="15.6" x14ac:dyDescent="0.25">
      <c r="A184" s="25">
        <v>182</v>
      </c>
      <c r="B184" s="25" t="s">
        <v>5380</v>
      </c>
      <c r="C184" s="25" t="s">
        <v>4002</v>
      </c>
      <c r="D184" s="26" t="s">
        <v>4150</v>
      </c>
      <c r="E184" s="26" t="s">
        <v>3975</v>
      </c>
      <c r="F184" s="25" t="s">
        <v>5204</v>
      </c>
      <c r="G184" s="25" t="s">
        <v>5205</v>
      </c>
      <c r="H184" s="25" t="s">
        <v>5253</v>
      </c>
      <c r="I184" s="25" t="s">
        <v>5371</v>
      </c>
      <c r="J184" s="25" t="s">
        <v>3306</v>
      </c>
      <c r="K184" s="25" t="s">
        <v>556</v>
      </c>
      <c r="L184" s="25" t="s">
        <v>5282</v>
      </c>
      <c r="M184" s="25" t="s">
        <v>4029</v>
      </c>
      <c r="N184" s="27" t="s">
        <v>5381</v>
      </c>
      <c r="O184" s="27" t="s">
        <v>4031</v>
      </c>
      <c r="P184" s="28">
        <v>42593</v>
      </c>
      <c r="Q184" s="28">
        <v>49898</v>
      </c>
      <c r="R184" s="25" t="str">
        <f t="shared" si="15"/>
        <v>男</v>
      </c>
      <c r="S184" s="25" t="s">
        <v>3984</v>
      </c>
      <c r="T184" s="28" t="str">
        <f t="shared" si="11"/>
        <v>1982-12-17</v>
      </c>
      <c r="U184" s="25">
        <f t="shared" ca="1" si="14"/>
        <v>43</v>
      </c>
      <c r="V184" s="25">
        <v>13987191217</v>
      </c>
      <c r="W184" s="28">
        <v>45870</v>
      </c>
      <c r="X184" s="43">
        <v>39351</v>
      </c>
      <c r="Y184" s="29" t="str">
        <f t="shared" ca="1" si="12"/>
        <v>18年6个月</v>
      </c>
      <c r="Z184" s="25" t="s">
        <v>4718</v>
      </c>
      <c r="AA184" s="26" t="str">
        <f t="shared" ca="1" si="13"/>
        <v>20年6个月</v>
      </c>
      <c r="AB184" s="25" t="s">
        <v>29</v>
      </c>
      <c r="AC184" s="25" t="s">
        <v>28</v>
      </c>
      <c r="AD184" s="25" t="s">
        <v>4035</v>
      </c>
      <c r="AE184" s="25"/>
      <c r="AF184" s="25"/>
      <c r="AG184" s="27"/>
      <c r="AH184" s="25"/>
      <c r="AI184" s="25"/>
      <c r="AJ184" s="25"/>
      <c r="AK184" s="27"/>
      <c r="AL184" s="25" t="s">
        <v>1705</v>
      </c>
      <c r="AM184" s="25"/>
      <c r="AN184" s="27" t="s">
        <v>4039</v>
      </c>
      <c r="AO184" s="25"/>
      <c r="AP184" s="27"/>
      <c r="AQ184" s="25"/>
      <c r="AR184" s="25"/>
      <c r="AS184" s="26" t="s">
        <v>3990</v>
      </c>
      <c r="AT184" s="25" t="s">
        <v>294</v>
      </c>
      <c r="AU184" s="25" t="s">
        <v>5382</v>
      </c>
      <c r="AV184" s="25" t="s">
        <v>5382</v>
      </c>
      <c r="AW184" s="30" t="s">
        <v>4000</v>
      </c>
      <c r="AX184" s="28">
        <v>45870</v>
      </c>
      <c r="AY184" s="28" t="s">
        <v>4000</v>
      </c>
      <c r="AZ184" s="28"/>
      <c r="BA184" s="28"/>
      <c r="BB184" s="28"/>
      <c r="BC184" s="28"/>
      <c r="BD184" s="25"/>
      <c r="BE184" s="25"/>
      <c r="BF184" s="25"/>
      <c r="BG184" s="25"/>
      <c r="BH184" s="25"/>
      <c r="BI184" s="27"/>
    </row>
    <row r="185" spans="1:61" ht="15.6" x14ac:dyDescent="0.25">
      <c r="A185" s="25">
        <v>183</v>
      </c>
      <c r="B185" s="25" t="s">
        <v>5383</v>
      </c>
      <c r="C185" s="25" t="s">
        <v>4002</v>
      </c>
      <c r="D185" s="26" t="s">
        <v>4150</v>
      </c>
      <c r="E185" s="26" t="s">
        <v>3975</v>
      </c>
      <c r="F185" s="25" t="s">
        <v>5204</v>
      </c>
      <c r="G185" s="25" t="s">
        <v>5205</v>
      </c>
      <c r="H185" s="25" t="s">
        <v>5253</v>
      </c>
      <c r="I185" s="25" t="s">
        <v>5371</v>
      </c>
      <c r="J185" s="25" t="s">
        <v>2635</v>
      </c>
      <c r="K185" s="25" t="s">
        <v>556</v>
      </c>
      <c r="L185" s="25" t="s">
        <v>5282</v>
      </c>
      <c r="M185" s="25" t="s">
        <v>4029</v>
      </c>
      <c r="N185" s="27" t="s">
        <v>5384</v>
      </c>
      <c r="O185" s="27" t="s">
        <v>4031</v>
      </c>
      <c r="P185" s="28">
        <v>38938</v>
      </c>
      <c r="Q185" s="28">
        <v>46243</v>
      </c>
      <c r="R185" s="25" t="str">
        <f t="shared" si="15"/>
        <v>男</v>
      </c>
      <c r="S185" s="25" t="s">
        <v>3984</v>
      </c>
      <c r="T185" s="28" t="str">
        <f t="shared" si="11"/>
        <v>1975-09-24</v>
      </c>
      <c r="U185" s="25">
        <f t="shared" ca="1" si="14"/>
        <v>50</v>
      </c>
      <c r="V185" s="25">
        <v>13987198661</v>
      </c>
      <c r="W185" s="28">
        <v>44470</v>
      </c>
      <c r="X185" s="28">
        <v>41484</v>
      </c>
      <c r="Y185" s="29" t="str">
        <f t="shared" ca="1" si="12"/>
        <v>12年8个月</v>
      </c>
      <c r="Z185" s="25" t="s">
        <v>5385</v>
      </c>
      <c r="AA185" s="26" t="str">
        <f t="shared" ca="1" si="13"/>
        <v>29年10个月</v>
      </c>
      <c r="AB185" s="25" t="s">
        <v>29</v>
      </c>
      <c r="AC185" s="25" t="s">
        <v>3985</v>
      </c>
      <c r="AD185" s="25" t="s">
        <v>3986</v>
      </c>
      <c r="AE185" s="25"/>
      <c r="AF185" s="25"/>
      <c r="AG185" s="27"/>
      <c r="AH185" s="25" t="s">
        <v>4036</v>
      </c>
      <c r="AI185" s="25" t="s">
        <v>965</v>
      </c>
      <c r="AJ185" s="25" t="s">
        <v>964</v>
      </c>
      <c r="AK185" s="27" t="s">
        <v>5386</v>
      </c>
      <c r="AL185" s="25" t="s">
        <v>4246</v>
      </c>
      <c r="AM185" s="25"/>
      <c r="AN185" s="27" t="s">
        <v>4039</v>
      </c>
      <c r="AO185" s="25" t="s">
        <v>5387</v>
      </c>
      <c r="AP185" s="27" t="s">
        <v>5388</v>
      </c>
      <c r="AQ185" s="25"/>
      <c r="AR185" s="25" t="s">
        <v>5389</v>
      </c>
      <c r="AS185" s="26" t="s">
        <v>3990</v>
      </c>
      <c r="AT185" s="25" t="s">
        <v>294</v>
      </c>
      <c r="AU185" s="25" t="s">
        <v>5390</v>
      </c>
      <c r="AV185" s="25" t="s">
        <v>5390</v>
      </c>
      <c r="AW185" s="30" t="s">
        <v>4000</v>
      </c>
      <c r="AX185" s="28">
        <v>44470</v>
      </c>
      <c r="AY185" s="28" t="s">
        <v>4000</v>
      </c>
      <c r="AZ185" s="28"/>
      <c r="BA185" s="28"/>
      <c r="BB185" s="28"/>
      <c r="BC185" s="25"/>
      <c r="BD185" s="25"/>
      <c r="BE185" s="25"/>
      <c r="BF185" s="25"/>
      <c r="BG185" s="25"/>
      <c r="BH185" s="25"/>
      <c r="BI185" s="27"/>
    </row>
    <row r="186" spans="1:61" ht="15.6" x14ac:dyDescent="0.25">
      <c r="A186" s="25">
        <v>184</v>
      </c>
      <c r="B186" s="25" t="s">
        <v>5391</v>
      </c>
      <c r="C186" s="25" t="s">
        <v>4002</v>
      </c>
      <c r="D186" s="26" t="s">
        <v>4150</v>
      </c>
      <c r="E186" s="26" t="s">
        <v>3975</v>
      </c>
      <c r="F186" s="25" t="s">
        <v>5204</v>
      </c>
      <c r="G186" s="25" t="s">
        <v>5205</v>
      </c>
      <c r="H186" s="25" t="s">
        <v>5253</v>
      </c>
      <c r="I186" s="25" t="s">
        <v>5392</v>
      </c>
      <c r="J186" s="25" t="s">
        <v>3155</v>
      </c>
      <c r="K186" s="25" t="s">
        <v>556</v>
      </c>
      <c r="L186" s="25" t="s">
        <v>5282</v>
      </c>
      <c r="M186" s="25" t="s">
        <v>4029</v>
      </c>
      <c r="N186" s="27" t="s">
        <v>5393</v>
      </c>
      <c r="O186" s="27" t="s">
        <v>4031</v>
      </c>
      <c r="P186" s="28">
        <v>42562</v>
      </c>
      <c r="Q186" s="28">
        <v>49867</v>
      </c>
      <c r="R186" s="25" t="str">
        <f t="shared" si="15"/>
        <v>男</v>
      </c>
      <c r="S186" s="25" t="s">
        <v>3984</v>
      </c>
      <c r="T186" s="28" t="str">
        <f t="shared" si="11"/>
        <v>1986-02-07</v>
      </c>
      <c r="U186" s="25">
        <f t="shared" ca="1" si="14"/>
        <v>40</v>
      </c>
      <c r="V186" s="25">
        <v>15925118163</v>
      </c>
      <c r="W186" s="28">
        <v>45870</v>
      </c>
      <c r="X186" s="43">
        <v>40177</v>
      </c>
      <c r="Y186" s="29" t="str">
        <f t="shared" ca="1" si="12"/>
        <v>16年3个月</v>
      </c>
      <c r="Z186" s="25" t="s">
        <v>5394</v>
      </c>
      <c r="AA186" s="26" t="str">
        <f t="shared" ca="1" si="13"/>
        <v>20年3个月</v>
      </c>
      <c r="AB186" s="25" t="s">
        <v>29</v>
      </c>
      <c r="AC186" s="25" t="s">
        <v>28</v>
      </c>
      <c r="AD186" s="25" t="s">
        <v>3986</v>
      </c>
      <c r="AE186" s="25"/>
      <c r="AF186" s="25"/>
      <c r="AG186" s="27"/>
      <c r="AH186" s="25" t="s">
        <v>4036</v>
      </c>
      <c r="AI186" s="25" t="s">
        <v>3153</v>
      </c>
      <c r="AJ186" s="25" t="s">
        <v>964</v>
      </c>
      <c r="AK186" s="27" t="s">
        <v>5395</v>
      </c>
      <c r="AL186" s="25" t="s">
        <v>305</v>
      </c>
      <c r="AM186" s="25"/>
      <c r="AN186" s="27" t="s">
        <v>4039</v>
      </c>
      <c r="AO186" s="25" t="s">
        <v>5396</v>
      </c>
      <c r="AP186" s="27" t="s">
        <v>5397</v>
      </c>
      <c r="AQ186" s="25"/>
      <c r="AR186" s="25" t="s">
        <v>5398</v>
      </c>
      <c r="AS186" s="26" t="s">
        <v>4011</v>
      </c>
      <c r="AT186" s="25" t="s">
        <v>294</v>
      </c>
      <c r="AU186" s="25" t="s">
        <v>5399</v>
      </c>
      <c r="AV186" s="25" t="s">
        <v>5400</v>
      </c>
      <c r="AW186" s="30" t="s">
        <v>4000</v>
      </c>
      <c r="AX186" s="28">
        <v>45870</v>
      </c>
      <c r="AY186" s="28" t="s">
        <v>4000</v>
      </c>
      <c r="AZ186" s="28"/>
      <c r="BA186" s="28"/>
      <c r="BB186" s="28"/>
      <c r="BC186" s="25"/>
      <c r="BD186" s="25"/>
      <c r="BE186" s="25"/>
      <c r="BF186" s="25"/>
      <c r="BG186" s="25"/>
      <c r="BH186" s="25"/>
      <c r="BI186" s="27"/>
    </row>
    <row r="187" spans="1:61" ht="15.6" x14ac:dyDescent="0.25">
      <c r="A187" s="25">
        <v>185</v>
      </c>
      <c r="B187" s="25" t="s">
        <v>5401</v>
      </c>
      <c r="C187" s="25" t="s">
        <v>4002</v>
      </c>
      <c r="D187" s="26" t="s">
        <v>4150</v>
      </c>
      <c r="E187" s="26" t="s">
        <v>3975</v>
      </c>
      <c r="F187" s="25" t="s">
        <v>5204</v>
      </c>
      <c r="G187" s="25" t="s">
        <v>5205</v>
      </c>
      <c r="H187" s="25" t="s">
        <v>5253</v>
      </c>
      <c r="I187" s="25" t="s">
        <v>5392</v>
      </c>
      <c r="J187" s="25" t="s">
        <v>2686</v>
      </c>
      <c r="K187" s="25" t="s">
        <v>556</v>
      </c>
      <c r="L187" s="25" t="s">
        <v>5282</v>
      </c>
      <c r="M187" s="25" t="s">
        <v>4029</v>
      </c>
      <c r="N187" s="27" t="s">
        <v>5402</v>
      </c>
      <c r="O187" s="27" t="s">
        <v>5403</v>
      </c>
      <c r="P187" s="28">
        <v>43222</v>
      </c>
      <c r="Q187" s="28">
        <v>50527</v>
      </c>
      <c r="R187" s="25" t="str">
        <f t="shared" si="15"/>
        <v>男</v>
      </c>
      <c r="S187" s="25" t="s">
        <v>3984</v>
      </c>
      <c r="T187" s="28" t="str">
        <f t="shared" si="11"/>
        <v>1991-12-21</v>
      </c>
      <c r="U187" s="25">
        <f t="shared" ca="1" si="14"/>
        <v>34</v>
      </c>
      <c r="V187" s="25">
        <v>18788507701</v>
      </c>
      <c r="W187" s="28">
        <v>45870</v>
      </c>
      <c r="X187" s="28">
        <v>41456</v>
      </c>
      <c r="Y187" s="29" t="str">
        <f t="shared" ca="1" si="12"/>
        <v>12年9个月</v>
      </c>
      <c r="Z187" s="25"/>
      <c r="AA187" s="26" t="str">
        <f t="shared" ca="1" si="13"/>
        <v>12年9个月</v>
      </c>
      <c r="AB187" s="25" t="s">
        <v>4034</v>
      </c>
      <c r="AC187" s="25" t="s">
        <v>28</v>
      </c>
      <c r="AD187" s="25" t="s">
        <v>3986</v>
      </c>
      <c r="AE187" s="25"/>
      <c r="AF187" s="25"/>
      <c r="AG187" s="27"/>
      <c r="AH187" s="25"/>
      <c r="AI187" s="25"/>
      <c r="AJ187" s="25"/>
      <c r="AK187" s="27"/>
      <c r="AL187" s="25" t="s">
        <v>305</v>
      </c>
      <c r="AM187" s="25"/>
      <c r="AN187" s="27" t="s">
        <v>4039</v>
      </c>
      <c r="AO187" s="25" t="s">
        <v>4406</v>
      </c>
      <c r="AP187" s="27" t="s">
        <v>5404</v>
      </c>
      <c r="AQ187" s="25"/>
      <c r="AR187" s="25" t="s">
        <v>4408</v>
      </c>
      <c r="AS187" s="26" t="s">
        <v>3990</v>
      </c>
      <c r="AT187" s="25" t="s">
        <v>4137</v>
      </c>
      <c r="AU187" s="25" t="s">
        <v>5405</v>
      </c>
      <c r="AV187" s="25" t="s">
        <v>5405</v>
      </c>
      <c r="AW187" s="30">
        <v>46142</v>
      </c>
      <c r="AX187" s="28">
        <v>45870</v>
      </c>
      <c r="AY187" s="28">
        <v>46142</v>
      </c>
      <c r="AZ187" s="28"/>
      <c r="BA187" s="28"/>
      <c r="BB187" s="28"/>
      <c r="BC187" s="25"/>
      <c r="BD187" s="25"/>
      <c r="BE187" s="25"/>
      <c r="BF187" s="25"/>
      <c r="BG187" s="25"/>
      <c r="BH187" s="25"/>
      <c r="BI187" s="27"/>
    </row>
    <row r="188" spans="1:61" ht="15.6" x14ac:dyDescent="0.25">
      <c r="A188" s="25">
        <v>186</v>
      </c>
      <c r="B188" s="25" t="s">
        <v>5406</v>
      </c>
      <c r="C188" s="25" t="s">
        <v>4002</v>
      </c>
      <c r="D188" s="26" t="s">
        <v>4150</v>
      </c>
      <c r="E188" s="26" t="s">
        <v>3975</v>
      </c>
      <c r="F188" s="25" t="s">
        <v>5204</v>
      </c>
      <c r="G188" s="25" t="s">
        <v>5205</v>
      </c>
      <c r="H188" s="25" t="s">
        <v>5253</v>
      </c>
      <c r="I188" s="25" t="s">
        <v>5392</v>
      </c>
      <c r="J188" s="25" t="s">
        <v>574</v>
      </c>
      <c r="K188" s="25" t="s">
        <v>556</v>
      </c>
      <c r="L188" s="25" t="s">
        <v>5282</v>
      </c>
      <c r="M188" s="25" t="s">
        <v>4029</v>
      </c>
      <c r="N188" s="27" t="s">
        <v>5407</v>
      </c>
      <c r="O188" s="27" t="s">
        <v>4031</v>
      </c>
      <c r="P188" s="28">
        <v>43952</v>
      </c>
      <c r="Q188" s="28">
        <v>51257</v>
      </c>
      <c r="R188" s="25" t="str">
        <f t="shared" si="15"/>
        <v>男</v>
      </c>
      <c r="S188" s="25" t="s">
        <v>3984</v>
      </c>
      <c r="T188" s="28" t="str">
        <f t="shared" si="11"/>
        <v>1990-05-20</v>
      </c>
      <c r="U188" s="25">
        <f t="shared" ca="1" si="14"/>
        <v>35</v>
      </c>
      <c r="V188" s="25">
        <v>15969410889</v>
      </c>
      <c r="W188" s="28">
        <v>45870</v>
      </c>
      <c r="X188" s="43">
        <v>39272</v>
      </c>
      <c r="Y188" s="29" t="str">
        <f t="shared" ca="1" si="12"/>
        <v>18年9个月</v>
      </c>
      <c r="Z188" s="25"/>
      <c r="AA188" s="26" t="str">
        <f t="shared" ca="1" si="13"/>
        <v>18年9个月</v>
      </c>
      <c r="AB188" s="25" t="s">
        <v>4034</v>
      </c>
      <c r="AC188" s="25" t="s">
        <v>3985</v>
      </c>
      <c r="AD188" s="25" t="s">
        <v>4035</v>
      </c>
      <c r="AE188" s="25"/>
      <c r="AF188" s="25"/>
      <c r="AG188" s="27"/>
      <c r="AH188" s="25"/>
      <c r="AI188" s="25"/>
      <c r="AJ188" s="25"/>
      <c r="AK188" s="27"/>
      <c r="AL188" s="25" t="s">
        <v>4246</v>
      </c>
      <c r="AM188" s="25"/>
      <c r="AN188" s="27" t="s">
        <v>4039</v>
      </c>
      <c r="AO188" s="25" t="s">
        <v>5408</v>
      </c>
      <c r="AP188" s="27"/>
      <c r="AQ188" s="25"/>
      <c r="AR188" s="25" t="s">
        <v>5409</v>
      </c>
      <c r="AS188" s="26" t="s">
        <v>3990</v>
      </c>
      <c r="AT188" s="25" t="s">
        <v>294</v>
      </c>
      <c r="AU188" s="25" t="s">
        <v>5410</v>
      </c>
      <c r="AV188" s="25" t="s">
        <v>5410</v>
      </c>
      <c r="AW188" s="30" t="s">
        <v>4000</v>
      </c>
      <c r="AX188" s="28">
        <v>45870</v>
      </c>
      <c r="AY188" s="28" t="s">
        <v>4000</v>
      </c>
      <c r="AZ188" s="28"/>
      <c r="BA188" s="28"/>
      <c r="BB188" s="28"/>
      <c r="BC188" s="25"/>
      <c r="BD188" s="25"/>
      <c r="BE188" s="25"/>
      <c r="BF188" s="25"/>
      <c r="BG188" s="25"/>
      <c r="BH188" s="25"/>
      <c r="BI188" s="27"/>
    </row>
    <row r="189" spans="1:61" ht="15.6" x14ac:dyDescent="0.25">
      <c r="A189" s="25">
        <v>187</v>
      </c>
      <c r="B189" s="25" t="s">
        <v>5411</v>
      </c>
      <c r="C189" s="25" t="s">
        <v>4002</v>
      </c>
      <c r="D189" s="26" t="s">
        <v>4150</v>
      </c>
      <c r="E189" s="26" t="s">
        <v>3975</v>
      </c>
      <c r="F189" s="25" t="s">
        <v>5204</v>
      </c>
      <c r="G189" s="25" t="s">
        <v>5205</v>
      </c>
      <c r="H189" s="25" t="s">
        <v>5253</v>
      </c>
      <c r="I189" s="25" t="s">
        <v>5392</v>
      </c>
      <c r="J189" s="25" t="s">
        <v>574</v>
      </c>
      <c r="K189" s="25" t="s">
        <v>556</v>
      </c>
      <c r="L189" s="25" t="s">
        <v>5282</v>
      </c>
      <c r="M189" s="25" t="s">
        <v>4029</v>
      </c>
      <c r="N189" s="27" t="s">
        <v>5412</v>
      </c>
      <c r="O189" s="27" t="s">
        <v>4573</v>
      </c>
      <c r="P189" s="28">
        <v>43313</v>
      </c>
      <c r="Q189" s="28">
        <v>50618</v>
      </c>
      <c r="R189" s="25" t="str">
        <f t="shared" si="15"/>
        <v>男</v>
      </c>
      <c r="S189" s="25" t="s">
        <v>4032</v>
      </c>
      <c r="T189" s="28" t="str">
        <f t="shared" si="11"/>
        <v>1991-11-08</v>
      </c>
      <c r="U189" s="25">
        <f t="shared" ca="1" si="14"/>
        <v>34</v>
      </c>
      <c r="V189" s="25">
        <v>18788503414</v>
      </c>
      <c r="W189" s="28">
        <v>45870</v>
      </c>
      <c r="X189" s="28">
        <v>41456</v>
      </c>
      <c r="Y189" s="29" t="str">
        <f t="shared" ca="1" si="12"/>
        <v>12年9个月</v>
      </c>
      <c r="Z189" s="25"/>
      <c r="AA189" s="26" t="str">
        <f t="shared" ca="1" si="13"/>
        <v>12年9个月</v>
      </c>
      <c r="AB189" s="25" t="s">
        <v>253</v>
      </c>
      <c r="AC189" s="25" t="s">
        <v>3985</v>
      </c>
      <c r="AD189" s="25" t="s">
        <v>3986</v>
      </c>
      <c r="AE189" s="25"/>
      <c r="AF189" s="25"/>
      <c r="AG189" s="27"/>
      <c r="AH189" s="25"/>
      <c r="AI189" s="25"/>
      <c r="AJ189" s="25"/>
      <c r="AK189" s="27"/>
      <c r="AL189" s="25" t="s">
        <v>305</v>
      </c>
      <c r="AM189" s="25"/>
      <c r="AN189" s="27" t="s">
        <v>4039</v>
      </c>
      <c r="AO189" s="25" t="s">
        <v>4524</v>
      </c>
      <c r="AP189" s="27" t="s">
        <v>5413</v>
      </c>
      <c r="AQ189" s="25"/>
      <c r="AR189" s="25" t="s">
        <v>4936</v>
      </c>
      <c r="AS189" s="26" t="s">
        <v>3990</v>
      </c>
      <c r="AT189" s="25" t="s">
        <v>4239</v>
      </c>
      <c r="AU189" s="25" t="s">
        <v>5414</v>
      </c>
      <c r="AV189" s="25" t="s">
        <v>5414</v>
      </c>
      <c r="AW189" s="30">
        <v>46873</v>
      </c>
      <c r="AX189" s="28">
        <v>45870</v>
      </c>
      <c r="AY189" s="28">
        <v>46873</v>
      </c>
      <c r="AZ189" s="28"/>
      <c r="BA189" s="28"/>
      <c r="BB189" s="28"/>
      <c r="BC189" s="28"/>
      <c r="BD189" s="25"/>
      <c r="BE189" s="25"/>
      <c r="BF189" s="25"/>
      <c r="BG189" s="25"/>
      <c r="BH189" s="25"/>
      <c r="BI189" s="27"/>
    </row>
    <row r="190" spans="1:61" ht="15.6" x14ac:dyDescent="0.25">
      <c r="A190" s="25">
        <v>188</v>
      </c>
      <c r="B190" s="25" t="s">
        <v>5415</v>
      </c>
      <c r="C190" s="25" t="s">
        <v>4002</v>
      </c>
      <c r="D190" s="26" t="s">
        <v>4150</v>
      </c>
      <c r="E190" s="26" t="s">
        <v>3975</v>
      </c>
      <c r="F190" s="25" t="s">
        <v>5204</v>
      </c>
      <c r="G190" s="25" t="s">
        <v>5205</v>
      </c>
      <c r="H190" s="25" t="s">
        <v>5253</v>
      </c>
      <c r="I190" s="25" t="s">
        <v>5416</v>
      </c>
      <c r="J190" s="25" t="s">
        <v>574</v>
      </c>
      <c r="K190" s="25" t="s">
        <v>556</v>
      </c>
      <c r="L190" s="25" t="s">
        <v>5282</v>
      </c>
      <c r="M190" s="25" t="s">
        <v>4029</v>
      </c>
      <c r="N190" s="27" t="s">
        <v>5417</v>
      </c>
      <c r="O190" s="27" t="s">
        <v>4031</v>
      </c>
      <c r="P190" s="28">
        <v>42597</v>
      </c>
      <c r="Q190" s="28">
        <v>49902</v>
      </c>
      <c r="R190" s="25" t="str">
        <f t="shared" si="15"/>
        <v>男</v>
      </c>
      <c r="S190" s="25" t="s">
        <v>3984</v>
      </c>
      <c r="T190" s="28" t="str">
        <f t="shared" si="11"/>
        <v>1988-10-02</v>
      </c>
      <c r="U190" s="25">
        <f t="shared" ca="1" si="14"/>
        <v>37</v>
      </c>
      <c r="V190" s="25">
        <v>15887160792</v>
      </c>
      <c r="W190" s="28">
        <v>45870</v>
      </c>
      <c r="X190" s="43">
        <v>39328</v>
      </c>
      <c r="Y190" s="29" t="str">
        <f t="shared" ca="1" si="12"/>
        <v>18年7个月</v>
      </c>
      <c r="Z190" s="25"/>
      <c r="AA190" s="26" t="str">
        <f t="shared" ca="1" si="13"/>
        <v>18年7个月</v>
      </c>
      <c r="AB190" s="25" t="s">
        <v>29</v>
      </c>
      <c r="AC190" s="25" t="s">
        <v>3985</v>
      </c>
      <c r="AD190" s="25" t="s">
        <v>4035</v>
      </c>
      <c r="AE190" s="25"/>
      <c r="AF190" s="25"/>
      <c r="AG190" s="27"/>
      <c r="AH190" s="25"/>
      <c r="AI190" s="25"/>
      <c r="AJ190" s="25"/>
      <c r="AK190" s="27"/>
      <c r="AL190" s="25" t="s">
        <v>305</v>
      </c>
      <c r="AM190" s="25"/>
      <c r="AN190" s="27" t="s">
        <v>4039</v>
      </c>
      <c r="AO190" s="25" t="s">
        <v>5418</v>
      </c>
      <c r="AP190" s="27" t="s">
        <v>5419</v>
      </c>
      <c r="AQ190" s="25"/>
      <c r="AR190" s="25" t="s">
        <v>4546</v>
      </c>
      <c r="AS190" s="26" t="s">
        <v>4011</v>
      </c>
      <c r="AT190" s="25" t="s">
        <v>294</v>
      </c>
      <c r="AU190" s="25" t="s">
        <v>5420</v>
      </c>
      <c r="AV190" s="25" t="s">
        <v>5421</v>
      </c>
      <c r="AW190" s="30" t="s">
        <v>4000</v>
      </c>
      <c r="AX190" s="28">
        <v>45870</v>
      </c>
      <c r="AY190" s="28" t="s">
        <v>4000</v>
      </c>
      <c r="AZ190" s="28"/>
      <c r="BA190" s="28"/>
      <c r="BB190" s="28"/>
      <c r="BC190" s="25"/>
      <c r="BD190" s="25"/>
      <c r="BE190" s="25"/>
      <c r="BF190" s="25"/>
      <c r="BG190" s="25"/>
      <c r="BH190" s="25"/>
      <c r="BI190" s="27"/>
    </row>
    <row r="191" spans="1:61" ht="15.6" x14ac:dyDescent="0.25">
      <c r="A191" s="25">
        <v>189</v>
      </c>
      <c r="B191" s="25" t="s">
        <v>5422</v>
      </c>
      <c r="C191" s="25" t="s">
        <v>4002</v>
      </c>
      <c r="D191" s="26" t="s">
        <v>4150</v>
      </c>
      <c r="E191" s="26" t="s">
        <v>3975</v>
      </c>
      <c r="F191" s="25" t="s">
        <v>5204</v>
      </c>
      <c r="G191" s="25" t="s">
        <v>5205</v>
      </c>
      <c r="H191" s="25" t="s">
        <v>5253</v>
      </c>
      <c r="I191" s="25" t="s">
        <v>5392</v>
      </c>
      <c r="J191" s="25" t="s">
        <v>574</v>
      </c>
      <c r="K191" s="25" t="s">
        <v>556</v>
      </c>
      <c r="L191" s="25" t="s">
        <v>5282</v>
      </c>
      <c r="M191" s="25" t="s">
        <v>4029</v>
      </c>
      <c r="N191" s="27" t="s">
        <v>5423</v>
      </c>
      <c r="O191" s="27" t="s">
        <v>3981</v>
      </c>
      <c r="P191" s="28">
        <v>44355</v>
      </c>
      <c r="Q191" s="28">
        <v>51660</v>
      </c>
      <c r="R191" s="25" t="str">
        <f t="shared" si="15"/>
        <v>男</v>
      </c>
      <c r="S191" s="25" t="s">
        <v>3984</v>
      </c>
      <c r="T191" s="28" t="str">
        <f t="shared" si="11"/>
        <v>1988-02-25</v>
      </c>
      <c r="U191" s="25">
        <f t="shared" ca="1" si="14"/>
        <v>38</v>
      </c>
      <c r="V191" s="25">
        <v>13759470903</v>
      </c>
      <c r="W191" s="28">
        <v>45870</v>
      </c>
      <c r="X191" s="28">
        <v>41236</v>
      </c>
      <c r="Y191" s="29" t="str">
        <f t="shared" ca="1" si="12"/>
        <v>13年4个月</v>
      </c>
      <c r="Z191" s="25"/>
      <c r="AA191" s="26" t="str">
        <f t="shared" ca="1" si="13"/>
        <v>13年4个月</v>
      </c>
      <c r="AB191" s="25" t="s">
        <v>4034</v>
      </c>
      <c r="AC191" s="25" t="s">
        <v>3985</v>
      </c>
      <c r="AD191" s="25" t="s">
        <v>4035</v>
      </c>
      <c r="AE191" s="25"/>
      <c r="AF191" s="25"/>
      <c r="AG191" s="27"/>
      <c r="AH191" s="25"/>
      <c r="AI191" s="25"/>
      <c r="AJ191" s="25"/>
      <c r="AK191" s="27"/>
      <c r="AL191" s="25" t="s">
        <v>1705</v>
      </c>
      <c r="AM191" s="25"/>
      <c r="AN191" s="27" t="s">
        <v>4039</v>
      </c>
      <c r="AO191" s="25" t="s">
        <v>2858</v>
      </c>
      <c r="AP191" s="27"/>
      <c r="AQ191" s="25"/>
      <c r="AR191" s="27"/>
      <c r="AS191" s="26" t="s">
        <v>4011</v>
      </c>
      <c r="AT191" s="25" t="s">
        <v>668</v>
      </c>
      <c r="AU191" s="25" t="s">
        <v>2853</v>
      </c>
      <c r="AV191" s="25" t="s">
        <v>5424</v>
      </c>
      <c r="AW191" s="30" t="s">
        <v>4000</v>
      </c>
      <c r="AX191" s="28">
        <v>45870</v>
      </c>
      <c r="AY191" s="28" t="s">
        <v>4000</v>
      </c>
      <c r="AZ191" s="28"/>
      <c r="BA191" s="28"/>
      <c r="BB191" s="28"/>
      <c r="BC191" s="25"/>
      <c r="BD191" s="25"/>
      <c r="BE191" s="25"/>
      <c r="BF191" s="25"/>
      <c r="BG191" s="25"/>
      <c r="BH191" s="25"/>
      <c r="BI191" s="27"/>
    </row>
    <row r="192" spans="1:61" ht="15.6" x14ac:dyDescent="0.25">
      <c r="A192" s="25">
        <v>190</v>
      </c>
      <c r="B192" s="25" t="s">
        <v>5425</v>
      </c>
      <c r="C192" s="25" t="s">
        <v>4002</v>
      </c>
      <c r="D192" s="26" t="s">
        <v>4150</v>
      </c>
      <c r="E192" s="26" t="s">
        <v>3975</v>
      </c>
      <c r="F192" s="25" t="s">
        <v>5204</v>
      </c>
      <c r="G192" s="25" t="s">
        <v>5205</v>
      </c>
      <c r="H192" s="25" t="s">
        <v>5253</v>
      </c>
      <c r="I192" s="25" t="s">
        <v>5392</v>
      </c>
      <c r="J192" s="25" t="s">
        <v>574</v>
      </c>
      <c r="K192" s="25" t="s">
        <v>556</v>
      </c>
      <c r="L192" s="25" t="s">
        <v>5282</v>
      </c>
      <c r="M192" s="25" t="s">
        <v>4029</v>
      </c>
      <c r="N192" s="27" t="s">
        <v>5426</v>
      </c>
      <c r="O192" s="27" t="s">
        <v>4031</v>
      </c>
      <c r="P192" s="28">
        <v>44176</v>
      </c>
      <c r="Q192" s="28">
        <v>51481</v>
      </c>
      <c r="R192" s="25" t="str">
        <f t="shared" si="15"/>
        <v>男</v>
      </c>
      <c r="S192" s="25" t="s">
        <v>3984</v>
      </c>
      <c r="T192" s="28" t="str">
        <f t="shared" si="11"/>
        <v>1994-06-25</v>
      </c>
      <c r="U192" s="25">
        <f t="shared" ca="1" si="14"/>
        <v>31</v>
      </c>
      <c r="V192" s="25">
        <v>18725083364</v>
      </c>
      <c r="W192" s="28">
        <v>45870</v>
      </c>
      <c r="X192" s="28">
        <v>41474</v>
      </c>
      <c r="Y192" s="29" t="str">
        <f t="shared" ca="1" si="12"/>
        <v>12年8个月</v>
      </c>
      <c r="Z192" s="25"/>
      <c r="AA192" s="26" t="str">
        <f t="shared" ca="1" si="13"/>
        <v>12年8个月</v>
      </c>
      <c r="AB192" s="25" t="s">
        <v>253</v>
      </c>
      <c r="AC192" s="25" t="s">
        <v>119</v>
      </c>
      <c r="AD192" s="25" t="s">
        <v>4035</v>
      </c>
      <c r="AE192" s="25"/>
      <c r="AF192" s="25"/>
      <c r="AG192" s="27"/>
      <c r="AH192" s="25"/>
      <c r="AI192" s="25"/>
      <c r="AJ192" s="25"/>
      <c r="AK192" s="27"/>
      <c r="AL192" s="25" t="s">
        <v>4246</v>
      </c>
      <c r="AM192" s="25"/>
      <c r="AN192" s="27" t="s">
        <v>4039</v>
      </c>
      <c r="AO192" s="25" t="s">
        <v>5427</v>
      </c>
      <c r="AP192" s="27" t="s">
        <v>5428</v>
      </c>
      <c r="AQ192" s="25"/>
      <c r="AR192" s="25" t="s">
        <v>5429</v>
      </c>
      <c r="AS192" s="26" t="s">
        <v>3990</v>
      </c>
      <c r="AT192" s="25" t="s">
        <v>294</v>
      </c>
      <c r="AU192" s="25" t="s">
        <v>5430</v>
      </c>
      <c r="AV192" s="25" t="s">
        <v>5431</v>
      </c>
      <c r="AW192" s="30">
        <v>46873</v>
      </c>
      <c r="AX192" s="28">
        <v>45870</v>
      </c>
      <c r="AY192" s="28">
        <v>46873</v>
      </c>
      <c r="AZ192" s="28"/>
      <c r="BA192" s="28"/>
      <c r="BB192" s="28"/>
      <c r="BC192" s="25"/>
      <c r="BD192" s="25"/>
      <c r="BE192" s="25"/>
      <c r="BF192" s="25"/>
      <c r="BG192" s="25"/>
      <c r="BH192" s="25"/>
      <c r="BI192" s="27"/>
    </row>
    <row r="193" spans="1:61" ht="15.6" x14ac:dyDescent="0.25">
      <c r="A193" s="25">
        <v>191</v>
      </c>
      <c r="B193" s="25" t="s">
        <v>5432</v>
      </c>
      <c r="C193" s="25" t="s">
        <v>4002</v>
      </c>
      <c r="D193" s="26" t="s">
        <v>4150</v>
      </c>
      <c r="E193" s="26" t="s">
        <v>3975</v>
      </c>
      <c r="F193" s="25" t="s">
        <v>5204</v>
      </c>
      <c r="G193" s="25" t="s">
        <v>5205</v>
      </c>
      <c r="H193" s="25" t="s">
        <v>5253</v>
      </c>
      <c r="I193" s="25" t="s">
        <v>5392</v>
      </c>
      <c r="J193" s="25" t="s">
        <v>574</v>
      </c>
      <c r="K193" s="25" t="s">
        <v>556</v>
      </c>
      <c r="L193" s="25" t="s">
        <v>5282</v>
      </c>
      <c r="M193" s="25" t="s">
        <v>4029</v>
      </c>
      <c r="N193" s="27" t="s">
        <v>5433</v>
      </c>
      <c r="O193" s="27" t="s">
        <v>4129</v>
      </c>
      <c r="P193" s="28">
        <v>43851</v>
      </c>
      <c r="Q193" s="28">
        <v>51156</v>
      </c>
      <c r="R193" s="25" t="str">
        <f t="shared" si="15"/>
        <v>男</v>
      </c>
      <c r="S193" s="25" t="s">
        <v>27</v>
      </c>
      <c r="T193" s="28" t="str">
        <f t="shared" si="11"/>
        <v>1991-12-03</v>
      </c>
      <c r="U193" s="25">
        <f t="shared" ca="1" si="14"/>
        <v>34</v>
      </c>
      <c r="V193" s="25">
        <v>14787854582</v>
      </c>
      <c r="W193" s="28">
        <v>45870</v>
      </c>
      <c r="X193" s="28">
        <v>41814</v>
      </c>
      <c r="Y193" s="29" t="str">
        <f t="shared" ca="1" si="12"/>
        <v>11年9个月</v>
      </c>
      <c r="Z193" s="33"/>
      <c r="AA193" s="26" t="str">
        <f t="shared" ca="1" si="13"/>
        <v>11年9个月</v>
      </c>
      <c r="AB193" s="25" t="s">
        <v>253</v>
      </c>
      <c r="AC193" s="25" t="s">
        <v>3985</v>
      </c>
      <c r="AD193" s="25" t="s">
        <v>4234</v>
      </c>
      <c r="AE193" s="25"/>
      <c r="AF193" s="25"/>
      <c r="AG193" s="27"/>
      <c r="AH193" s="25"/>
      <c r="AI193" s="25"/>
      <c r="AJ193" s="25"/>
      <c r="AK193" s="27"/>
      <c r="AL193" s="25" t="s">
        <v>305</v>
      </c>
      <c r="AM193" s="25"/>
      <c r="AN193" s="27" t="s">
        <v>4039</v>
      </c>
      <c r="AO193" s="25" t="s">
        <v>1410</v>
      </c>
      <c r="AP193" s="27" t="s">
        <v>5434</v>
      </c>
      <c r="AQ193" s="25"/>
      <c r="AR193" s="27" t="s">
        <v>1835</v>
      </c>
      <c r="AS193" s="26" t="s">
        <v>3990</v>
      </c>
      <c r="AT193" s="25" t="s">
        <v>4137</v>
      </c>
      <c r="AU193" s="25" t="s">
        <v>2459</v>
      </c>
      <c r="AV193" s="25" t="s">
        <v>2459</v>
      </c>
      <c r="AW193" s="30">
        <v>46873</v>
      </c>
      <c r="AX193" s="28">
        <v>45870</v>
      </c>
      <c r="AY193" s="28">
        <v>46873</v>
      </c>
      <c r="AZ193" s="28"/>
      <c r="BA193" s="28"/>
      <c r="BB193" s="28"/>
      <c r="BC193" s="25"/>
      <c r="BD193" s="25"/>
      <c r="BE193" s="25"/>
      <c r="BF193" s="25"/>
      <c r="BG193" s="25"/>
      <c r="BH193" s="25"/>
      <c r="BI193" s="27"/>
    </row>
    <row r="194" spans="1:61" ht="15.6" x14ac:dyDescent="0.25">
      <c r="A194" s="25">
        <v>192</v>
      </c>
      <c r="B194" s="25" t="s">
        <v>5435</v>
      </c>
      <c r="C194" s="25" t="s">
        <v>4002</v>
      </c>
      <c r="D194" s="26" t="s">
        <v>4150</v>
      </c>
      <c r="E194" s="26" t="s">
        <v>3975</v>
      </c>
      <c r="F194" s="25" t="s">
        <v>5204</v>
      </c>
      <c r="G194" s="25" t="s">
        <v>5205</v>
      </c>
      <c r="H194" s="25" t="s">
        <v>5253</v>
      </c>
      <c r="I194" s="25" t="s">
        <v>5436</v>
      </c>
      <c r="J194" s="25" t="s">
        <v>574</v>
      </c>
      <c r="K194" s="25" t="s">
        <v>556</v>
      </c>
      <c r="L194" s="25" t="s">
        <v>5282</v>
      </c>
      <c r="M194" s="25" t="s">
        <v>4029</v>
      </c>
      <c r="N194" s="27" t="s">
        <v>5437</v>
      </c>
      <c r="O194" s="27" t="s">
        <v>5403</v>
      </c>
      <c r="P194" s="28">
        <v>39810</v>
      </c>
      <c r="Q194" s="28">
        <v>47115</v>
      </c>
      <c r="R194" s="25" t="str">
        <f t="shared" si="15"/>
        <v>男</v>
      </c>
      <c r="S194" s="25" t="s">
        <v>3984</v>
      </c>
      <c r="T194" s="28" t="str">
        <f t="shared" si="11"/>
        <v>1977-09-02</v>
      </c>
      <c r="U194" s="25">
        <f t="shared" ca="1" si="14"/>
        <v>48</v>
      </c>
      <c r="V194" s="25">
        <v>18687049528</v>
      </c>
      <c r="W194" s="28">
        <v>45870</v>
      </c>
      <c r="X194" s="28">
        <v>40641</v>
      </c>
      <c r="Y194" s="29" t="str">
        <f t="shared" ca="1" si="12"/>
        <v>15年0个月</v>
      </c>
      <c r="Z194" s="25" t="s">
        <v>4511</v>
      </c>
      <c r="AA194" s="26" t="str">
        <f t="shared" ca="1" si="13"/>
        <v>16年9个月</v>
      </c>
      <c r="AB194" s="25" t="s">
        <v>29</v>
      </c>
      <c r="AC194" s="25" t="s">
        <v>28</v>
      </c>
      <c r="AD194" s="25" t="s">
        <v>4035</v>
      </c>
      <c r="AE194" s="25"/>
      <c r="AF194" s="25"/>
      <c r="AG194" s="27"/>
      <c r="AH194" s="25" t="s">
        <v>4036</v>
      </c>
      <c r="AI194" s="25" t="s">
        <v>3059</v>
      </c>
      <c r="AJ194" s="25" t="s">
        <v>964</v>
      </c>
      <c r="AK194" s="27" t="s">
        <v>5438</v>
      </c>
      <c r="AL194" s="25" t="s">
        <v>305</v>
      </c>
      <c r="AM194" s="25"/>
      <c r="AN194" s="27" t="s">
        <v>4039</v>
      </c>
      <c r="AO194" s="25" t="s">
        <v>4040</v>
      </c>
      <c r="AP194" s="27" t="s">
        <v>5439</v>
      </c>
      <c r="AQ194" s="25"/>
      <c r="AR194" s="27" t="s">
        <v>5299</v>
      </c>
      <c r="AS194" s="26" t="s">
        <v>4011</v>
      </c>
      <c r="AT194" s="25" t="s">
        <v>4137</v>
      </c>
      <c r="AU194" s="25" t="s">
        <v>5440</v>
      </c>
      <c r="AV194" s="25" t="s">
        <v>5440</v>
      </c>
      <c r="AW194" s="30" t="s">
        <v>4000</v>
      </c>
      <c r="AX194" s="28">
        <v>45870</v>
      </c>
      <c r="AY194" s="28" t="s">
        <v>4000</v>
      </c>
      <c r="AZ194" s="28"/>
      <c r="BA194" s="28"/>
      <c r="BB194" s="28"/>
      <c r="BC194" s="25"/>
      <c r="BD194" s="25"/>
      <c r="BE194" s="25"/>
      <c r="BF194" s="25"/>
      <c r="BG194" s="25"/>
      <c r="BH194" s="25"/>
      <c r="BI194" s="27"/>
    </row>
    <row r="195" spans="1:61" ht="15.6" x14ac:dyDescent="0.25">
      <c r="A195" s="25">
        <v>193</v>
      </c>
      <c r="B195" s="26" t="s">
        <v>5441</v>
      </c>
      <c r="C195" s="25" t="s">
        <v>4002</v>
      </c>
      <c r="D195" s="26" t="s">
        <v>4150</v>
      </c>
      <c r="E195" s="26" t="s">
        <v>3975</v>
      </c>
      <c r="F195" s="25" t="s">
        <v>5204</v>
      </c>
      <c r="G195" s="25" t="s">
        <v>5205</v>
      </c>
      <c r="H195" s="25" t="s">
        <v>5253</v>
      </c>
      <c r="I195" s="25" t="s">
        <v>5392</v>
      </c>
      <c r="J195" s="25" t="s">
        <v>574</v>
      </c>
      <c r="K195" s="25" t="s">
        <v>556</v>
      </c>
      <c r="L195" s="25" t="s">
        <v>5282</v>
      </c>
      <c r="M195" s="25" t="s">
        <v>4029</v>
      </c>
      <c r="N195" s="35" t="s">
        <v>5442</v>
      </c>
      <c r="O195" s="35" t="s">
        <v>4031</v>
      </c>
      <c r="P195" s="36">
        <v>42780</v>
      </c>
      <c r="Q195" s="36">
        <v>46432</v>
      </c>
      <c r="R195" s="25" t="str">
        <f t="shared" si="15"/>
        <v>男</v>
      </c>
      <c r="S195" s="26" t="s">
        <v>3984</v>
      </c>
      <c r="T195" s="28" t="str">
        <f t="shared" si="11"/>
        <v>1996-04-04</v>
      </c>
      <c r="U195" s="25">
        <f t="shared" ca="1" si="14"/>
        <v>30</v>
      </c>
      <c r="V195" s="25">
        <v>15288498483</v>
      </c>
      <c r="W195" s="28">
        <v>45870</v>
      </c>
      <c r="X195" s="36">
        <v>43282</v>
      </c>
      <c r="Y195" s="29" t="str">
        <f t="shared" ca="1" si="12"/>
        <v>7年9个月</v>
      </c>
      <c r="Z195" s="36"/>
      <c r="AA195" s="26" t="str">
        <f t="shared" ca="1" si="13"/>
        <v>7年9个月</v>
      </c>
      <c r="AB195" s="26" t="s">
        <v>4049</v>
      </c>
      <c r="AC195" s="25" t="s">
        <v>119</v>
      </c>
      <c r="AD195" s="26" t="s">
        <v>4084</v>
      </c>
      <c r="AE195" s="25"/>
      <c r="AF195" s="25"/>
      <c r="AG195" s="27"/>
      <c r="AH195" s="25"/>
      <c r="AI195" s="25"/>
      <c r="AJ195" s="25"/>
      <c r="AK195" s="27"/>
      <c r="AL195" s="25" t="s">
        <v>305</v>
      </c>
      <c r="AM195" s="25"/>
      <c r="AN195" s="27" t="s">
        <v>4039</v>
      </c>
      <c r="AO195" s="25" t="s">
        <v>559</v>
      </c>
      <c r="AP195" s="27" t="s">
        <v>5443</v>
      </c>
      <c r="AQ195" s="25"/>
      <c r="AR195" s="26" t="s">
        <v>1885</v>
      </c>
      <c r="AS195" s="26" t="s">
        <v>3990</v>
      </c>
      <c r="AT195" s="26" t="s">
        <v>4043</v>
      </c>
      <c r="AU195" s="26" t="s">
        <v>5444</v>
      </c>
      <c r="AV195" s="26" t="s">
        <v>5444</v>
      </c>
      <c r="AW195" s="39">
        <v>46873</v>
      </c>
      <c r="AX195" s="28">
        <v>45870</v>
      </c>
      <c r="AY195" s="36">
        <v>46873</v>
      </c>
      <c r="AZ195" s="36"/>
      <c r="BA195" s="26"/>
      <c r="BB195" s="26"/>
      <c r="BC195" s="26"/>
      <c r="BD195" s="26"/>
      <c r="BE195" s="26"/>
      <c r="BF195" s="26"/>
      <c r="BG195" s="26"/>
      <c r="BH195" s="26"/>
      <c r="BI195" s="26"/>
    </row>
    <row r="196" spans="1:61" ht="15.6" x14ac:dyDescent="0.25">
      <c r="A196" s="25">
        <v>194</v>
      </c>
      <c r="B196" s="26" t="s">
        <v>5445</v>
      </c>
      <c r="C196" s="25" t="s">
        <v>4002</v>
      </c>
      <c r="D196" s="26" t="s">
        <v>4150</v>
      </c>
      <c r="E196" s="26" t="s">
        <v>3975</v>
      </c>
      <c r="F196" s="25" t="s">
        <v>5204</v>
      </c>
      <c r="G196" s="25" t="s">
        <v>5205</v>
      </c>
      <c r="H196" s="25" t="s">
        <v>5253</v>
      </c>
      <c r="I196" s="25" t="s">
        <v>5416</v>
      </c>
      <c r="J196" s="25" t="s">
        <v>574</v>
      </c>
      <c r="K196" s="25" t="s">
        <v>556</v>
      </c>
      <c r="L196" s="25" t="s">
        <v>5282</v>
      </c>
      <c r="M196" s="25" t="s">
        <v>4029</v>
      </c>
      <c r="N196" s="35" t="s">
        <v>5446</v>
      </c>
      <c r="O196" s="35" t="s">
        <v>4031</v>
      </c>
      <c r="P196" s="36">
        <v>43209</v>
      </c>
      <c r="Q196" s="36">
        <v>46862</v>
      </c>
      <c r="R196" s="25" t="str">
        <f t="shared" si="15"/>
        <v>男</v>
      </c>
      <c r="S196" s="26" t="s">
        <v>3984</v>
      </c>
      <c r="T196" s="28" t="str">
        <f t="shared" si="11"/>
        <v>1999-12-14</v>
      </c>
      <c r="U196" s="25">
        <f t="shared" ca="1" si="14"/>
        <v>26</v>
      </c>
      <c r="V196" s="25">
        <v>18589358091</v>
      </c>
      <c r="W196" s="28">
        <v>45870</v>
      </c>
      <c r="X196" s="36">
        <v>44013</v>
      </c>
      <c r="Y196" s="29" t="str">
        <f t="shared" ca="1" si="12"/>
        <v>5年9个月</v>
      </c>
      <c r="Z196" s="36"/>
      <c r="AA196" s="26" t="str">
        <f t="shared" ca="1" si="13"/>
        <v>5年9个月</v>
      </c>
      <c r="AB196" s="26" t="s">
        <v>4049</v>
      </c>
      <c r="AC196" s="25" t="s">
        <v>3985</v>
      </c>
      <c r="AD196" s="25" t="s">
        <v>5055</v>
      </c>
      <c r="AE196" s="25"/>
      <c r="AF196" s="25"/>
      <c r="AG196" s="27"/>
      <c r="AH196" s="25"/>
      <c r="AI196" s="25"/>
      <c r="AJ196" s="25"/>
      <c r="AK196" s="27"/>
      <c r="AL196" s="25" t="s">
        <v>305</v>
      </c>
      <c r="AM196" s="25"/>
      <c r="AN196" s="27" t="s">
        <v>4039</v>
      </c>
      <c r="AO196" s="26" t="s">
        <v>1632</v>
      </c>
      <c r="AP196" s="35" t="s">
        <v>5447</v>
      </c>
      <c r="AQ196" s="25"/>
      <c r="AR196" s="26" t="s">
        <v>4936</v>
      </c>
      <c r="AS196" s="26" t="s">
        <v>3990</v>
      </c>
      <c r="AT196" s="26" t="s">
        <v>4043</v>
      </c>
      <c r="AU196" s="26" t="s">
        <v>5448</v>
      </c>
      <c r="AV196" s="26" t="s">
        <v>5448</v>
      </c>
      <c r="AW196" s="39">
        <v>46507</v>
      </c>
      <c r="AX196" s="28">
        <v>45870</v>
      </c>
      <c r="AY196" s="36">
        <v>46507</v>
      </c>
      <c r="AZ196" s="36"/>
      <c r="BA196" s="36"/>
      <c r="BB196" s="26"/>
      <c r="BC196" s="26"/>
      <c r="BD196" s="26"/>
      <c r="BE196" s="26"/>
      <c r="BF196" s="26"/>
      <c r="BG196" s="26"/>
      <c r="BH196" s="26"/>
      <c r="BI196" s="26"/>
    </row>
    <row r="197" spans="1:61" ht="15.6" x14ac:dyDescent="0.25">
      <c r="A197" s="25">
        <v>195</v>
      </c>
      <c r="B197" s="26" t="s">
        <v>5449</v>
      </c>
      <c r="C197" s="25" t="s">
        <v>4002</v>
      </c>
      <c r="D197" s="26" t="s">
        <v>4150</v>
      </c>
      <c r="E197" s="26" t="s">
        <v>3975</v>
      </c>
      <c r="F197" s="25" t="s">
        <v>5204</v>
      </c>
      <c r="G197" s="25" t="s">
        <v>5205</v>
      </c>
      <c r="H197" s="25" t="s">
        <v>5253</v>
      </c>
      <c r="I197" s="25" t="s">
        <v>5416</v>
      </c>
      <c r="J197" s="25" t="s">
        <v>574</v>
      </c>
      <c r="K197" s="25" t="s">
        <v>556</v>
      </c>
      <c r="L197" s="25" t="s">
        <v>5282</v>
      </c>
      <c r="M197" s="25" t="s">
        <v>4029</v>
      </c>
      <c r="N197" s="27" t="s">
        <v>5450</v>
      </c>
      <c r="O197" s="27" t="s">
        <v>5451</v>
      </c>
      <c r="P197" s="28">
        <v>44290</v>
      </c>
      <c r="Q197" s="28">
        <v>47942</v>
      </c>
      <c r="R197" s="25" t="str">
        <f t="shared" si="15"/>
        <v>男</v>
      </c>
      <c r="S197" s="26" t="s">
        <v>4082</v>
      </c>
      <c r="T197" s="28" t="str">
        <f t="shared" si="11"/>
        <v>2001-10-21</v>
      </c>
      <c r="U197" s="25">
        <f t="shared" ca="1" si="14"/>
        <v>24</v>
      </c>
      <c r="V197" s="25">
        <v>15894536994</v>
      </c>
      <c r="W197" s="28">
        <v>45870</v>
      </c>
      <c r="X197" s="28">
        <v>45474</v>
      </c>
      <c r="Y197" s="29" t="str">
        <f t="shared" ca="1" si="12"/>
        <v>1年9个月</v>
      </c>
      <c r="Z197" s="26"/>
      <c r="AA197" s="26" t="str">
        <f t="shared" ca="1" si="13"/>
        <v>1年9个月</v>
      </c>
      <c r="AB197" s="26" t="s">
        <v>5452</v>
      </c>
      <c r="AC197" s="25" t="s">
        <v>3985</v>
      </c>
      <c r="AD197" s="25" t="s">
        <v>4035</v>
      </c>
      <c r="AE197" s="25"/>
      <c r="AF197" s="25"/>
      <c r="AG197" s="27"/>
      <c r="AH197" s="25"/>
      <c r="AI197" s="25"/>
      <c r="AJ197" s="25"/>
      <c r="AK197" s="27"/>
      <c r="AL197" s="25" t="s">
        <v>305</v>
      </c>
      <c r="AM197" s="25"/>
      <c r="AN197" s="27" t="s">
        <v>4039</v>
      </c>
      <c r="AO197" s="25" t="s">
        <v>559</v>
      </c>
      <c r="AP197" s="35" t="s">
        <v>5453</v>
      </c>
      <c r="AQ197" s="25"/>
      <c r="AR197" s="26" t="s">
        <v>4936</v>
      </c>
      <c r="AS197" s="26" t="s">
        <v>3990</v>
      </c>
      <c r="AT197" s="25" t="s">
        <v>4419</v>
      </c>
      <c r="AU197" s="26" t="s">
        <v>5454</v>
      </c>
      <c r="AV197" s="26" t="s">
        <v>5454</v>
      </c>
      <c r="AW197" s="39">
        <v>46203</v>
      </c>
      <c r="AX197" s="28">
        <v>45870</v>
      </c>
      <c r="AY197" s="36">
        <v>46203</v>
      </c>
      <c r="AZ197" s="36"/>
      <c r="BA197" s="26"/>
      <c r="BB197" s="26"/>
      <c r="BC197" s="26"/>
      <c r="BD197" s="26"/>
      <c r="BE197" s="26"/>
      <c r="BF197" s="26"/>
      <c r="BG197" s="26"/>
      <c r="BH197" s="26"/>
      <c r="BI197" s="26"/>
    </row>
    <row r="198" spans="1:61" ht="15.6" x14ac:dyDescent="0.25">
      <c r="A198" s="25">
        <v>196</v>
      </c>
      <c r="B198" s="25" t="s">
        <v>5455</v>
      </c>
      <c r="C198" s="25" t="s">
        <v>4002</v>
      </c>
      <c r="D198" s="26" t="s">
        <v>4150</v>
      </c>
      <c r="E198" s="26" t="s">
        <v>3975</v>
      </c>
      <c r="F198" s="25" t="s">
        <v>5204</v>
      </c>
      <c r="G198" s="25" t="s">
        <v>5205</v>
      </c>
      <c r="H198" s="25" t="s">
        <v>5253</v>
      </c>
      <c r="I198" s="25" t="s">
        <v>5416</v>
      </c>
      <c r="J198" s="25" t="s">
        <v>574</v>
      </c>
      <c r="K198" s="25" t="s">
        <v>556</v>
      </c>
      <c r="L198" s="25" t="s">
        <v>5282</v>
      </c>
      <c r="M198" s="25" t="s">
        <v>4029</v>
      </c>
      <c r="N198" s="27" t="s">
        <v>5456</v>
      </c>
      <c r="O198" s="27" t="s">
        <v>4566</v>
      </c>
      <c r="P198" s="28">
        <v>44964</v>
      </c>
      <c r="Q198" s="28">
        <v>48617</v>
      </c>
      <c r="R198" s="25" t="s">
        <v>4312</v>
      </c>
      <c r="S198" s="25" t="s">
        <v>3984</v>
      </c>
      <c r="T198" s="25" t="str">
        <f t="shared" ref="T198:T250" si="16">TEXT(MID(N198,7,6+(LEN(N198)=18)*2),"0-00-00")</f>
        <v>2004-02-07</v>
      </c>
      <c r="U198" s="25">
        <f t="shared" ca="1" si="14"/>
        <v>22</v>
      </c>
      <c r="V198" s="25">
        <v>19387023362</v>
      </c>
      <c r="W198" s="28">
        <v>45870</v>
      </c>
      <c r="X198" s="28">
        <v>45839</v>
      </c>
      <c r="Y198" s="29" t="str">
        <f t="shared" ref="Y198:Y261" ca="1" si="17">DATEDIF(X198,TODAY(),"Y")&amp;"年"&amp;TEXT(DATEDIF(X198,TODAY(),"YM"),"0")&amp;"个月"</f>
        <v>0年9个月</v>
      </c>
      <c r="Z198" s="25"/>
      <c r="AA198" s="26"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6" t="s">
        <v>5452</v>
      </c>
      <c r="AC198" s="25" t="s">
        <v>272</v>
      </c>
      <c r="AD198" s="25" t="s">
        <v>4035</v>
      </c>
      <c r="AE198" s="25"/>
      <c r="AF198" s="25"/>
      <c r="AG198" s="27"/>
      <c r="AH198" s="25"/>
      <c r="AI198" s="25"/>
      <c r="AJ198" s="25"/>
      <c r="AK198" s="27"/>
      <c r="AL198" s="25" t="s">
        <v>305</v>
      </c>
      <c r="AM198" s="25"/>
      <c r="AN198" s="27" t="s">
        <v>4039</v>
      </c>
      <c r="AO198" s="25" t="s">
        <v>4524</v>
      </c>
      <c r="AP198" s="27" t="s">
        <v>5457</v>
      </c>
      <c r="AQ198" s="25"/>
      <c r="AR198" s="25" t="s">
        <v>5458</v>
      </c>
      <c r="AS198" s="26" t="s">
        <v>3990</v>
      </c>
      <c r="AT198" s="25" t="s">
        <v>4456</v>
      </c>
      <c r="AU198" s="25" t="s">
        <v>5459</v>
      </c>
      <c r="AV198" s="25" t="s">
        <v>5459</v>
      </c>
      <c r="AW198" s="30">
        <v>46203</v>
      </c>
      <c r="AX198" s="28">
        <v>45870</v>
      </c>
      <c r="AY198" s="28">
        <v>46203</v>
      </c>
      <c r="AZ198" s="25"/>
      <c r="BA198" s="25"/>
      <c r="BB198" s="25"/>
      <c r="BC198" s="25"/>
      <c r="BD198" s="25"/>
      <c r="BE198" s="25"/>
      <c r="BF198" s="25"/>
      <c r="BG198" s="25"/>
      <c r="BH198" s="25"/>
      <c r="BI198" s="25"/>
    </row>
    <row r="199" spans="1:61" ht="15.6" x14ac:dyDescent="0.25">
      <c r="A199" s="25">
        <v>197</v>
      </c>
      <c r="B199" s="25" t="s">
        <v>5460</v>
      </c>
      <c r="C199" s="25" t="s">
        <v>4002</v>
      </c>
      <c r="D199" s="26" t="s">
        <v>4150</v>
      </c>
      <c r="E199" s="26" t="s">
        <v>3975</v>
      </c>
      <c r="F199" s="25" t="s">
        <v>5204</v>
      </c>
      <c r="G199" s="25" t="s">
        <v>5205</v>
      </c>
      <c r="H199" s="25" t="s">
        <v>5253</v>
      </c>
      <c r="I199" s="25" t="s">
        <v>5416</v>
      </c>
      <c r="J199" s="25" t="s">
        <v>574</v>
      </c>
      <c r="K199" s="25" t="s">
        <v>556</v>
      </c>
      <c r="L199" s="25" t="s">
        <v>5282</v>
      </c>
      <c r="M199" s="25" t="s">
        <v>4029</v>
      </c>
      <c r="N199" s="27" t="s">
        <v>5461</v>
      </c>
      <c r="O199" s="27" t="s">
        <v>4703</v>
      </c>
      <c r="P199" s="28">
        <v>44070</v>
      </c>
      <c r="Q199" s="28">
        <v>47722</v>
      </c>
      <c r="R199" s="25" t="s">
        <v>4312</v>
      </c>
      <c r="S199" s="25" t="s">
        <v>3984</v>
      </c>
      <c r="T199" s="25" t="str">
        <f t="shared" si="16"/>
        <v>2004-03-07</v>
      </c>
      <c r="U199" s="25">
        <f t="shared" ca="1" si="14"/>
        <v>22</v>
      </c>
      <c r="V199" s="25">
        <v>17363994872</v>
      </c>
      <c r="W199" s="28">
        <v>45870</v>
      </c>
      <c r="X199" s="28">
        <v>45839</v>
      </c>
      <c r="Y199" s="29" t="str">
        <f t="shared" ca="1" si="17"/>
        <v>0年9个月</v>
      </c>
      <c r="Z199" s="25"/>
      <c r="AA199" s="26" t="str">
        <f t="shared" ca="1" si="18"/>
        <v>0年9个月</v>
      </c>
      <c r="AB199" s="26" t="s">
        <v>5452</v>
      </c>
      <c r="AC199" s="25" t="s">
        <v>272</v>
      </c>
      <c r="AD199" s="25" t="s">
        <v>4035</v>
      </c>
      <c r="AE199" s="25"/>
      <c r="AF199" s="25"/>
      <c r="AG199" s="27"/>
      <c r="AH199" s="25"/>
      <c r="AI199" s="25"/>
      <c r="AJ199" s="25"/>
      <c r="AK199" s="27"/>
      <c r="AL199" s="25" t="s">
        <v>305</v>
      </c>
      <c r="AM199" s="25"/>
      <c r="AN199" s="27" t="s">
        <v>4039</v>
      </c>
      <c r="AO199" s="25" t="s">
        <v>4524</v>
      </c>
      <c r="AP199" s="27" t="s">
        <v>5462</v>
      </c>
      <c r="AQ199" s="25"/>
      <c r="AR199" s="25" t="s">
        <v>5458</v>
      </c>
      <c r="AS199" s="26" t="s">
        <v>3990</v>
      </c>
      <c r="AT199" s="25" t="s">
        <v>5463</v>
      </c>
      <c r="AU199" s="25" t="s">
        <v>5464</v>
      </c>
      <c r="AV199" s="25" t="s">
        <v>5464</v>
      </c>
      <c r="AW199" s="30">
        <v>46203</v>
      </c>
      <c r="AX199" s="28">
        <v>45870</v>
      </c>
      <c r="AY199" s="28">
        <v>46203</v>
      </c>
      <c r="AZ199" s="25"/>
      <c r="BA199" s="25"/>
      <c r="BB199" s="25"/>
      <c r="BC199" s="25"/>
      <c r="BD199" s="25"/>
      <c r="BE199" s="25"/>
      <c r="BF199" s="25"/>
      <c r="BG199" s="25"/>
      <c r="BH199" s="25"/>
      <c r="BI199" s="25"/>
    </row>
    <row r="200" spans="1:61" ht="15.6" x14ac:dyDescent="0.25">
      <c r="A200" s="25">
        <v>198</v>
      </c>
      <c r="B200" s="25" t="s">
        <v>5465</v>
      </c>
      <c r="C200" s="25" t="s">
        <v>4002</v>
      </c>
      <c r="D200" s="26" t="s">
        <v>4150</v>
      </c>
      <c r="E200" s="26" t="s">
        <v>3975</v>
      </c>
      <c r="F200" s="25" t="s">
        <v>5204</v>
      </c>
      <c r="G200" s="25" t="s">
        <v>5205</v>
      </c>
      <c r="H200" s="25" t="s">
        <v>5253</v>
      </c>
      <c r="I200" s="25" t="s">
        <v>5436</v>
      </c>
      <c r="J200" s="25" t="s">
        <v>574</v>
      </c>
      <c r="K200" s="25" t="s">
        <v>556</v>
      </c>
      <c r="L200" s="25" t="s">
        <v>5282</v>
      </c>
      <c r="M200" s="25" t="s">
        <v>4029</v>
      </c>
      <c r="N200" s="27" t="s">
        <v>5466</v>
      </c>
      <c r="O200" s="27" t="s">
        <v>4397</v>
      </c>
      <c r="P200" s="28">
        <v>40238</v>
      </c>
      <c r="Q200" s="28">
        <v>47543</v>
      </c>
      <c r="R200" s="25" t="str">
        <f t="shared" ref="R200:R247" si="19">IF(MOD(RIGHT(LEFT(N200,17)),2),"男","女")</f>
        <v>男</v>
      </c>
      <c r="S200" s="25" t="s">
        <v>3984</v>
      </c>
      <c r="T200" s="28" t="str">
        <f t="shared" si="16"/>
        <v>1982-05-28</v>
      </c>
      <c r="U200" s="25">
        <f t="shared" ref="U200:U250" ca="1" si="20">DATEDIF(T200,TODAY(),"Y")</f>
        <v>43</v>
      </c>
      <c r="V200" s="25">
        <v>13888240995</v>
      </c>
      <c r="W200" s="28">
        <v>44470</v>
      </c>
      <c r="X200" s="28">
        <v>39206</v>
      </c>
      <c r="Y200" s="29" t="str">
        <f t="shared" ca="1" si="17"/>
        <v>18年11个月</v>
      </c>
      <c r="Z200" s="25"/>
      <c r="AA200" s="26" t="str">
        <f t="shared" ca="1" si="18"/>
        <v>18年11个月</v>
      </c>
      <c r="AB200" s="25" t="s">
        <v>29</v>
      </c>
      <c r="AC200" s="25" t="s">
        <v>3985</v>
      </c>
      <c r="AD200" s="25" t="s">
        <v>4035</v>
      </c>
      <c r="AE200" s="25"/>
      <c r="AF200" s="25"/>
      <c r="AG200" s="27"/>
      <c r="AH200" s="25" t="s">
        <v>4036</v>
      </c>
      <c r="AI200" s="25" t="s">
        <v>2827</v>
      </c>
      <c r="AJ200" s="25" t="s">
        <v>964</v>
      </c>
      <c r="AK200" s="27" t="s">
        <v>5467</v>
      </c>
      <c r="AL200" s="25" t="s">
        <v>4503</v>
      </c>
      <c r="AM200" s="25"/>
      <c r="AN200" s="27" t="s">
        <v>4039</v>
      </c>
      <c r="AO200" s="25" t="s">
        <v>5468</v>
      </c>
      <c r="AP200" s="27" t="s">
        <v>5469</v>
      </c>
      <c r="AQ200" s="25"/>
      <c r="AR200" s="25" t="s">
        <v>4481</v>
      </c>
      <c r="AS200" s="26" t="s">
        <v>3990</v>
      </c>
      <c r="AT200" s="25" t="s">
        <v>455</v>
      </c>
      <c r="AU200" s="25" t="s">
        <v>3414</v>
      </c>
      <c r="AV200" s="25" t="s">
        <v>3414</v>
      </c>
      <c r="AW200" s="30" t="s">
        <v>4000</v>
      </c>
      <c r="AX200" s="28">
        <v>44470</v>
      </c>
      <c r="AY200" s="28" t="s">
        <v>4000</v>
      </c>
      <c r="AZ200" s="28"/>
      <c r="BA200" s="28"/>
      <c r="BB200" s="28"/>
      <c r="BC200" s="25"/>
      <c r="BD200" s="25"/>
      <c r="BE200" s="25"/>
      <c r="BF200" s="25"/>
      <c r="BG200" s="25"/>
      <c r="BH200" s="25"/>
      <c r="BI200" s="27"/>
    </row>
    <row r="201" spans="1:61" ht="15.6" x14ac:dyDescent="0.25">
      <c r="A201" s="25">
        <v>199</v>
      </c>
      <c r="B201" s="25" t="s">
        <v>5470</v>
      </c>
      <c r="C201" s="25" t="s">
        <v>4002</v>
      </c>
      <c r="D201" s="26" t="s">
        <v>4150</v>
      </c>
      <c r="E201" s="26" t="s">
        <v>3975</v>
      </c>
      <c r="F201" s="25" t="s">
        <v>5204</v>
      </c>
      <c r="G201" s="25" t="s">
        <v>5205</v>
      </c>
      <c r="H201" s="25" t="s">
        <v>5253</v>
      </c>
      <c r="I201" s="25" t="s">
        <v>5436</v>
      </c>
      <c r="J201" s="25" t="s">
        <v>2900</v>
      </c>
      <c r="K201" s="25" t="s">
        <v>556</v>
      </c>
      <c r="L201" s="25" t="s">
        <v>5282</v>
      </c>
      <c r="M201" s="25" t="s">
        <v>4029</v>
      </c>
      <c r="N201" s="27" t="s">
        <v>5471</v>
      </c>
      <c r="O201" s="27" t="s">
        <v>5317</v>
      </c>
      <c r="P201" s="28">
        <v>38904</v>
      </c>
      <c r="Q201" s="28">
        <v>46209</v>
      </c>
      <c r="R201" s="25" t="str">
        <f t="shared" si="19"/>
        <v>男</v>
      </c>
      <c r="S201" s="25" t="s">
        <v>3984</v>
      </c>
      <c r="T201" s="28" t="str">
        <f t="shared" si="16"/>
        <v>1975-07-19</v>
      </c>
      <c r="U201" s="25">
        <f t="shared" ca="1" si="20"/>
        <v>50</v>
      </c>
      <c r="V201" s="25">
        <v>15911692695</v>
      </c>
      <c r="W201" s="28">
        <v>45870</v>
      </c>
      <c r="X201" s="43">
        <v>39235</v>
      </c>
      <c r="Y201" s="29" t="str">
        <f t="shared" ca="1" si="17"/>
        <v>18年10个月</v>
      </c>
      <c r="Z201" s="25"/>
      <c r="AA201" s="26" t="str">
        <f t="shared" ca="1" si="18"/>
        <v>18年10个月</v>
      </c>
      <c r="AB201" s="25" t="s">
        <v>29</v>
      </c>
      <c r="AC201" s="25" t="s">
        <v>3985</v>
      </c>
      <c r="AD201" s="25" t="s">
        <v>4035</v>
      </c>
      <c r="AE201" s="25"/>
      <c r="AF201" s="25"/>
      <c r="AG201" s="27"/>
      <c r="AH201" s="25"/>
      <c r="AI201" s="25"/>
      <c r="AJ201" s="25"/>
      <c r="AK201" s="27"/>
      <c r="AL201" s="25" t="s">
        <v>1705</v>
      </c>
      <c r="AM201" s="25"/>
      <c r="AN201" s="27" t="s">
        <v>4039</v>
      </c>
      <c r="AO201" s="25"/>
      <c r="AP201" s="27"/>
      <c r="AQ201" s="25"/>
      <c r="AR201" s="25"/>
      <c r="AS201" s="26" t="s">
        <v>3990</v>
      </c>
      <c r="AT201" s="25" t="s">
        <v>4527</v>
      </c>
      <c r="AU201" s="25" t="s">
        <v>3381</v>
      </c>
      <c r="AV201" s="25" t="s">
        <v>3381</v>
      </c>
      <c r="AW201" s="30" t="s">
        <v>4000</v>
      </c>
      <c r="AX201" s="28">
        <v>45870</v>
      </c>
      <c r="AY201" s="28" t="s">
        <v>4000</v>
      </c>
      <c r="AZ201" s="28"/>
      <c r="BA201" s="25"/>
      <c r="BB201" s="28"/>
      <c r="BC201" s="25"/>
      <c r="BD201" s="25"/>
      <c r="BE201" s="25"/>
      <c r="BF201" s="25"/>
      <c r="BG201" s="25"/>
      <c r="BH201" s="25"/>
      <c r="BI201" s="27"/>
    </row>
    <row r="202" spans="1:61" ht="15.6" x14ac:dyDescent="0.25">
      <c r="A202" s="25">
        <v>200</v>
      </c>
      <c r="B202" s="25" t="s">
        <v>5472</v>
      </c>
      <c r="C202" s="25" t="s">
        <v>4002</v>
      </c>
      <c r="D202" s="26" t="s">
        <v>4150</v>
      </c>
      <c r="E202" s="26" t="s">
        <v>3975</v>
      </c>
      <c r="F202" s="25" t="s">
        <v>5204</v>
      </c>
      <c r="G202" s="25" t="s">
        <v>5205</v>
      </c>
      <c r="H202" s="25" t="s">
        <v>5253</v>
      </c>
      <c r="I202" s="25" t="s">
        <v>5436</v>
      </c>
      <c r="J202" s="25" t="s">
        <v>2900</v>
      </c>
      <c r="K202" s="25" t="s">
        <v>556</v>
      </c>
      <c r="L202" s="25" t="s">
        <v>5282</v>
      </c>
      <c r="M202" s="25" t="s">
        <v>4029</v>
      </c>
      <c r="N202" s="27" t="s">
        <v>5473</v>
      </c>
      <c r="O202" s="27" t="s">
        <v>5356</v>
      </c>
      <c r="P202" s="28">
        <v>42626</v>
      </c>
      <c r="Q202" s="28">
        <v>49931</v>
      </c>
      <c r="R202" s="25" t="str">
        <f t="shared" si="19"/>
        <v>男</v>
      </c>
      <c r="S202" s="25" t="s">
        <v>3984</v>
      </c>
      <c r="T202" s="28" t="str">
        <f t="shared" si="16"/>
        <v>1985-02-26</v>
      </c>
      <c r="U202" s="25">
        <f t="shared" ca="1" si="20"/>
        <v>41</v>
      </c>
      <c r="V202" s="25">
        <v>13678771721</v>
      </c>
      <c r="W202" s="28">
        <v>45870</v>
      </c>
      <c r="X202" s="43">
        <v>40142</v>
      </c>
      <c r="Y202" s="29" t="str">
        <f t="shared" ca="1" si="17"/>
        <v>16年4个月</v>
      </c>
      <c r="Z202" s="25"/>
      <c r="AA202" s="26" t="str">
        <f t="shared" ca="1" si="18"/>
        <v>16年4个月</v>
      </c>
      <c r="AB202" s="25" t="s">
        <v>29</v>
      </c>
      <c r="AC202" s="25" t="s">
        <v>3985</v>
      </c>
      <c r="AD202" s="25" t="s">
        <v>4035</v>
      </c>
      <c r="AE202" s="25"/>
      <c r="AF202" s="25"/>
      <c r="AG202" s="27"/>
      <c r="AH202" s="25"/>
      <c r="AI202" s="25"/>
      <c r="AJ202" s="25"/>
      <c r="AK202" s="27"/>
      <c r="AL202" s="25" t="s">
        <v>4503</v>
      </c>
      <c r="AM202" s="25"/>
      <c r="AN202" s="27" t="s">
        <v>4039</v>
      </c>
      <c r="AO202" s="25" t="s">
        <v>5474</v>
      </c>
      <c r="AP202" s="27" t="s">
        <v>5475</v>
      </c>
      <c r="AQ202" s="25"/>
      <c r="AR202" s="25" t="s">
        <v>4936</v>
      </c>
      <c r="AS202" s="26" t="s">
        <v>3990</v>
      </c>
      <c r="AT202" s="25" t="s">
        <v>621</v>
      </c>
      <c r="AU202" s="25" t="s">
        <v>3163</v>
      </c>
      <c r="AV202" s="25" t="s">
        <v>3163</v>
      </c>
      <c r="AW202" s="30" t="s">
        <v>3991</v>
      </c>
      <c r="AX202" s="28">
        <v>45870</v>
      </c>
      <c r="AY202" s="28" t="s">
        <v>3991</v>
      </c>
      <c r="AZ202" s="28"/>
      <c r="BA202" s="28"/>
      <c r="BB202" s="28"/>
      <c r="BC202" s="25"/>
      <c r="BD202" s="25"/>
      <c r="BE202" s="25"/>
      <c r="BF202" s="25"/>
      <c r="BG202" s="25"/>
      <c r="BH202" s="25"/>
      <c r="BI202" s="27"/>
    </row>
    <row r="203" spans="1:61" ht="15.6" x14ac:dyDescent="0.25">
      <c r="A203" s="25">
        <v>201</v>
      </c>
      <c r="B203" s="25" t="s">
        <v>5476</v>
      </c>
      <c r="C203" s="25" t="s">
        <v>4002</v>
      </c>
      <c r="D203" s="26" t="s">
        <v>4150</v>
      </c>
      <c r="E203" s="26" t="s">
        <v>3975</v>
      </c>
      <c r="F203" s="25" t="s">
        <v>5204</v>
      </c>
      <c r="G203" s="25" t="s">
        <v>5205</v>
      </c>
      <c r="H203" s="25" t="s">
        <v>5253</v>
      </c>
      <c r="I203" s="25" t="s">
        <v>5477</v>
      </c>
      <c r="J203" s="25" t="s">
        <v>3296</v>
      </c>
      <c r="K203" s="25" t="s">
        <v>556</v>
      </c>
      <c r="L203" s="25" t="s">
        <v>5282</v>
      </c>
      <c r="M203" s="25" t="s">
        <v>4029</v>
      </c>
      <c r="N203" s="27" t="s">
        <v>5478</v>
      </c>
      <c r="O203" s="27" t="s">
        <v>4031</v>
      </c>
      <c r="P203" s="28">
        <v>39015</v>
      </c>
      <c r="Q203" s="28">
        <v>46320</v>
      </c>
      <c r="R203" s="25" t="str">
        <f t="shared" si="19"/>
        <v>男</v>
      </c>
      <c r="S203" s="25" t="s">
        <v>3984</v>
      </c>
      <c r="T203" s="28" t="str">
        <f t="shared" si="16"/>
        <v>1976-02-06</v>
      </c>
      <c r="U203" s="25">
        <f t="shared" ca="1" si="20"/>
        <v>50</v>
      </c>
      <c r="V203" s="25">
        <v>18213817556</v>
      </c>
      <c r="W203" s="28">
        <v>45870</v>
      </c>
      <c r="X203" s="43">
        <v>39360</v>
      </c>
      <c r="Y203" s="29" t="str">
        <f t="shared" ca="1" si="17"/>
        <v>18年6个月</v>
      </c>
      <c r="Z203" s="25"/>
      <c r="AA203" s="26" t="str">
        <f t="shared" ca="1" si="18"/>
        <v>18年6个月</v>
      </c>
      <c r="AB203" s="25" t="s">
        <v>29</v>
      </c>
      <c r="AC203" s="25" t="s">
        <v>3985</v>
      </c>
      <c r="AD203" s="25" t="s">
        <v>4035</v>
      </c>
      <c r="AE203" s="25"/>
      <c r="AF203" s="25"/>
      <c r="AG203" s="27"/>
      <c r="AH203" s="25"/>
      <c r="AI203" s="25"/>
      <c r="AJ203" s="25"/>
      <c r="AK203" s="27"/>
      <c r="AL203" s="25" t="s">
        <v>1705</v>
      </c>
      <c r="AM203" s="25"/>
      <c r="AN203" s="27" t="s">
        <v>4039</v>
      </c>
      <c r="AO203" s="25" t="s">
        <v>3300</v>
      </c>
      <c r="AP203" s="27"/>
      <c r="AQ203" s="25"/>
      <c r="AR203" s="25"/>
      <c r="AS203" s="26" t="s">
        <v>3990</v>
      </c>
      <c r="AT203" s="25" t="s">
        <v>294</v>
      </c>
      <c r="AU203" s="25" t="s">
        <v>5479</v>
      </c>
      <c r="AV203" s="25" t="s">
        <v>5479</v>
      </c>
      <c r="AW203" s="30">
        <v>47603</v>
      </c>
      <c r="AX203" s="28">
        <v>45870</v>
      </c>
      <c r="AY203" s="28">
        <v>47603</v>
      </c>
      <c r="AZ203" s="28"/>
      <c r="BA203" s="28"/>
      <c r="BB203" s="28"/>
      <c r="BC203" s="25"/>
      <c r="BD203" s="25"/>
      <c r="BE203" s="25"/>
      <c r="BF203" s="25"/>
      <c r="BG203" s="25"/>
      <c r="BH203" s="25"/>
      <c r="BI203" s="27"/>
    </row>
    <row r="204" spans="1:61" ht="15.6" x14ac:dyDescent="0.25">
      <c r="A204" s="25">
        <v>202</v>
      </c>
      <c r="B204" s="25" t="s">
        <v>5480</v>
      </c>
      <c r="C204" s="25" t="s">
        <v>4002</v>
      </c>
      <c r="D204" s="26" t="s">
        <v>4150</v>
      </c>
      <c r="E204" s="26" t="s">
        <v>3975</v>
      </c>
      <c r="F204" s="25" t="s">
        <v>5204</v>
      </c>
      <c r="G204" s="25" t="s">
        <v>5205</v>
      </c>
      <c r="H204" s="25" t="s">
        <v>5253</v>
      </c>
      <c r="I204" s="25" t="s">
        <v>5477</v>
      </c>
      <c r="J204" s="25" t="s">
        <v>3083</v>
      </c>
      <c r="K204" s="25" t="s">
        <v>556</v>
      </c>
      <c r="L204" s="25" t="s">
        <v>5282</v>
      </c>
      <c r="M204" s="25" t="s">
        <v>4029</v>
      </c>
      <c r="N204" s="27" t="s">
        <v>5481</v>
      </c>
      <c r="O204" s="27" t="s">
        <v>4031</v>
      </c>
      <c r="P204" s="28">
        <v>38961</v>
      </c>
      <c r="Q204" s="28">
        <v>46266</v>
      </c>
      <c r="R204" s="25" t="str">
        <f t="shared" si="19"/>
        <v>男</v>
      </c>
      <c r="S204" s="25" t="s">
        <v>3984</v>
      </c>
      <c r="T204" s="28" t="str">
        <f t="shared" si="16"/>
        <v>1971-04-18</v>
      </c>
      <c r="U204" s="25">
        <f t="shared" ca="1" si="20"/>
        <v>54</v>
      </c>
      <c r="V204" s="25">
        <v>15987162869</v>
      </c>
      <c r="W204" s="28">
        <v>45870</v>
      </c>
      <c r="X204" s="43">
        <v>40492</v>
      </c>
      <c r="Y204" s="29" t="str">
        <f t="shared" ca="1" si="17"/>
        <v>15年5个月</v>
      </c>
      <c r="Z204" s="25"/>
      <c r="AA204" s="26" t="str">
        <f t="shared" ca="1" si="18"/>
        <v>15年5个月</v>
      </c>
      <c r="AB204" s="25" t="s">
        <v>29</v>
      </c>
      <c r="AC204" s="25" t="s">
        <v>3985</v>
      </c>
      <c r="AD204" s="25" t="s">
        <v>4035</v>
      </c>
      <c r="AE204" s="25"/>
      <c r="AF204" s="25"/>
      <c r="AG204" s="27"/>
      <c r="AH204" s="25"/>
      <c r="AI204" s="25"/>
      <c r="AJ204" s="25"/>
      <c r="AK204" s="27"/>
      <c r="AL204" s="25" t="s">
        <v>1705</v>
      </c>
      <c r="AM204" s="25"/>
      <c r="AN204" s="27" t="s">
        <v>4039</v>
      </c>
      <c r="AO204" s="25"/>
      <c r="AP204" s="27"/>
      <c r="AQ204" s="25"/>
      <c r="AR204" s="25"/>
      <c r="AS204" s="26" t="s">
        <v>3990</v>
      </c>
      <c r="AT204" s="25" t="s">
        <v>294</v>
      </c>
      <c r="AU204" s="25" t="s">
        <v>5482</v>
      </c>
      <c r="AV204" s="25" t="s">
        <v>5482</v>
      </c>
      <c r="AW204" s="30">
        <v>47603</v>
      </c>
      <c r="AX204" s="28">
        <v>45870</v>
      </c>
      <c r="AY204" s="28">
        <v>47603</v>
      </c>
      <c r="AZ204" s="28"/>
      <c r="BA204" s="28"/>
      <c r="BB204" s="28"/>
      <c r="BC204" s="25"/>
      <c r="BD204" s="25"/>
      <c r="BE204" s="25"/>
      <c r="BF204" s="25"/>
      <c r="BG204" s="25"/>
      <c r="BH204" s="25"/>
      <c r="BI204" s="27"/>
    </row>
    <row r="205" spans="1:61" ht="15.6" x14ac:dyDescent="0.25">
      <c r="A205" s="25">
        <v>203</v>
      </c>
      <c r="B205" s="25" t="s">
        <v>5483</v>
      </c>
      <c r="C205" s="25" t="s">
        <v>4002</v>
      </c>
      <c r="D205" s="26" t="s">
        <v>4150</v>
      </c>
      <c r="E205" s="26" t="s">
        <v>3975</v>
      </c>
      <c r="F205" s="25" t="s">
        <v>5204</v>
      </c>
      <c r="G205" s="25" t="s">
        <v>5205</v>
      </c>
      <c r="H205" s="25" t="s">
        <v>5253</v>
      </c>
      <c r="I205" s="25" t="s">
        <v>5477</v>
      </c>
      <c r="J205" s="25" t="s">
        <v>2342</v>
      </c>
      <c r="K205" s="25" t="s">
        <v>556</v>
      </c>
      <c r="L205" s="25" t="s">
        <v>5282</v>
      </c>
      <c r="M205" s="25" t="s">
        <v>4029</v>
      </c>
      <c r="N205" s="27" t="s">
        <v>5484</v>
      </c>
      <c r="O205" s="27" t="s">
        <v>4031</v>
      </c>
      <c r="P205" s="28">
        <v>43153</v>
      </c>
      <c r="Q205" s="28">
        <v>50458</v>
      </c>
      <c r="R205" s="25" t="str">
        <f t="shared" si="19"/>
        <v>男</v>
      </c>
      <c r="S205" s="25" t="s">
        <v>27</v>
      </c>
      <c r="T205" s="28" t="str">
        <f t="shared" si="16"/>
        <v>1991-12-03</v>
      </c>
      <c r="U205" s="25">
        <f t="shared" ca="1" si="20"/>
        <v>34</v>
      </c>
      <c r="V205" s="25">
        <v>13888611705</v>
      </c>
      <c r="W205" s="28">
        <v>45870</v>
      </c>
      <c r="X205" s="28">
        <v>41869</v>
      </c>
      <c r="Y205" s="29" t="str">
        <f t="shared" ca="1" si="17"/>
        <v>11年7个月</v>
      </c>
      <c r="Z205" s="25"/>
      <c r="AA205" s="26" t="str">
        <f t="shared" ca="1" si="18"/>
        <v>11年7个月</v>
      </c>
      <c r="AB205" s="25" t="s">
        <v>4034</v>
      </c>
      <c r="AC205" s="25" t="s">
        <v>3985</v>
      </c>
      <c r="AD205" s="25" t="s">
        <v>4234</v>
      </c>
      <c r="AE205" s="25"/>
      <c r="AF205" s="25"/>
      <c r="AG205" s="27"/>
      <c r="AH205" s="25"/>
      <c r="AI205" s="25"/>
      <c r="AJ205" s="25"/>
      <c r="AK205" s="27"/>
      <c r="AL205" s="25" t="s">
        <v>305</v>
      </c>
      <c r="AM205" s="25"/>
      <c r="AN205" s="27" t="s">
        <v>4039</v>
      </c>
      <c r="AO205" s="25" t="s">
        <v>2346</v>
      </c>
      <c r="AP205" s="27" t="s">
        <v>5485</v>
      </c>
      <c r="AQ205" s="25"/>
      <c r="AR205" s="27" t="s">
        <v>945</v>
      </c>
      <c r="AS205" s="26" t="s">
        <v>3990</v>
      </c>
      <c r="AT205" s="25" t="s">
        <v>294</v>
      </c>
      <c r="AU205" s="25" t="s">
        <v>5486</v>
      </c>
      <c r="AV205" s="25" t="s">
        <v>5486</v>
      </c>
      <c r="AW205" s="30">
        <v>47603</v>
      </c>
      <c r="AX205" s="28">
        <v>45870</v>
      </c>
      <c r="AY205" s="28">
        <v>47603</v>
      </c>
      <c r="AZ205" s="28"/>
      <c r="BA205" s="28"/>
      <c r="BB205" s="28"/>
      <c r="BC205" s="25"/>
      <c r="BD205" s="25"/>
      <c r="BE205" s="25"/>
      <c r="BF205" s="25"/>
      <c r="BG205" s="25"/>
      <c r="BH205" s="25"/>
      <c r="BI205" s="27"/>
    </row>
    <row r="206" spans="1:61" ht="15.6" x14ac:dyDescent="0.25">
      <c r="A206" s="25">
        <v>204</v>
      </c>
      <c r="B206" s="25" t="s">
        <v>5487</v>
      </c>
      <c r="C206" s="25" t="s">
        <v>4002</v>
      </c>
      <c r="D206" s="26" t="s">
        <v>4150</v>
      </c>
      <c r="E206" s="26" t="s">
        <v>3975</v>
      </c>
      <c r="F206" s="25" t="s">
        <v>5204</v>
      </c>
      <c r="G206" s="25" t="s">
        <v>5205</v>
      </c>
      <c r="H206" s="25" t="s">
        <v>5253</v>
      </c>
      <c r="I206" s="25" t="s">
        <v>5477</v>
      </c>
      <c r="J206" s="25" t="s">
        <v>2827</v>
      </c>
      <c r="K206" s="25" t="s">
        <v>556</v>
      </c>
      <c r="L206" s="25" t="s">
        <v>5282</v>
      </c>
      <c r="M206" s="25" t="s">
        <v>4029</v>
      </c>
      <c r="N206" s="27" t="s">
        <v>5488</v>
      </c>
      <c r="O206" s="27" t="s">
        <v>4031</v>
      </c>
      <c r="P206" s="28">
        <v>40794</v>
      </c>
      <c r="Q206" s="28">
        <v>48099</v>
      </c>
      <c r="R206" s="25" t="str">
        <f t="shared" si="19"/>
        <v>男</v>
      </c>
      <c r="S206" s="25" t="s">
        <v>3984</v>
      </c>
      <c r="T206" s="28" t="str">
        <f t="shared" si="16"/>
        <v>1971-02-08</v>
      </c>
      <c r="U206" s="25">
        <f t="shared" ca="1" si="20"/>
        <v>55</v>
      </c>
      <c r="V206" s="25">
        <v>13888672831</v>
      </c>
      <c r="W206" s="28">
        <v>45870</v>
      </c>
      <c r="X206" s="43">
        <v>39958</v>
      </c>
      <c r="Y206" s="29" t="str">
        <f t="shared" ca="1" si="17"/>
        <v>16年10个月</v>
      </c>
      <c r="Z206" s="25"/>
      <c r="AA206" s="26" t="str">
        <f t="shared" ca="1" si="18"/>
        <v>16年10个月</v>
      </c>
      <c r="AB206" s="25" t="s">
        <v>29</v>
      </c>
      <c r="AC206" s="25" t="s">
        <v>3985</v>
      </c>
      <c r="AD206" s="25" t="s">
        <v>3986</v>
      </c>
      <c r="AE206" s="25"/>
      <c r="AF206" s="25"/>
      <c r="AG206" s="27"/>
      <c r="AH206" s="25"/>
      <c r="AI206" s="25"/>
      <c r="AJ206" s="25"/>
      <c r="AK206" s="27"/>
      <c r="AL206" s="25" t="s">
        <v>1705</v>
      </c>
      <c r="AM206" s="25"/>
      <c r="AN206" s="27" t="s">
        <v>4039</v>
      </c>
      <c r="AO206" s="25" t="s">
        <v>5489</v>
      </c>
      <c r="AP206" s="27"/>
      <c r="AQ206" s="25"/>
      <c r="AR206" s="25"/>
      <c r="AS206" s="26" t="s">
        <v>3990</v>
      </c>
      <c r="AT206" s="25" t="s">
        <v>294</v>
      </c>
      <c r="AU206" s="25" t="s">
        <v>5490</v>
      </c>
      <c r="AV206" s="25" t="s">
        <v>5490</v>
      </c>
      <c r="AW206" s="30" t="s">
        <v>4000</v>
      </c>
      <c r="AX206" s="28">
        <v>45870</v>
      </c>
      <c r="AY206" s="28" t="s">
        <v>4000</v>
      </c>
      <c r="AZ206" s="28"/>
      <c r="BA206" s="28"/>
      <c r="BB206" s="28"/>
      <c r="BC206" s="25"/>
      <c r="BD206" s="25"/>
      <c r="BE206" s="25"/>
      <c r="BF206" s="25"/>
      <c r="BG206" s="25"/>
      <c r="BH206" s="25"/>
      <c r="BI206" s="27"/>
    </row>
    <row r="207" spans="1:61" ht="15.6" x14ac:dyDescent="0.25">
      <c r="A207" s="25">
        <v>205</v>
      </c>
      <c r="B207" s="25" t="s">
        <v>5491</v>
      </c>
      <c r="C207" s="25" t="s">
        <v>4002</v>
      </c>
      <c r="D207" s="26" t="s">
        <v>4150</v>
      </c>
      <c r="E207" s="26" t="s">
        <v>3975</v>
      </c>
      <c r="F207" s="25" t="s">
        <v>5204</v>
      </c>
      <c r="G207" s="25" t="s">
        <v>5205</v>
      </c>
      <c r="H207" s="25" t="s">
        <v>5253</v>
      </c>
      <c r="I207" s="25" t="s">
        <v>5477</v>
      </c>
      <c r="J207" s="25" t="s">
        <v>2584</v>
      </c>
      <c r="K207" s="25" t="s">
        <v>556</v>
      </c>
      <c r="L207" s="25" t="s">
        <v>5282</v>
      </c>
      <c r="M207" s="25" t="s">
        <v>4029</v>
      </c>
      <c r="N207" s="27" t="s">
        <v>5492</v>
      </c>
      <c r="O207" s="27" t="s">
        <v>4031</v>
      </c>
      <c r="P207" s="28">
        <v>45649</v>
      </c>
      <c r="Q207" s="28" t="s">
        <v>4244</v>
      </c>
      <c r="R207" s="25" t="str">
        <f t="shared" si="19"/>
        <v>男</v>
      </c>
      <c r="S207" s="25" t="s">
        <v>3984</v>
      </c>
      <c r="T207" s="28" t="str">
        <f t="shared" si="16"/>
        <v>1971-05-01</v>
      </c>
      <c r="U207" s="25">
        <f t="shared" ca="1" si="20"/>
        <v>54</v>
      </c>
      <c r="V207" s="25">
        <v>15912163467</v>
      </c>
      <c r="W207" s="28">
        <v>45870</v>
      </c>
      <c r="X207" s="28">
        <v>41599</v>
      </c>
      <c r="Y207" s="29" t="str">
        <f t="shared" ca="1" si="17"/>
        <v>12年4个月</v>
      </c>
      <c r="Z207" s="25"/>
      <c r="AA207" s="26" t="str">
        <f t="shared" ca="1" si="18"/>
        <v>12年4个月</v>
      </c>
      <c r="AB207" s="25" t="s">
        <v>29</v>
      </c>
      <c r="AC207" s="25" t="s">
        <v>3985</v>
      </c>
      <c r="AD207" s="25" t="s">
        <v>4035</v>
      </c>
      <c r="AE207" s="25"/>
      <c r="AF207" s="25"/>
      <c r="AG207" s="27"/>
      <c r="AH207" s="25"/>
      <c r="AI207" s="25"/>
      <c r="AJ207" s="25"/>
      <c r="AK207" s="27"/>
      <c r="AL207" s="25" t="s">
        <v>1705</v>
      </c>
      <c r="AM207" s="25"/>
      <c r="AN207" s="27" t="s">
        <v>4039</v>
      </c>
      <c r="AO207" s="25"/>
      <c r="AP207" s="27"/>
      <c r="AQ207" s="25"/>
      <c r="AR207" s="25"/>
      <c r="AS207" s="26" t="s">
        <v>3990</v>
      </c>
      <c r="AT207" s="25" t="s">
        <v>294</v>
      </c>
      <c r="AU207" s="25" t="s">
        <v>5493</v>
      </c>
      <c r="AV207" s="25" t="s">
        <v>5494</v>
      </c>
      <c r="AW207" s="30" t="s">
        <v>3991</v>
      </c>
      <c r="AX207" s="28">
        <v>45870</v>
      </c>
      <c r="AY207" s="28" t="s">
        <v>3991</v>
      </c>
      <c r="AZ207" s="28"/>
      <c r="BA207" s="28"/>
      <c r="BB207" s="28"/>
      <c r="BC207" s="25"/>
      <c r="BD207" s="25"/>
      <c r="BE207" s="25"/>
      <c r="BF207" s="25"/>
      <c r="BG207" s="25"/>
      <c r="BH207" s="25"/>
      <c r="BI207" s="27"/>
    </row>
    <row r="208" spans="1:61" ht="15.6" x14ac:dyDescent="0.25">
      <c r="A208" s="25">
        <v>206</v>
      </c>
      <c r="B208" s="25" t="s">
        <v>5495</v>
      </c>
      <c r="C208" s="25" t="s">
        <v>4002</v>
      </c>
      <c r="D208" s="26" t="s">
        <v>4150</v>
      </c>
      <c r="E208" s="26" t="s">
        <v>3975</v>
      </c>
      <c r="F208" s="25" t="s">
        <v>5204</v>
      </c>
      <c r="G208" s="25" t="s">
        <v>5205</v>
      </c>
      <c r="H208" s="25" t="s">
        <v>5253</v>
      </c>
      <c r="I208" s="25" t="s">
        <v>5477</v>
      </c>
      <c r="J208" s="25" t="s">
        <v>1248</v>
      </c>
      <c r="K208" s="25" t="s">
        <v>556</v>
      </c>
      <c r="L208" s="25" t="s">
        <v>5282</v>
      </c>
      <c r="M208" s="25" t="s">
        <v>4029</v>
      </c>
      <c r="N208" s="27" t="s">
        <v>5496</v>
      </c>
      <c r="O208" s="27" t="s">
        <v>4031</v>
      </c>
      <c r="P208" s="28">
        <v>43435</v>
      </c>
      <c r="Q208" s="28">
        <v>50740</v>
      </c>
      <c r="R208" s="25" t="str">
        <f t="shared" si="19"/>
        <v>男</v>
      </c>
      <c r="S208" s="25" t="s">
        <v>3984</v>
      </c>
      <c r="T208" s="28" t="str">
        <f t="shared" si="16"/>
        <v>1977-11-08</v>
      </c>
      <c r="U208" s="25">
        <f t="shared" ca="1" si="20"/>
        <v>48</v>
      </c>
      <c r="V208" s="25">
        <v>18787191262</v>
      </c>
      <c r="W208" s="28">
        <v>45870</v>
      </c>
      <c r="X208" s="43">
        <v>40031</v>
      </c>
      <c r="Y208" s="29" t="str">
        <f t="shared" ca="1" si="17"/>
        <v>16年8个月</v>
      </c>
      <c r="Z208" s="25"/>
      <c r="AA208" s="26" t="str">
        <f t="shared" ca="1" si="18"/>
        <v>16年8个月</v>
      </c>
      <c r="AB208" s="25" t="s">
        <v>29</v>
      </c>
      <c r="AC208" s="25" t="s">
        <v>3985</v>
      </c>
      <c r="AD208" s="25" t="s">
        <v>3986</v>
      </c>
      <c r="AE208" s="25"/>
      <c r="AF208" s="25"/>
      <c r="AG208" s="27"/>
      <c r="AH208" s="25"/>
      <c r="AI208" s="25"/>
      <c r="AJ208" s="25"/>
      <c r="AK208" s="27"/>
      <c r="AL208" s="25" t="s">
        <v>4503</v>
      </c>
      <c r="AM208" s="25"/>
      <c r="AN208" s="27" t="s">
        <v>4039</v>
      </c>
      <c r="AO208" s="25" t="s">
        <v>5497</v>
      </c>
      <c r="AP208" s="27"/>
      <c r="AQ208" s="25"/>
      <c r="AR208" s="25" t="s">
        <v>5498</v>
      </c>
      <c r="AS208" s="26" t="s">
        <v>3990</v>
      </c>
      <c r="AT208" s="25" t="s">
        <v>294</v>
      </c>
      <c r="AU208" s="25" t="s">
        <v>5499</v>
      </c>
      <c r="AV208" s="25" t="s">
        <v>5499</v>
      </c>
      <c r="AW208" s="30">
        <v>47603</v>
      </c>
      <c r="AX208" s="28">
        <v>45870</v>
      </c>
      <c r="AY208" s="28">
        <v>47603</v>
      </c>
      <c r="AZ208" s="28"/>
      <c r="BA208" s="28"/>
      <c r="BB208" s="28"/>
      <c r="BC208" s="28"/>
      <c r="BD208" s="28"/>
      <c r="BE208" s="28"/>
      <c r="BF208" s="25"/>
      <c r="BG208" s="25"/>
      <c r="BH208" s="25"/>
      <c r="BI208" s="27"/>
    </row>
    <row r="209" spans="1:61" ht="15.6" x14ac:dyDescent="0.25">
      <c r="A209" s="25">
        <v>207</v>
      </c>
      <c r="B209" s="25" t="s">
        <v>5500</v>
      </c>
      <c r="C209" s="25" t="s">
        <v>4002</v>
      </c>
      <c r="D209" s="26" t="s">
        <v>4150</v>
      </c>
      <c r="E209" s="26" t="s">
        <v>3975</v>
      </c>
      <c r="F209" s="25" t="s">
        <v>5204</v>
      </c>
      <c r="G209" s="25" t="s">
        <v>5205</v>
      </c>
      <c r="H209" s="25" t="s">
        <v>5253</v>
      </c>
      <c r="I209" s="25" t="s">
        <v>5477</v>
      </c>
      <c r="J209" s="25" t="s">
        <v>1248</v>
      </c>
      <c r="K209" s="25" t="s">
        <v>556</v>
      </c>
      <c r="L209" s="25" t="s">
        <v>5282</v>
      </c>
      <c r="M209" s="25" t="s">
        <v>4029</v>
      </c>
      <c r="N209" s="27" t="s">
        <v>5501</v>
      </c>
      <c r="O209" s="27" t="s">
        <v>4031</v>
      </c>
      <c r="P209" s="28">
        <v>42944</v>
      </c>
      <c r="Q209" s="28">
        <v>50249</v>
      </c>
      <c r="R209" s="25" t="str">
        <f t="shared" si="19"/>
        <v>男</v>
      </c>
      <c r="S209" s="25" t="s">
        <v>4112</v>
      </c>
      <c r="T209" s="28" t="str">
        <f t="shared" si="16"/>
        <v>1983-01-11</v>
      </c>
      <c r="U209" s="25">
        <f t="shared" ca="1" si="20"/>
        <v>43</v>
      </c>
      <c r="V209" s="25">
        <v>15887270662</v>
      </c>
      <c r="W209" s="28">
        <v>45870</v>
      </c>
      <c r="X209" s="28">
        <v>40203</v>
      </c>
      <c r="Y209" s="29" t="str">
        <f t="shared" ca="1" si="17"/>
        <v>16年2个月</v>
      </c>
      <c r="Z209" s="25" t="s">
        <v>5502</v>
      </c>
      <c r="AA209" s="26" t="str">
        <f t="shared" ca="1" si="18"/>
        <v>24年4个月</v>
      </c>
      <c r="AB209" s="25" t="s">
        <v>29</v>
      </c>
      <c r="AC209" s="25" t="s">
        <v>3985</v>
      </c>
      <c r="AD209" s="25" t="s">
        <v>3986</v>
      </c>
      <c r="AE209" s="25"/>
      <c r="AF209" s="25"/>
      <c r="AG209" s="27"/>
      <c r="AH209" s="25"/>
      <c r="AI209" s="25"/>
      <c r="AJ209" s="25"/>
      <c r="AK209" s="27"/>
      <c r="AL209" s="25" t="s">
        <v>4256</v>
      </c>
      <c r="AM209" s="25"/>
      <c r="AN209" s="27" t="s">
        <v>4039</v>
      </c>
      <c r="AO209" s="25"/>
      <c r="AP209" s="27"/>
      <c r="AQ209" s="25"/>
      <c r="AR209" s="27"/>
      <c r="AS209" s="26" t="s">
        <v>3990</v>
      </c>
      <c r="AT209" s="25" t="s">
        <v>294</v>
      </c>
      <c r="AU209" s="25" t="s">
        <v>5503</v>
      </c>
      <c r="AV209" s="25" t="s">
        <v>5503</v>
      </c>
      <c r="AW209" s="30">
        <v>47603</v>
      </c>
      <c r="AX209" s="28">
        <v>45870</v>
      </c>
      <c r="AY209" s="28">
        <v>47603</v>
      </c>
      <c r="AZ209" s="28"/>
      <c r="BA209" s="28"/>
      <c r="BB209" s="28"/>
      <c r="BC209" s="28"/>
      <c r="BD209" s="60"/>
      <c r="BE209" s="60"/>
      <c r="BF209" s="60"/>
      <c r="BG209" s="60"/>
      <c r="BH209" s="60"/>
      <c r="BI209" s="27"/>
    </row>
    <row r="210" spans="1:61" ht="15.6" x14ac:dyDescent="0.25">
      <c r="A210" s="25">
        <v>208</v>
      </c>
      <c r="B210" s="25" t="s">
        <v>5504</v>
      </c>
      <c r="C210" s="25" t="s">
        <v>4002</v>
      </c>
      <c r="D210" s="26" t="s">
        <v>4150</v>
      </c>
      <c r="E210" s="26" t="s">
        <v>3975</v>
      </c>
      <c r="F210" s="25" t="s">
        <v>5204</v>
      </c>
      <c r="G210" s="25" t="s">
        <v>5205</v>
      </c>
      <c r="H210" s="25" t="s">
        <v>5253</v>
      </c>
      <c r="I210" s="25" t="s">
        <v>5477</v>
      </c>
      <c r="J210" s="25" t="s">
        <v>1248</v>
      </c>
      <c r="K210" s="25" t="s">
        <v>556</v>
      </c>
      <c r="L210" s="25" t="s">
        <v>5282</v>
      </c>
      <c r="M210" s="25" t="s">
        <v>4029</v>
      </c>
      <c r="N210" s="27" t="s">
        <v>5505</v>
      </c>
      <c r="O210" s="27" t="s">
        <v>4031</v>
      </c>
      <c r="P210" s="28">
        <v>39848</v>
      </c>
      <c r="Q210" s="28">
        <v>47153</v>
      </c>
      <c r="R210" s="25" t="str">
        <f t="shared" si="19"/>
        <v>男</v>
      </c>
      <c r="S210" s="25" t="s">
        <v>3984</v>
      </c>
      <c r="T210" s="28" t="str">
        <f t="shared" si="16"/>
        <v>1982-06-12</v>
      </c>
      <c r="U210" s="25">
        <f t="shared" ca="1" si="20"/>
        <v>43</v>
      </c>
      <c r="V210" s="25">
        <v>15887820832</v>
      </c>
      <c r="W210" s="28">
        <v>45870</v>
      </c>
      <c r="X210" s="28">
        <v>45153</v>
      </c>
      <c r="Y210" s="29" t="str">
        <f t="shared" ca="1" si="17"/>
        <v>2年7个月</v>
      </c>
      <c r="Z210" s="25" t="s">
        <v>5506</v>
      </c>
      <c r="AA210" s="26" t="str">
        <f t="shared" ca="1" si="18"/>
        <v>11年6个月</v>
      </c>
      <c r="AB210" s="25" t="s">
        <v>29</v>
      </c>
      <c r="AC210" s="25" t="s">
        <v>4176</v>
      </c>
      <c r="AD210" s="25" t="s">
        <v>4035</v>
      </c>
      <c r="AE210" s="25"/>
      <c r="AF210" s="25"/>
      <c r="AG210" s="27"/>
      <c r="AH210" s="25"/>
      <c r="AI210" s="25"/>
      <c r="AJ210" s="25"/>
      <c r="AK210" s="27"/>
      <c r="AL210" s="25" t="s">
        <v>4256</v>
      </c>
      <c r="AM210" s="25"/>
      <c r="AN210" s="27" t="s">
        <v>4039</v>
      </c>
      <c r="AO210" s="25" t="s">
        <v>5507</v>
      </c>
      <c r="AP210" s="27" t="s">
        <v>5508</v>
      </c>
      <c r="AQ210" s="25"/>
      <c r="AR210" s="27"/>
      <c r="AS210" s="26" t="s">
        <v>3990</v>
      </c>
      <c r="AT210" s="25" t="s">
        <v>294</v>
      </c>
      <c r="AU210" s="25" t="s">
        <v>5509</v>
      </c>
      <c r="AV210" s="25" t="s">
        <v>5509</v>
      </c>
      <c r="AW210" s="30">
        <v>46507</v>
      </c>
      <c r="AX210" s="28">
        <v>45870</v>
      </c>
      <c r="AY210" s="28">
        <v>46507</v>
      </c>
      <c r="AZ210" s="28"/>
      <c r="BA210" s="28"/>
      <c r="BB210" s="28"/>
      <c r="BC210" s="28"/>
      <c r="BD210" s="60"/>
      <c r="BE210" s="60"/>
      <c r="BF210" s="60"/>
      <c r="BG210" s="60"/>
      <c r="BH210" s="60"/>
      <c r="BI210" s="27"/>
    </row>
    <row r="211" spans="1:61" ht="15.6" x14ac:dyDescent="0.25">
      <c r="A211" s="25">
        <v>209</v>
      </c>
      <c r="B211" s="25" t="s">
        <v>5510</v>
      </c>
      <c r="C211" s="25" t="s">
        <v>4002</v>
      </c>
      <c r="D211" s="26" t="s">
        <v>4150</v>
      </c>
      <c r="E211" s="26" t="s">
        <v>3975</v>
      </c>
      <c r="F211" s="25" t="s">
        <v>5204</v>
      </c>
      <c r="G211" s="25" t="s">
        <v>5205</v>
      </c>
      <c r="H211" s="25" t="s">
        <v>5253</v>
      </c>
      <c r="I211" s="25" t="s">
        <v>5477</v>
      </c>
      <c r="J211" s="25" t="s">
        <v>1248</v>
      </c>
      <c r="K211" s="25" t="s">
        <v>556</v>
      </c>
      <c r="L211" s="25" t="s">
        <v>5282</v>
      </c>
      <c r="M211" s="25" t="s">
        <v>4029</v>
      </c>
      <c r="N211" s="27" t="s">
        <v>5511</v>
      </c>
      <c r="O211" s="27" t="s">
        <v>4031</v>
      </c>
      <c r="P211" s="28">
        <v>41509</v>
      </c>
      <c r="Q211" s="28">
        <v>48814</v>
      </c>
      <c r="R211" s="25" t="str">
        <f t="shared" si="19"/>
        <v>女</v>
      </c>
      <c r="S211" s="25" t="s">
        <v>3984</v>
      </c>
      <c r="T211" s="28" t="str">
        <f t="shared" si="16"/>
        <v>1981-09-02</v>
      </c>
      <c r="U211" s="25">
        <f t="shared" ca="1" si="20"/>
        <v>44</v>
      </c>
      <c r="V211" s="25">
        <v>15808755514</v>
      </c>
      <c r="W211" s="28">
        <v>45870</v>
      </c>
      <c r="X211" s="28">
        <v>39611</v>
      </c>
      <c r="Y211" s="29" t="str">
        <f t="shared" ca="1" si="17"/>
        <v>17年10个月</v>
      </c>
      <c r="Z211" s="25"/>
      <c r="AA211" s="26" t="str">
        <f t="shared" ca="1" si="18"/>
        <v>17年10个月</v>
      </c>
      <c r="AB211" s="25" t="s">
        <v>29</v>
      </c>
      <c r="AC211" s="25" t="s">
        <v>3985</v>
      </c>
      <c r="AD211" s="25" t="s">
        <v>4035</v>
      </c>
      <c r="AE211" s="25"/>
      <c r="AF211" s="25"/>
      <c r="AG211" s="27"/>
      <c r="AH211" s="25"/>
      <c r="AI211" s="25"/>
      <c r="AJ211" s="25"/>
      <c r="AK211" s="27"/>
      <c r="AL211" s="25" t="s">
        <v>1705</v>
      </c>
      <c r="AM211" s="25"/>
      <c r="AN211" s="27" t="s">
        <v>4039</v>
      </c>
      <c r="AO211" s="25"/>
      <c r="AP211" s="27"/>
      <c r="AQ211" s="25"/>
      <c r="AR211" s="25"/>
      <c r="AS211" s="26" t="s">
        <v>3990</v>
      </c>
      <c r="AT211" s="25" t="s">
        <v>294</v>
      </c>
      <c r="AU211" s="25" t="s">
        <v>5512</v>
      </c>
      <c r="AV211" s="25" t="s">
        <v>5512</v>
      </c>
      <c r="AW211" s="30">
        <v>47603</v>
      </c>
      <c r="AX211" s="28">
        <v>45870</v>
      </c>
      <c r="AY211" s="28">
        <v>47603</v>
      </c>
      <c r="AZ211" s="28"/>
      <c r="BA211" s="28"/>
      <c r="BB211" s="28"/>
      <c r="BC211" s="25"/>
      <c r="BD211" s="25"/>
      <c r="BE211" s="25"/>
      <c r="BF211" s="25"/>
      <c r="BG211" s="25"/>
      <c r="BH211" s="25"/>
      <c r="BI211" s="27"/>
    </row>
    <row r="212" spans="1:61" ht="15.6" x14ac:dyDescent="0.25">
      <c r="A212" s="25">
        <v>210</v>
      </c>
      <c r="B212" s="25" t="s">
        <v>5513</v>
      </c>
      <c r="C212" s="25" t="s">
        <v>4002</v>
      </c>
      <c r="D212" s="26" t="s">
        <v>4150</v>
      </c>
      <c r="E212" s="26" t="s">
        <v>3975</v>
      </c>
      <c r="F212" s="25" t="s">
        <v>5204</v>
      </c>
      <c r="G212" s="25" t="s">
        <v>5205</v>
      </c>
      <c r="H212" s="25" t="s">
        <v>5253</v>
      </c>
      <c r="I212" s="25" t="s">
        <v>5477</v>
      </c>
      <c r="J212" s="25" t="s">
        <v>1865</v>
      </c>
      <c r="K212" s="25" t="s">
        <v>556</v>
      </c>
      <c r="L212" s="25" t="s">
        <v>5282</v>
      </c>
      <c r="M212" s="25" t="s">
        <v>4029</v>
      </c>
      <c r="N212" s="27" t="s">
        <v>5514</v>
      </c>
      <c r="O212" s="27" t="s">
        <v>4031</v>
      </c>
      <c r="P212" s="28">
        <v>45700</v>
      </c>
      <c r="Q212" s="28">
        <v>53005</v>
      </c>
      <c r="R212" s="25" t="str">
        <f t="shared" si="19"/>
        <v>男</v>
      </c>
      <c r="S212" s="26" t="s">
        <v>3984</v>
      </c>
      <c r="T212" s="28" t="str">
        <f t="shared" si="16"/>
        <v>1994-12-03</v>
      </c>
      <c r="U212" s="25">
        <f t="shared" ca="1" si="20"/>
        <v>31</v>
      </c>
      <c r="V212" s="25">
        <v>13619662979</v>
      </c>
      <c r="W212" s="28">
        <v>45870</v>
      </c>
      <c r="X212" s="28">
        <v>43354</v>
      </c>
      <c r="Y212" s="29" t="str">
        <f t="shared" ca="1" si="17"/>
        <v>7年7个月</v>
      </c>
      <c r="Z212" s="25"/>
      <c r="AA212" s="26" t="str">
        <f t="shared" ca="1" si="18"/>
        <v>7年7个月</v>
      </c>
      <c r="AB212" s="25" t="s">
        <v>29</v>
      </c>
      <c r="AC212" s="25" t="s">
        <v>119</v>
      </c>
      <c r="AD212" s="25" t="s">
        <v>4035</v>
      </c>
      <c r="AE212" s="25"/>
      <c r="AF212" s="25"/>
      <c r="AG212" s="27"/>
      <c r="AH212" s="25"/>
      <c r="AI212" s="25"/>
      <c r="AJ212" s="25"/>
      <c r="AK212" s="27"/>
      <c r="AL212" s="25" t="s">
        <v>1705</v>
      </c>
      <c r="AM212" s="25"/>
      <c r="AN212" s="27" t="s">
        <v>4039</v>
      </c>
      <c r="AO212" s="25" t="s">
        <v>5515</v>
      </c>
      <c r="AP212" s="27"/>
      <c r="AQ212" s="25"/>
      <c r="AR212" s="25"/>
      <c r="AS212" s="26" t="s">
        <v>3990</v>
      </c>
      <c r="AT212" s="25" t="s">
        <v>294</v>
      </c>
      <c r="AU212" s="25" t="s">
        <v>5516</v>
      </c>
      <c r="AV212" s="25" t="s">
        <v>5516</v>
      </c>
      <c r="AW212" s="30">
        <v>46873</v>
      </c>
      <c r="AX212" s="28">
        <v>45870</v>
      </c>
      <c r="AY212" s="28">
        <v>46873</v>
      </c>
      <c r="AZ212" s="28"/>
      <c r="BA212" s="28"/>
      <c r="BB212" s="28"/>
      <c r="BC212" s="25"/>
      <c r="BD212" s="25"/>
      <c r="BE212" s="25"/>
      <c r="BF212" s="25"/>
      <c r="BG212" s="25"/>
      <c r="BH212" s="25"/>
      <c r="BI212" s="27"/>
    </row>
    <row r="213" spans="1:61" ht="15.6" x14ac:dyDescent="0.25">
      <c r="A213" s="25">
        <v>211</v>
      </c>
      <c r="B213" s="31" t="s">
        <v>5517</v>
      </c>
      <c r="C213" s="31" t="s">
        <v>4002</v>
      </c>
      <c r="D213" s="63" t="s">
        <v>4161</v>
      </c>
      <c r="E213" s="63" t="s">
        <v>4161</v>
      </c>
      <c r="F213" s="31" t="s">
        <v>5518</v>
      </c>
      <c r="G213" s="31" t="s">
        <v>5519</v>
      </c>
      <c r="H213" s="31"/>
      <c r="I213" s="31"/>
      <c r="J213" s="31" t="s">
        <v>2649</v>
      </c>
      <c r="K213" s="31" t="s">
        <v>676</v>
      </c>
      <c r="L213" s="31" t="s">
        <v>4071</v>
      </c>
      <c r="M213" s="31" t="s">
        <v>4017</v>
      </c>
      <c r="N213" s="64" t="s">
        <v>5520</v>
      </c>
      <c r="O213" s="64" t="s">
        <v>4005</v>
      </c>
      <c r="P213" s="30">
        <v>40263</v>
      </c>
      <c r="Q213" s="30">
        <v>47568</v>
      </c>
      <c r="R213" s="31" t="str">
        <f t="shared" si="19"/>
        <v>男</v>
      </c>
      <c r="S213" s="31" t="s">
        <v>3984</v>
      </c>
      <c r="T213" s="30" t="str">
        <f t="shared" si="16"/>
        <v>1982-01-03</v>
      </c>
      <c r="U213" s="31">
        <f t="shared" ca="1" si="20"/>
        <v>44</v>
      </c>
      <c r="V213" s="31">
        <v>13529267230</v>
      </c>
      <c r="W213" s="30">
        <v>43836</v>
      </c>
      <c r="X213" s="30">
        <v>41479</v>
      </c>
      <c r="Y213" s="29" t="str">
        <f t="shared" ca="1" si="17"/>
        <v>12年8个月</v>
      </c>
      <c r="Z213" s="31" t="s">
        <v>1758</v>
      </c>
      <c r="AA213" s="26" t="str">
        <f t="shared" ca="1" si="18"/>
        <v>17年11个月</v>
      </c>
      <c r="AB213" s="31" t="s">
        <v>29</v>
      </c>
      <c r="AC213" s="31" t="s">
        <v>3985</v>
      </c>
      <c r="AD213" s="31" t="s">
        <v>3986</v>
      </c>
      <c r="AE213" s="31" t="s">
        <v>1654</v>
      </c>
      <c r="AF213" s="31" t="s">
        <v>1012</v>
      </c>
      <c r="AG213" s="64" t="s">
        <v>5520</v>
      </c>
      <c r="AH213" s="31"/>
      <c r="AI213" s="31"/>
      <c r="AJ213" s="31"/>
      <c r="AK213" s="64"/>
      <c r="AL213" s="31" t="s">
        <v>81</v>
      </c>
      <c r="AM213" s="31" t="s">
        <v>3987</v>
      </c>
      <c r="AN213" s="64" t="s">
        <v>5521</v>
      </c>
      <c r="AO213" s="31" t="s">
        <v>1487</v>
      </c>
      <c r="AP213" s="64" t="s">
        <v>5522</v>
      </c>
      <c r="AQ213" s="31">
        <v>211</v>
      </c>
      <c r="AR213" s="31" t="s">
        <v>2655</v>
      </c>
      <c r="AS213" s="63" t="s">
        <v>4011</v>
      </c>
      <c r="AT213" s="31" t="s">
        <v>436</v>
      </c>
      <c r="AU213" s="31" t="s">
        <v>5523</v>
      </c>
      <c r="AV213" s="31" t="s">
        <v>5524</v>
      </c>
      <c r="AW213" s="30" t="s">
        <v>4000</v>
      </c>
      <c r="AX213" s="30">
        <v>43836</v>
      </c>
      <c r="AY213" s="30" t="s">
        <v>4000</v>
      </c>
      <c r="AZ213" s="30"/>
      <c r="BA213" s="30"/>
      <c r="BB213" s="30"/>
      <c r="BC213" s="31"/>
      <c r="BD213" s="31"/>
      <c r="BE213" s="31"/>
      <c r="BF213" s="31"/>
      <c r="BG213" s="31"/>
      <c r="BH213" s="31"/>
      <c r="BI213" s="65" t="s">
        <v>5525</v>
      </c>
    </row>
    <row r="214" spans="1:61" ht="15.6" x14ac:dyDescent="0.25">
      <c r="A214" s="25">
        <v>212</v>
      </c>
      <c r="B214" s="25" t="s">
        <v>5526</v>
      </c>
      <c r="C214" s="25" t="s">
        <v>4002</v>
      </c>
      <c r="D214" s="26" t="s">
        <v>4161</v>
      </c>
      <c r="E214" s="26" t="s">
        <v>4161</v>
      </c>
      <c r="F214" s="25" t="s">
        <v>5518</v>
      </c>
      <c r="G214" s="25" t="s">
        <v>4162</v>
      </c>
      <c r="H214" s="25"/>
      <c r="I214" s="25"/>
      <c r="J214" s="25" t="s">
        <v>5527</v>
      </c>
      <c r="K214" s="25" t="s">
        <v>676</v>
      </c>
      <c r="L214" s="25" t="s">
        <v>4016</v>
      </c>
      <c r="M214" s="25" t="s">
        <v>4080</v>
      </c>
      <c r="N214" s="27" t="s">
        <v>5528</v>
      </c>
      <c r="O214" s="27" t="s">
        <v>4073</v>
      </c>
      <c r="P214" s="28">
        <v>39715</v>
      </c>
      <c r="Q214" s="28">
        <v>47020</v>
      </c>
      <c r="R214" s="25" t="str">
        <f t="shared" si="19"/>
        <v>女</v>
      </c>
      <c r="S214" s="25" t="s">
        <v>3984</v>
      </c>
      <c r="T214" s="28" t="str">
        <f t="shared" si="16"/>
        <v>1982-08-12</v>
      </c>
      <c r="U214" s="25">
        <f t="shared" ca="1" si="20"/>
        <v>43</v>
      </c>
      <c r="V214" s="25">
        <v>13577111362</v>
      </c>
      <c r="W214" s="28">
        <v>43880</v>
      </c>
      <c r="X214" s="28">
        <v>39757</v>
      </c>
      <c r="Y214" s="29" t="str">
        <f t="shared" ca="1" si="17"/>
        <v>17年5个月</v>
      </c>
      <c r="Z214" s="25"/>
      <c r="AA214" s="26" t="str">
        <f t="shared" ca="1" si="18"/>
        <v>17年5个月</v>
      </c>
      <c r="AB214" s="25" t="s">
        <v>29</v>
      </c>
      <c r="AC214" s="25" t="s">
        <v>28</v>
      </c>
      <c r="AD214" s="25" t="s">
        <v>3986</v>
      </c>
      <c r="AE214" s="33"/>
      <c r="AF214" s="33"/>
      <c r="AG214" s="34"/>
      <c r="AH214" s="25" t="s">
        <v>4102</v>
      </c>
      <c r="AI214" s="25" t="s">
        <v>3219</v>
      </c>
      <c r="AJ214" s="25" t="s">
        <v>1012</v>
      </c>
      <c r="AK214" s="27" t="s">
        <v>5529</v>
      </c>
      <c r="AL214" s="25" t="s">
        <v>81</v>
      </c>
      <c r="AM214" s="25" t="s">
        <v>3987</v>
      </c>
      <c r="AN214" s="27" t="s">
        <v>5530</v>
      </c>
      <c r="AO214" s="25" t="s">
        <v>4236</v>
      </c>
      <c r="AP214" s="27" t="s">
        <v>5531</v>
      </c>
      <c r="AQ214" s="25"/>
      <c r="AR214" s="25" t="s">
        <v>5532</v>
      </c>
      <c r="AS214" s="26" t="s">
        <v>4011</v>
      </c>
      <c r="AT214" s="25" t="s">
        <v>4487</v>
      </c>
      <c r="AU214" s="25" t="s">
        <v>5533</v>
      </c>
      <c r="AV214" s="25" t="s">
        <v>5534</v>
      </c>
      <c r="AW214" s="30" t="s">
        <v>3991</v>
      </c>
      <c r="AX214" s="28">
        <v>43880</v>
      </c>
      <c r="AY214" s="25" t="s">
        <v>3991</v>
      </c>
      <c r="AZ214" s="28"/>
      <c r="BA214" s="28"/>
      <c r="BB214" s="28"/>
      <c r="BC214" s="25"/>
      <c r="BD214" s="25"/>
      <c r="BE214" s="25"/>
      <c r="BF214" s="25"/>
      <c r="BG214" s="25"/>
      <c r="BH214" s="25"/>
      <c r="BI214" s="27"/>
    </row>
    <row r="215" spans="1:61" ht="15.6" x14ac:dyDescent="0.25">
      <c r="A215" s="25">
        <v>213</v>
      </c>
      <c r="B215" s="25" t="s">
        <v>5535</v>
      </c>
      <c r="C215" s="25" t="s">
        <v>4002</v>
      </c>
      <c r="D215" s="26" t="s">
        <v>5536</v>
      </c>
      <c r="E215" s="26" t="s">
        <v>5536</v>
      </c>
      <c r="F215" s="25" t="s">
        <v>5537</v>
      </c>
      <c r="G215" s="25" t="s">
        <v>4162</v>
      </c>
      <c r="H215" s="25"/>
      <c r="I215" s="25"/>
      <c r="J215" s="25" t="s">
        <v>4027</v>
      </c>
      <c r="K215" s="25" t="s">
        <v>5538</v>
      </c>
      <c r="L215" s="25" t="s">
        <v>4028</v>
      </c>
      <c r="M215" s="25" t="s">
        <v>5539</v>
      </c>
      <c r="N215" s="27" t="s">
        <v>5540</v>
      </c>
      <c r="O215" s="27" t="s">
        <v>5541</v>
      </c>
      <c r="P215" s="28">
        <v>44212</v>
      </c>
      <c r="Q215" s="28">
        <v>47864</v>
      </c>
      <c r="R215" s="25" t="str">
        <f t="shared" si="19"/>
        <v>女</v>
      </c>
      <c r="S215" s="25" t="s">
        <v>3984</v>
      </c>
      <c r="T215" s="28" t="str">
        <f t="shared" si="16"/>
        <v>2001-06-26</v>
      </c>
      <c r="U215" s="25">
        <f t="shared" ca="1" si="20"/>
        <v>24</v>
      </c>
      <c r="V215" s="25">
        <v>15126630791</v>
      </c>
      <c r="W215" s="28">
        <v>45946</v>
      </c>
      <c r="X215" s="28">
        <v>45946</v>
      </c>
      <c r="Y215" s="29" t="str">
        <f t="shared" ca="1" si="17"/>
        <v>0年5个月</v>
      </c>
      <c r="Z215" s="25" t="s">
        <v>5542</v>
      </c>
      <c r="AA215" s="26" t="str">
        <f t="shared" ca="1" si="18"/>
        <v>1年7个月</v>
      </c>
      <c r="AB215" s="25" t="s">
        <v>4049</v>
      </c>
      <c r="AC215" s="25" t="s">
        <v>272</v>
      </c>
      <c r="AD215" s="25" t="s">
        <v>4234</v>
      </c>
      <c r="AE215" s="25"/>
      <c r="AF215" s="25"/>
      <c r="AG215" s="27"/>
      <c r="AH215" s="25"/>
      <c r="AI215" s="25"/>
      <c r="AJ215" s="25"/>
      <c r="AK215" s="27"/>
      <c r="AL215" s="25" t="s">
        <v>81</v>
      </c>
      <c r="AM215" s="25" t="s">
        <v>3987</v>
      </c>
      <c r="AN215" s="27" t="s">
        <v>5543</v>
      </c>
      <c r="AO215" s="25" t="s">
        <v>4196</v>
      </c>
      <c r="AP215" s="27" t="s">
        <v>5544</v>
      </c>
      <c r="AQ215" s="25"/>
      <c r="AR215" s="25" t="s">
        <v>5545</v>
      </c>
      <c r="AS215" s="26" t="s">
        <v>4065</v>
      </c>
      <c r="AT215" s="25" t="s">
        <v>4456</v>
      </c>
      <c r="AU215" s="25" t="s">
        <v>5546</v>
      </c>
      <c r="AV215" s="25" t="s">
        <v>5546</v>
      </c>
      <c r="AW215" s="30">
        <v>46310</v>
      </c>
      <c r="AX215" s="28">
        <v>45946</v>
      </c>
      <c r="AY215" s="28">
        <v>46310</v>
      </c>
      <c r="AZ215" s="28"/>
      <c r="BA215" s="28"/>
      <c r="BB215" s="28"/>
      <c r="BC215" s="25"/>
      <c r="BD215" s="25"/>
      <c r="BE215" s="25"/>
      <c r="BF215" s="25"/>
      <c r="BG215" s="25"/>
      <c r="BH215" s="25"/>
      <c r="BI215" s="27"/>
    </row>
    <row r="216" spans="1:61" ht="15.6" x14ac:dyDescent="0.25">
      <c r="A216" s="25">
        <v>214</v>
      </c>
      <c r="B216" s="25" t="s">
        <v>5547</v>
      </c>
      <c r="C216" s="25" t="s">
        <v>4002</v>
      </c>
      <c r="D216" s="26" t="s">
        <v>4161</v>
      </c>
      <c r="E216" s="26" t="s">
        <v>4161</v>
      </c>
      <c r="F216" s="25" t="s">
        <v>5518</v>
      </c>
      <c r="G216" s="25" t="s">
        <v>5548</v>
      </c>
      <c r="H216" s="25"/>
      <c r="I216" s="25"/>
      <c r="J216" s="25" t="s">
        <v>5549</v>
      </c>
      <c r="K216" s="25" t="s">
        <v>676</v>
      </c>
      <c r="L216" s="25" t="s">
        <v>4016</v>
      </c>
      <c r="M216" s="25" t="s">
        <v>4080</v>
      </c>
      <c r="N216" s="27" t="s">
        <v>5550</v>
      </c>
      <c r="O216" s="27" t="s">
        <v>4031</v>
      </c>
      <c r="P216" s="28">
        <v>43054</v>
      </c>
      <c r="Q216" s="28">
        <v>50359</v>
      </c>
      <c r="R216" s="25" t="str">
        <f t="shared" si="19"/>
        <v>男</v>
      </c>
      <c r="S216" s="25" t="s">
        <v>3984</v>
      </c>
      <c r="T216" s="28" t="str">
        <f t="shared" si="16"/>
        <v>1987-07-09</v>
      </c>
      <c r="U216" s="25">
        <f t="shared" ca="1" si="20"/>
        <v>38</v>
      </c>
      <c r="V216" s="25">
        <v>15908841063</v>
      </c>
      <c r="W216" s="28">
        <v>43836</v>
      </c>
      <c r="X216" s="28">
        <v>40752</v>
      </c>
      <c r="Y216" s="29" t="str">
        <f t="shared" ca="1" si="17"/>
        <v>14年8个月</v>
      </c>
      <c r="Z216" s="25" t="s">
        <v>4480</v>
      </c>
      <c r="AA216" s="26" t="str">
        <f t="shared" ca="1" si="18"/>
        <v>17年8个月</v>
      </c>
      <c r="AB216" s="25" t="s">
        <v>29</v>
      </c>
      <c r="AC216" s="25" t="s">
        <v>3985</v>
      </c>
      <c r="AD216" s="25" t="s">
        <v>3986</v>
      </c>
      <c r="AE216" s="25" t="s">
        <v>1837</v>
      </c>
      <c r="AF216" s="25" t="s">
        <v>1012</v>
      </c>
      <c r="AG216" s="27" t="s">
        <v>5551</v>
      </c>
      <c r="AH216" s="25"/>
      <c r="AI216" s="25"/>
      <c r="AJ216" s="25"/>
      <c r="AK216" s="27"/>
      <c r="AL216" s="25" t="s">
        <v>81</v>
      </c>
      <c r="AM216" s="25" t="s">
        <v>3987</v>
      </c>
      <c r="AN216" s="27" t="s">
        <v>5552</v>
      </c>
      <c r="AO216" s="25" t="s">
        <v>5553</v>
      </c>
      <c r="AP216" s="27" t="s">
        <v>5554</v>
      </c>
      <c r="AQ216" s="25"/>
      <c r="AR216" s="27" t="s">
        <v>4780</v>
      </c>
      <c r="AS216" s="26" t="s">
        <v>4011</v>
      </c>
      <c r="AT216" s="25" t="s">
        <v>4043</v>
      </c>
      <c r="AU216" s="25" t="s">
        <v>5555</v>
      </c>
      <c r="AV216" s="25" t="s">
        <v>5556</v>
      </c>
      <c r="AW216" s="30" t="s">
        <v>4000</v>
      </c>
      <c r="AX216" s="28">
        <v>43836</v>
      </c>
      <c r="AY216" s="28" t="s">
        <v>4000</v>
      </c>
      <c r="AZ216" s="28"/>
      <c r="BA216" s="28"/>
      <c r="BB216" s="28"/>
      <c r="BC216" s="25"/>
      <c r="BD216" s="25"/>
      <c r="BE216" s="25"/>
      <c r="BF216" s="25"/>
      <c r="BG216" s="25"/>
      <c r="BH216" s="25"/>
      <c r="BI216" s="27"/>
    </row>
    <row r="217" spans="1:61" ht="15.6" x14ac:dyDescent="0.25">
      <c r="A217" s="25">
        <v>215</v>
      </c>
      <c r="B217" s="25" t="s">
        <v>5557</v>
      </c>
      <c r="C217" s="25" t="s">
        <v>4002</v>
      </c>
      <c r="D217" s="26" t="s">
        <v>4161</v>
      </c>
      <c r="E217" s="26" t="s">
        <v>4161</v>
      </c>
      <c r="F217" s="25" t="s">
        <v>5518</v>
      </c>
      <c r="G217" s="25" t="s">
        <v>5548</v>
      </c>
      <c r="H217" s="25"/>
      <c r="I217" s="25"/>
      <c r="J217" s="25" t="s">
        <v>1113</v>
      </c>
      <c r="K217" s="25" t="s">
        <v>399</v>
      </c>
      <c r="L217" s="25" t="s">
        <v>5177</v>
      </c>
      <c r="M217" s="25" t="s">
        <v>4029</v>
      </c>
      <c r="N217" s="27" t="s">
        <v>5558</v>
      </c>
      <c r="O217" s="27" t="s">
        <v>4552</v>
      </c>
      <c r="P217" s="28">
        <v>43509</v>
      </c>
      <c r="Q217" s="28">
        <v>47162</v>
      </c>
      <c r="R217" s="25" t="str">
        <f t="shared" si="19"/>
        <v>女</v>
      </c>
      <c r="S217" s="25" t="s">
        <v>3984</v>
      </c>
      <c r="T217" s="28" t="str">
        <f t="shared" si="16"/>
        <v>2000-02-23</v>
      </c>
      <c r="U217" s="25">
        <f t="shared" ca="1" si="20"/>
        <v>26</v>
      </c>
      <c r="V217" s="25">
        <v>13705176098</v>
      </c>
      <c r="W217" s="28">
        <v>45369</v>
      </c>
      <c r="X217" s="28">
        <v>45369</v>
      </c>
      <c r="Y217" s="29" t="str">
        <f t="shared" ca="1" si="17"/>
        <v>2年0个月</v>
      </c>
      <c r="Z217" s="25" t="s">
        <v>5542</v>
      </c>
      <c r="AA217" s="26" t="str">
        <f t="shared" ca="1" si="18"/>
        <v>3年2个月</v>
      </c>
      <c r="AB217" s="25" t="s">
        <v>253</v>
      </c>
      <c r="AC217" s="25" t="s">
        <v>28</v>
      </c>
      <c r="AD217" s="25" t="s">
        <v>4035</v>
      </c>
      <c r="AE217" s="25"/>
      <c r="AF217" s="25"/>
      <c r="AG217" s="27"/>
      <c r="AH217" s="25"/>
      <c r="AI217" s="25"/>
      <c r="AJ217" s="25"/>
      <c r="AK217" s="27"/>
      <c r="AL217" s="25" t="s">
        <v>81</v>
      </c>
      <c r="AM217" s="25" t="s">
        <v>3987</v>
      </c>
      <c r="AN217" s="27" t="s">
        <v>5559</v>
      </c>
      <c r="AO217" s="25" t="s">
        <v>5560</v>
      </c>
      <c r="AP217" s="27" t="s">
        <v>5561</v>
      </c>
      <c r="AQ217" s="25"/>
      <c r="AR217" s="25" t="s">
        <v>4780</v>
      </c>
      <c r="AS217" s="26" t="s">
        <v>4011</v>
      </c>
      <c r="AT217" s="25" t="s">
        <v>4137</v>
      </c>
      <c r="AU217" s="25" t="s">
        <v>5562</v>
      </c>
      <c r="AV217" s="25" t="s">
        <v>5563</v>
      </c>
      <c r="AW217" s="30">
        <v>46843</v>
      </c>
      <c r="AX217" s="28">
        <v>45369</v>
      </c>
      <c r="AY217" s="28">
        <v>45733</v>
      </c>
      <c r="AZ217" s="28">
        <v>46843</v>
      </c>
      <c r="BA217" s="28"/>
      <c r="BB217" s="28"/>
      <c r="BC217" s="25"/>
      <c r="BD217" s="25"/>
      <c r="BE217" s="25"/>
      <c r="BF217" s="25"/>
      <c r="BG217" s="25"/>
      <c r="BH217" s="25"/>
      <c r="BI217" s="27"/>
    </row>
    <row r="218" spans="1:61" ht="15.6" x14ac:dyDescent="0.25">
      <c r="A218" s="25">
        <v>216</v>
      </c>
      <c r="B218" s="25" t="s">
        <v>5564</v>
      </c>
      <c r="C218" s="25" t="s">
        <v>4002</v>
      </c>
      <c r="D218" s="26" t="s">
        <v>4161</v>
      </c>
      <c r="E218" s="26" t="s">
        <v>4161</v>
      </c>
      <c r="F218" s="25" t="s">
        <v>5518</v>
      </c>
      <c r="G218" s="25" t="s">
        <v>5548</v>
      </c>
      <c r="H218" s="25"/>
      <c r="I218" s="25"/>
      <c r="J218" s="25" t="s">
        <v>506</v>
      </c>
      <c r="K218" s="25" t="s">
        <v>399</v>
      </c>
      <c r="L218" s="25" t="s">
        <v>4662</v>
      </c>
      <c r="M218" s="25" t="s">
        <v>4029</v>
      </c>
      <c r="N218" s="27" t="s">
        <v>5565</v>
      </c>
      <c r="O218" s="27" t="s">
        <v>4031</v>
      </c>
      <c r="P218" s="28">
        <v>42138</v>
      </c>
      <c r="Q218" s="28">
        <v>49443</v>
      </c>
      <c r="R218" s="25" t="str">
        <f t="shared" si="19"/>
        <v>男</v>
      </c>
      <c r="S218" s="25" t="s">
        <v>3984</v>
      </c>
      <c r="T218" s="28" t="str">
        <f t="shared" si="16"/>
        <v>1987-09-26</v>
      </c>
      <c r="U218" s="25">
        <f t="shared" ca="1" si="20"/>
        <v>38</v>
      </c>
      <c r="V218" s="25">
        <v>18288254549</v>
      </c>
      <c r="W218" s="28">
        <v>43836</v>
      </c>
      <c r="X218" s="28">
        <v>41414</v>
      </c>
      <c r="Y218" s="29" t="str">
        <f t="shared" ca="1" si="17"/>
        <v>12年10个月</v>
      </c>
      <c r="Z218" s="25" t="s">
        <v>4480</v>
      </c>
      <c r="AA218" s="26" t="str">
        <f t="shared" ca="1" si="18"/>
        <v>15年10个月</v>
      </c>
      <c r="AB218" s="25" t="s">
        <v>29</v>
      </c>
      <c r="AC218" s="25" t="s">
        <v>3985</v>
      </c>
      <c r="AD218" s="25" t="s">
        <v>3986</v>
      </c>
      <c r="AE218" s="25" t="s">
        <v>1708</v>
      </c>
      <c r="AF218" s="25" t="s">
        <v>437</v>
      </c>
      <c r="AG218" s="27" t="s">
        <v>5566</v>
      </c>
      <c r="AH218" s="25"/>
      <c r="AI218" s="25"/>
      <c r="AJ218" s="25"/>
      <c r="AK218" s="27"/>
      <c r="AL218" s="25" t="s">
        <v>87</v>
      </c>
      <c r="AM218" s="25" t="s">
        <v>3987</v>
      </c>
      <c r="AN218" s="27" t="s">
        <v>5567</v>
      </c>
      <c r="AO218" s="25" t="s">
        <v>4062</v>
      </c>
      <c r="AP218" s="27" t="s">
        <v>5568</v>
      </c>
      <c r="AQ218" s="25"/>
      <c r="AR218" s="25" t="s">
        <v>5569</v>
      </c>
      <c r="AS218" s="26" t="s">
        <v>4011</v>
      </c>
      <c r="AT218" s="25" t="s">
        <v>4487</v>
      </c>
      <c r="AU218" s="25" t="s">
        <v>5570</v>
      </c>
      <c r="AV218" s="25" t="s">
        <v>5571</v>
      </c>
      <c r="AW218" s="30" t="s">
        <v>4000</v>
      </c>
      <c r="AX218" s="28">
        <v>43836</v>
      </c>
      <c r="AY218" s="28" t="s">
        <v>4000</v>
      </c>
      <c r="AZ218" s="28"/>
      <c r="BA218" s="28"/>
      <c r="BB218" s="28"/>
      <c r="BC218" s="25"/>
      <c r="BD218" s="25"/>
      <c r="BE218" s="25"/>
      <c r="BF218" s="25"/>
      <c r="BG218" s="25"/>
      <c r="BH218" s="25"/>
      <c r="BI218" s="27"/>
    </row>
    <row r="219" spans="1:61" ht="15.6" x14ac:dyDescent="0.25">
      <c r="A219" s="25">
        <v>217</v>
      </c>
      <c r="B219" s="25" t="s">
        <v>5572</v>
      </c>
      <c r="C219" s="25" t="s">
        <v>4002</v>
      </c>
      <c r="D219" s="26" t="s">
        <v>4161</v>
      </c>
      <c r="E219" s="26" t="s">
        <v>4161</v>
      </c>
      <c r="F219" s="25" t="s">
        <v>5518</v>
      </c>
      <c r="G219" s="25" t="s">
        <v>5548</v>
      </c>
      <c r="H219" s="25"/>
      <c r="I219" s="25"/>
      <c r="J219" s="25" t="s">
        <v>506</v>
      </c>
      <c r="K219" s="25" t="s">
        <v>399</v>
      </c>
      <c r="L219" s="25" t="s">
        <v>4662</v>
      </c>
      <c r="M219" s="25" t="s">
        <v>4029</v>
      </c>
      <c r="N219" s="27" t="s">
        <v>5573</v>
      </c>
      <c r="O219" s="27" t="s">
        <v>4129</v>
      </c>
      <c r="P219" s="28">
        <v>43318</v>
      </c>
      <c r="Q219" s="28">
        <v>46971</v>
      </c>
      <c r="R219" s="25" t="str">
        <f t="shared" si="19"/>
        <v>女</v>
      </c>
      <c r="S219" s="25" t="s">
        <v>3984</v>
      </c>
      <c r="T219" s="28" t="str">
        <f t="shared" si="16"/>
        <v>1998-08-09</v>
      </c>
      <c r="U219" s="25">
        <f t="shared" ca="1" si="20"/>
        <v>27</v>
      </c>
      <c r="V219" s="25">
        <v>15287457500</v>
      </c>
      <c r="W219" s="28">
        <v>45418</v>
      </c>
      <c r="X219" s="28">
        <v>45418</v>
      </c>
      <c r="Y219" s="29" t="str">
        <f t="shared" ca="1" si="17"/>
        <v>1年11个月</v>
      </c>
      <c r="Z219" s="25" t="s">
        <v>4511</v>
      </c>
      <c r="AA219" s="26" t="str">
        <f t="shared" ca="1" si="18"/>
        <v>3年8个月</v>
      </c>
      <c r="AB219" s="25" t="s">
        <v>253</v>
      </c>
      <c r="AC219" s="25" t="s">
        <v>272</v>
      </c>
      <c r="AD219" s="57" t="s">
        <v>4035</v>
      </c>
      <c r="AE219" s="25"/>
      <c r="AF219" s="25"/>
      <c r="AG219" s="27"/>
      <c r="AH219" s="25"/>
      <c r="AI219" s="25"/>
      <c r="AJ219" s="25"/>
      <c r="AK219" s="27"/>
      <c r="AL219" s="25" t="s">
        <v>81</v>
      </c>
      <c r="AM219" s="25" t="s">
        <v>3987</v>
      </c>
      <c r="AN219" s="27" t="s">
        <v>5574</v>
      </c>
      <c r="AO219" s="25" t="s">
        <v>4134</v>
      </c>
      <c r="AP219" s="27" t="s">
        <v>5575</v>
      </c>
      <c r="AQ219" s="25" t="s">
        <v>4474</v>
      </c>
      <c r="AR219" s="25" t="s">
        <v>4621</v>
      </c>
      <c r="AS219" s="26" t="s">
        <v>4011</v>
      </c>
      <c r="AT219" s="25" t="s">
        <v>4137</v>
      </c>
      <c r="AU219" s="25" t="s">
        <v>5576</v>
      </c>
      <c r="AV219" s="25" t="s">
        <v>5577</v>
      </c>
      <c r="AW219" s="30">
        <v>46904</v>
      </c>
      <c r="AX219" s="28">
        <v>45418</v>
      </c>
      <c r="AY219" s="28">
        <v>45782</v>
      </c>
      <c r="AZ219" s="28">
        <v>46904</v>
      </c>
      <c r="BA219" s="28"/>
      <c r="BB219" s="28"/>
      <c r="BC219" s="25"/>
      <c r="BD219" s="25"/>
      <c r="BE219" s="25"/>
      <c r="BF219" s="25"/>
      <c r="BG219" s="25"/>
      <c r="BH219" s="25"/>
      <c r="BI219" s="27"/>
    </row>
    <row r="220" spans="1:61" ht="15.6" x14ac:dyDescent="0.25">
      <c r="A220" s="25">
        <v>218</v>
      </c>
      <c r="B220" s="25" t="s">
        <v>5578</v>
      </c>
      <c r="C220" s="25" t="s">
        <v>4002</v>
      </c>
      <c r="D220" s="26" t="s">
        <v>4161</v>
      </c>
      <c r="E220" s="26" t="s">
        <v>4161</v>
      </c>
      <c r="F220" s="25" t="s">
        <v>5518</v>
      </c>
      <c r="G220" s="25" t="s">
        <v>5548</v>
      </c>
      <c r="H220" s="25"/>
      <c r="I220" s="25"/>
      <c r="J220" s="25" t="s">
        <v>506</v>
      </c>
      <c r="K220" s="25" t="s">
        <v>399</v>
      </c>
      <c r="L220" s="25" t="s">
        <v>4662</v>
      </c>
      <c r="M220" s="25" t="s">
        <v>4029</v>
      </c>
      <c r="N220" s="27" t="s">
        <v>825</v>
      </c>
      <c r="O220" s="27" t="s">
        <v>4682</v>
      </c>
      <c r="P220" s="28">
        <v>43124</v>
      </c>
      <c r="Q220" s="28">
        <v>46776</v>
      </c>
      <c r="R220" s="25" t="str">
        <f t="shared" si="19"/>
        <v>男</v>
      </c>
      <c r="S220" s="25" t="s">
        <v>3984</v>
      </c>
      <c r="T220" s="28" t="str">
        <f t="shared" si="16"/>
        <v>1998-03-29</v>
      </c>
      <c r="U220" s="25">
        <f t="shared" ca="1" si="20"/>
        <v>28</v>
      </c>
      <c r="V220" s="25">
        <v>15645071582</v>
      </c>
      <c r="W220" s="28">
        <v>45544</v>
      </c>
      <c r="X220" s="28">
        <v>45544</v>
      </c>
      <c r="Y220" s="29" t="str">
        <f t="shared" ca="1" si="17"/>
        <v>1年7个月</v>
      </c>
      <c r="Z220" s="25" t="s">
        <v>5579</v>
      </c>
      <c r="AA220" s="26" t="str">
        <f t="shared" ca="1" si="18"/>
        <v>4年6个月</v>
      </c>
      <c r="AB220" s="25" t="s">
        <v>253</v>
      </c>
      <c r="AC220" s="25" t="s">
        <v>272</v>
      </c>
      <c r="AD220" s="57" t="s">
        <v>4035</v>
      </c>
      <c r="AE220" s="25"/>
      <c r="AF220" s="25"/>
      <c r="AG220" s="27"/>
      <c r="AH220" s="25"/>
      <c r="AI220" s="25"/>
      <c r="AJ220" s="25"/>
      <c r="AK220" s="27"/>
      <c r="AL220" s="25" t="s">
        <v>81</v>
      </c>
      <c r="AM220" s="25" t="s">
        <v>3987</v>
      </c>
      <c r="AN220" s="27" t="s">
        <v>5580</v>
      </c>
      <c r="AO220" s="25" t="s">
        <v>5020</v>
      </c>
      <c r="AP220" s="27" t="s">
        <v>5581</v>
      </c>
      <c r="AQ220" s="25" t="s">
        <v>4474</v>
      </c>
      <c r="AR220" s="25" t="s">
        <v>4621</v>
      </c>
      <c r="AS220" s="26" t="s">
        <v>4011</v>
      </c>
      <c r="AT220" s="25" t="s">
        <v>4137</v>
      </c>
      <c r="AU220" s="25" t="s">
        <v>5582</v>
      </c>
      <c r="AV220" s="25" t="s">
        <v>5583</v>
      </c>
      <c r="AW220" s="30">
        <v>47026</v>
      </c>
      <c r="AX220" s="28">
        <v>45544</v>
      </c>
      <c r="AY220" s="28">
        <v>45908</v>
      </c>
      <c r="AZ220" s="28">
        <v>47026</v>
      </c>
      <c r="BA220" s="28"/>
      <c r="BB220" s="28"/>
      <c r="BC220" s="25"/>
      <c r="BD220" s="25"/>
      <c r="BE220" s="25"/>
      <c r="BF220" s="25"/>
      <c r="BG220" s="25"/>
      <c r="BH220" s="25"/>
      <c r="BI220" s="27"/>
    </row>
    <row r="221" spans="1:61" ht="15.6" x14ac:dyDescent="0.25">
      <c r="A221" s="25">
        <v>219</v>
      </c>
      <c r="B221" s="25" t="s">
        <v>5584</v>
      </c>
      <c r="C221" s="25" t="s">
        <v>4002</v>
      </c>
      <c r="D221" s="26" t="s">
        <v>4161</v>
      </c>
      <c r="E221" s="26" t="s">
        <v>4161</v>
      </c>
      <c r="F221" s="25" t="s">
        <v>5518</v>
      </c>
      <c r="G221" s="25" t="s">
        <v>5548</v>
      </c>
      <c r="H221" s="25"/>
      <c r="I221" s="25"/>
      <c r="J221" s="25" t="s">
        <v>506</v>
      </c>
      <c r="K221" s="25" t="s">
        <v>399</v>
      </c>
      <c r="L221" s="25" t="s">
        <v>4662</v>
      </c>
      <c r="M221" s="25" t="s">
        <v>4029</v>
      </c>
      <c r="N221" s="27" t="s">
        <v>5585</v>
      </c>
      <c r="O221" s="27" t="s">
        <v>5586</v>
      </c>
      <c r="P221" s="28">
        <v>45030</v>
      </c>
      <c r="Q221" s="28">
        <v>52335</v>
      </c>
      <c r="R221" s="25" t="str">
        <f t="shared" si="19"/>
        <v>女</v>
      </c>
      <c r="S221" s="25" t="s">
        <v>3984</v>
      </c>
      <c r="T221" s="28" t="str">
        <f t="shared" si="16"/>
        <v>1990-10-21</v>
      </c>
      <c r="U221" s="25">
        <f t="shared" ca="1" si="20"/>
        <v>35</v>
      </c>
      <c r="V221" s="25">
        <v>15198787239</v>
      </c>
      <c r="W221" s="28">
        <v>43836</v>
      </c>
      <c r="X221" s="28">
        <v>41806</v>
      </c>
      <c r="Y221" s="29" t="str">
        <f t="shared" ca="1" si="17"/>
        <v>11年9个月</v>
      </c>
      <c r="Z221" s="25" t="s">
        <v>4060</v>
      </c>
      <c r="AA221" s="26" t="str">
        <f t="shared" ca="1" si="18"/>
        <v>12年6个月</v>
      </c>
      <c r="AB221" s="25" t="s">
        <v>29</v>
      </c>
      <c r="AC221" s="25" t="s">
        <v>3985</v>
      </c>
      <c r="AD221" s="25" t="s">
        <v>3986</v>
      </c>
      <c r="AE221" s="25" t="s">
        <v>4852</v>
      </c>
      <c r="AF221" s="25" t="s">
        <v>437</v>
      </c>
      <c r="AG221" s="27" t="s">
        <v>5587</v>
      </c>
      <c r="AH221" s="25"/>
      <c r="AI221" s="25"/>
      <c r="AJ221" s="25"/>
      <c r="AK221" s="27"/>
      <c r="AL221" s="25" t="s">
        <v>81</v>
      </c>
      <c r="AM221" s="25" t="s">
        <v>3987</v>
      </c>
      <c r="AN221" s="27" t="s">
        <v>5588</v>
      </c>
      <c r="AO221" s="25" t="s">
        <v>4062</v>
      </c>
      <c r="AP221" s="27" t="s">
        <v>5589</v>
      </c>
      <c r="AQ221" s="25"/>
      <c r="AR221" s="25" t="s">
        <v>4676</v>
      </c>
      <c r="AS221" s="26" t="s">
        <v>4011</v>
      </c>
      <c r="AT221" s="25" t="s">
        <v>1458</v>
      </c>
      <c r="AU221" s="25" t="s">
        <v>5590</v>
      </c>
      <c r="AV221" s="25" t="s">
        <v>2479</v>
      </c>
      <c r="AW221" s="30" t="s">
        <v>4000</v>
      </c>
      <c r="AX221" s="28">
        <v>43836</v>
      </c>
      <c r="AY221" s="28">
        <v>45662</v>
      </c>
      <c r="AZ221" s="28" t="s">
        <v>4000</v>
      </c>
      <c r="BA221" s="28"/>
      <c r="BB221" s="28"/>
      <c r="BC221" s="25"/>
      <c r="BD221" s="25"/>
      <c r="BE221" s="25"/>
      <c r="BF221" s="25"/>
      <c r="BG221" s="25"/>
      <c r="BH221" s="25"/>
      <c r="BI221" s="25"/>
    </row>
    <row r="222" spans="1:61" ht="15.6" x14ac:dyDescent="0.25">
      <c r="A222" s="25">
        <v>220</v>
      </c>
      <c r="B222" s="25" t="s">
        <v>5591</v>
      </c>
      <c r="C222" s="25" t="s">
        <v>4002</v>
      </c>
      <c r="D222" s="26" t="s">
        <v>4161</v>
      </c>
      <c r="E222" s="26" t="s">
        <v>4161</v>
      </c>
      <c r="F222" s="25" t="s">
        <v>5518</v>
      </c>
      <c r="G222" s="25" t="s">
        <v>5548</v>
      </c>
      <c r="H222" s="25"/>
      <c r="I222" s="25"/>
      <c r="J222" s="25" t="s">
        <v>506</v>
      </c>
      <c r="K222" s="25" t="s">
        <v>399</v>
      </c>
      <c r="L222" s="25" t="s">
        <v>4662</v>
      </c>
      <c r="M222" s="25" t="s">
        <v>4029</v>
      </c>
      <c r="N222" s="27" t="s">
        <v>5592</v>
      </c>
      <c r="O222" s="27" t="s">
        <v>4031</v>
      </c>
      <c r="P222" s="28">
        <v>45370</v>
      </c>
      <c r="Q222" s="28">
        <v>52675</v>
      </c>
      <c r="R222" s="25" t="str">
        <f t="shared" si="19"/>
        <v>男</v>
      </c>
      <c r="S222" s="25" t="s">
        <v>3984</v>
      </c>
      <c r="T222" s="28" t="str">
        <f t="shared" si="16"/>
        <v>1997-06-14</v>
      </c>
      <c r="U222" s="25">
        <f t="shared" ca="1" si="20"/>
        <v>28</v>
      </c>
      <c r="V222" s="25">
        <v>18860956606</v>
      </c>
      <c r="W222" s="28">
        <v>45405</v>
      </c>
      <c r="X222" s="28">
        <v>45405</v>
      </c>
      <c r="Y222" s="29" t="str">
        <f t="shared" ca="1" si="17"/>
        <v>1年11个月</v>
      </c>
      <c r="Z222" s="25" t="s">
        <v>4327</v>
      </c>
      <c r="AA222" s="26" t="str">
        <f t="shared" ca="1" si="18"/>
        <v>2年11个月</v>
      </c>
      <c r="AB222" s="25" t="s">
        <v>253</v>
      </c>
      <c r="AC222" s="25" t="s">
        <v>119</v>
      </c>
      <c r="AD222" s="25" t="s">
        <v>4035</v>
      </c>
      <c r="AE222" s="25"/>
      <c r="AF222" s="25"/>
      <c r="AG222" s="27"/>
      <c r="AH222" s="25"/>
      <c r="AI222" s="25"/>
      <c r="AJ222" s="25"/>
      <c r="AK222" s="27"/>
      <c r="AL222" s="25" t="s">
        <v>81</v>
      </c>
      <c r="AM222" s="25" t="s">
        <v>3987</v>
      </c>
      <c r="AN222" s="27" t="s">
        <v>5593</v>
      </c>
      <c r="AO222" s="25" t="s">
        <v>5594</v>
      </c>
      <c r="AP222" s="27" t="s">
        <v>5595</v>
      </c>
      <c r="AQ222" s="25">
        <v>211</v>
      </c>
      <c r="AR222" s="25" t="s">
        <v>5596</v>
      </c>
      <c r="AS222" s="26" t="s">
        <v>4088</v>
      </c>
      <c r="AT222" s="25" t="s">
        <v>4043</v>
      </c>
      <c r="AU222" s="25" t="s">
        <v>5597</v>
      </c>
      <c r="AV222" s="25" t="s">
        <v>5598</v>
      </c>
      <c r="AW222" s="30">
        <v>46873</v>
      </c>
      <c r="AX222" s="28">
        <v>45405</v>
      </c>
      <c r="AY222" s="28">
        <v>45769</v>
      </c>
      <c r="AZ222" s="28">
        <v>46873</v>
      </c>
      <c r="BA222" s="28"/>
      <c r="BB222" s="28"/>
      <c r="BC222" s="25"/>
      <c r="BD222" s="25"/>
      <c r="BE222" s="25"/>
      <c r="BF222" s="25"/>
      <c r="BG222" s="25"/>
      <c r="BH222" s="25"/>
      <c r="BI222" s="27"/>
    </row>
    <row r="223" spans="1:61" ht="15.6" x14ac:dyDescent="0.25">
      <c r="A223" s="25">
        <v>221</v>
      </c>
      <c r="B223" s="25" t="s">
        <v>5599</v>
      </c>
      <c r="C223" s="25" t="s">
        <v>4002</v>
      </c>
      <c r="D223" s="26" t="s">
        <v>4161</v>
      </c>
      <c r="E223" s="26" t="s">
        <v>4161</v>
      </c>
      <c r="F223" s="25" t="s">
        <v>5518</v>
      </c>
      <c r="G223" s="25" t="s">
        <v>5548</v>
      </c>
      <c r="H223" s="25"/>
      <c r="I223" s="25"/>
      <c r="J223" s="25" t="s">
        <v>240</v>
      </c>
      <c r="K223" s="25" t="s">
        <v>399</v>
      </c>
      <c r="L223" s="25" t="s">
        <v>4662</v>
      </c>
      <c r="M223" s="25" t="s">
        <v>4029</v>
      </c>
      <c r="N223" s="27" t="s">
        <v>5600</v>
      </c>
      <c r="O223" s="27" t="s">
        <v>5601</v>
      </c>
      <c r="P223" s="28">
        <v>44343</v>
      </c>
      <c r="Q223" s="28">
        <v>51648</v>
      </c>
      <c r="R223" s="25" t="str">
        <f t="shared" si="19"/>
        <v>女</v>
      </c>
      <c r="S223" s="25" t="s">
        <v>3984</v>
      </c>
      <c r="T223" s="28" t="str">
        <f t="shared" si="16"/>
        <v>1994-08-19</v>
      </c>
      <c r="U223" s="25">
        <f t="shared" ca="1" si="20"/>
        <v>31</v>
      </c>
      <c r="V223" s="25">
        <v>18787081626</v>
      </c>
      <c r="W223" s="28">
        <v>44664</v>
      </c>
      <c r="X223" s="28">
        <v>44664</v>
      </c>
      <c r="Y223" s="29" t="str">
        <f t="shared" ca="1" si="17"/>
        <v>4年0个月</v>
      </c>
      <c r="Z223" s="25" t="s">
        <v>4220</v>
      </c>
      <c r="AA223" s="26" t="str">
        <f t="shared" ca="1" si="18"/>
        <v>8年2个月</v>
      </c>
      <c r="AB223" s="25" t="s">
        <v>253</v>
      </c>
      <c r="AC223" s="25" t="s">
        <v>28</v>
      </c>
      <c r="AD223" s="25" t="s">
        <v>3986</v>
      </c>
      <c r="AE223" s="25" t="s">
        <v>4880</v>
      </c>
      <c r="AF223" s="25" t="s">
        <v>1012</v>
      </c>
      <c r="AG223" s="27" t="s">
        <v>5602</v>
      </c>
      <c r="AH223" s="25"/>
      <c r="AI223" s="25"/>
      <c r="AJ223" s="25"/>
      <c r="AK223" s="27"/>
      <c r="AL223" s="25" t="s">
        <v>81</v>
      </c>
      <c r="AM223" s="25" t="s">
        <v>3987</v>
      </c>
      <c r="AN223" s="27" t="s">
        <v>5603</v>
      </c>
      <c r="AO223" s="25" t="s">
        <v>5604</v>
      </c>
      <c r="AP223" s="27" t="s">
        <v>5605</v>
      </c>
      <c r="AQ223" s="25">
        <v>211</v>
      </c>
      <c r="AR223" s="25" t="s">
        <v>4770</v>
      </c>
      <c r="AS223" s="26" t="s">
        <v>4011</v>
      </c>
      <c r="AT223" s="25" t="s">
        <v>4419</v>
      </c>
      <c r="AU223" s="25" t="s">
        <v>5606</v>
      </c>
      <c r="AV223" s="25" t="s">
        <v>5607</v>
      </c>
      <c r="AW223" s="30">
        <v>46142</v>
      </c>
      <c r="AX223" s="28">
        <v>44664</v>
      </c>
      <c r="AY223" s="28">
        <v>45028</v>
      </c>
      <c r="AZ223" s="28">
        <v>46142</v>
      </c>
      <c r="BA223" s="28"/>
      <c r="BB223" s="28"/>
      <c r="BC223" s="25"/>
      <c r="BD223" s="25"/>
      <c r="BE223" s="25"/>
      <c r="BF223" s="25"/>
      <c r="BG223" s="25"/>
      <c r="BH223" s="25"/>
      <c r="BI223" s="27"/>
    </row>
    <row r="224" spans="1:61" ht="15.6" x14ac:dyDescent="0.25">
      <c r="A224" s="25">
        <v>222</v>
      </c>
      <c r="B224" s="25" t="s">
        <v>5608</v>
      </c>
      <c r="C224" s="25" t="s">
        <v>4002</v>
      </c>
      <c r="D224" s="26" t="s">
        <v>4161</v>
      </c>
      <c r="E224" s="26" t="s">
        <v>4161</v>
      </c>
      <c r="F224" s="25" t="s">
        <v>5518</v>
      </c>
      <c r="G224" s="25" t="s">
        <v>5548</v>
      </c>
      <c r="H224" s="25"/>
      <c r="I224" s="25"/>
      <c r="J224" s="25" t="s">
        <v>240</v>
      </c>
      <c r="K224" s="25" t="s">
        <v>399</v>
      </c>
      <c r="L224" s="25" t="s">
        <v>4662</v>
      </c>
      <c r="M224" s="25" t="s">
        <v>4029</v>
      </c>
      <c r="N224" s="27" t="s">
        <v>5609</v>
      </c>
      <c r="O224" s="27" t="s">
        <v>5610</v>
      </c>
      <c r="P224" s="28">
        <v>45017</v>
      </c>
      <c r="Q224" s="28">
        <v>52322</v>
      </c>
      <c r="R224" s="25" t="str">
        <f t="shared" si="19"/>
        <v>男</v>
      </c>
      <c r="S224" s="25" t="s">
        <v>3984</v>
      </c>
      <c r="T224" s="28" t="str">
        <f t="shared" si="16"/>
        <v>1994-04-14</v>
      </c>
      <c r="U224" s="25">
        <f t="shared" ca="1" si="20"/>
        <v>31</v>
      </c>
      <c r="V224" s="25">
        <v>15683100151</v>
      </c>
      <c r="W224" s="28">
        <v>44658</v>
      </c>
      <c r="X224" s="28">
        <v>44658</v>
      </c>
      <c r="Y224" s="29" t="str">
        <f t="shared" ca="1" si="17"/>
        <v>4年0个月</v>
      </c>
      <c r="Z224" s="25" t="s">
        <v>5611</v>
      </c>
      <c r="AA224" s="26" t="str">
        <f t="shared" ca="1" si="18"/>
        <v>7年8个月</v>
      </c>
      <c r="AB224" s="25" t="s">
        <v>253</v>
      </c>
      <c r="AC224" s="25" t="s">
        <v>119</v>
      </c>
      <c r="AD224" s="25" t="s">
        <v>3986</v>
      </c>
      <c r="AE224" s="25" t="s">
        <v>4880</v>
      </c>
      <c r="AF224" s="25" t="s">
        <v>1012</v>
      </c>
      <c r="AG224" s="27" t="s">
        <v>5612</v>
      </c>
      <c r="AH224" s="25"/>
      <c r="AI224" s="25"/>
      <c r="AJ224" s="25"/>
      <c r="AK224" s="27"/>
      <c r="AL224" s="25" t="s">
        <v>81</v>
      </c>
      <c r="AM224" s="25" t="s">
        <v>3987</v>
      </c>
      <c r="AN224" s="27" t="s">
        <v>5613</v>
      </c>
      <c r="AO224" s="25" t="s">
        <v>5614</v>
      </c>
      <c r="AP224" s="27" t="s">
        <v>5615</v>
      </c>
      <c r="AQ224" s="25"/>
      <c r="AR224" s="25" t="s">
        <v>5616</v>
      </c>
      <c r="AS224" s="26" t="s">
        <v>4011</v>
      </c>
      <c r="AT224" s="25" t="s">
        <v>4527</v>
      </c>
      <c r="AU224" s="25" t="s">
        <v>5617</v>
      </c>
      <c r="AV224" s="25" t="s">
        <v>5618</v>
      </c>
      <c r="AW224" s="30">
        <v>46873</v>
      </c>
      <c r="AX224" s="28">
        <v>44658</v>
      </c>
      <c r="AY224" s="28">
        <v>45022</v>
      </c>
      <c r="AZ224" s="28">
        <v>46873</v>
      </c>
      <c r="BA224" s="28"/>
      <c r="BB224" s="28"/>
      <c r="BC224" s="25"/>
      <c r="BD224" s="25"/>
      <c r="BE224" s="25"/>
      <c r="BF224" s="25"/>
      <c r="BG224" s="25"/>
      <c r="BH224" s="25"/>
      <c r="BI224" s="27"/>
    </row>
    <row r="225" spans="1:61" ht="15.6" x14ac:dyDescent="0.25">
      <c r="A225" s="25">
        <v>223</v>
      </c>
      <c r="B225" s="25" t="s">
        <v>5619</v>
      </c>
      <c r="C225" s="25" t="s">
        <v>4002</v>
      </c>
      <c r="D225" s="26" t="s">
        <v>4161</v>
      </c>
      <c r="E225" s="26" t="s">
        <v>4161</v>
      </c>
      <c r="F225" s="25" t="s">
        <v>5518</v>
      </c>
      <c r="G225" s="25" t="s">
        <v>5548</v>
      </c>
      <c r="H225" s="25"/>
      <c r="I225" s="25"/>
      <c r="J225" s="25" t="s">
        <v>240</v>
      </c>
      <c r="K225" s="25" t="s">
        <v>399</v>
      </c>
      <c r="L225" s="25" t="s">
        <v>4662</v>
      </c>
      <c r="M225" s="25" t="s">
        <v>4029</v>
      </c>
      <c r="N225" s="27" t="s">
        <v>5620</v>
      </c>
      <c r="O225" s="27" t="s">
        <v>4851</v>
      </c>
      <c r="P225" s="28">
        <v>44998</v>
      </c>
      <c r="Q225" s="28">
        <v>52303</v>
      </c>
      <c r="R225" s="25" t="str">
        <f t="shared" si="19"/>
        <v>男</v>
      </c>
      <c r="S225" s="25" t="s">
        <v>3984</v>
      </c>
      <c r="T225" s="28" t="str">
        <f t="shared" si="16"/>
        <v>1996-01-28</v>
      </c>
      <c r="U225" s="25">
        <f t="shared" ca="1" si="20"/>
        <v>30</v>
      </c>
      <c r="V225" s="25">
        <v>18987358190</v>
      </c>
      <c r="W225" s="28">
        <v>44932</v>
      </c>
      <c r="X225" s="28">
        <v>44932</v>
      </c>
      <c r="Y225" s="29" t="str">
        <f t="shared" ca="1" si="17"/>
        <v>3年3个月</v>
      </c>
      <c r="Z225" s="25" t="s">
        <v>5027</v>
      </c>
      <c r="AA225" s="26" t="str">
        <f t="shared" ca="1" si="18"/>
        <v>6年9个月</v>
      </c>
      <c r="AB225" s="25" t="s">
        <v>4034</v>
      </c>
      <c r="AC225" s="25" t="s">
        <v>119</v>
      </c>
      <c r="AD225" s="57" t="s">
        <v>4035</v>
      </c>
      <c r="AE225" s="25"/>
      <c r="AF225" s="25"/>
      <c r="AG225" s="27"/>
      <c r="AH225" s="25"/>
      <c r="AI225" s="25"/>
      <c r="AJ225" s="25"/>
      <c r="AK225" s="27"/>
      <c r="AL225" s="25" t="s">
        <v>81</v>
      </c>
      <c r="AM225" s="25" t="s">
        <v>5621</v>
      </c>
      <c r="AN225" s="27" t="s">
        <v>5622</v>
      </c>
      <c r="AO225" s="25" t="s">
        <v>4484</v>
      </c>
      <c r="AP225" s="27" t="s">
        <v>5623</v>
      </c>
      <c r="AQ225" s="25">
        <v>211</v>
      </c>
      <c r="AR225" s="25" t="s">
        <v>4993</v>
      </c>
      <c r="AS225" s="26" t="s">
        <v>4011</v>
      </c>
      <c r="AT225" s="25" t="s">
        <v>4137</v>
      </c>
      <c r="AU225" s="25" t="s">
        <v>5624</v>
      </c>
      <c r="AV225" s="25" t="s">
        <v>5624</v>
      </c>
      <c r="AW225" s="30">
        <v>46599</v>
      </c>
      <c r="AX225" s="28">
        <v>44932</v>
      </c>
      <c r="AY225" s="28">
        <v>45296</v>
      </c>
      <c r="AZ225" s="28">
        <v>46599</v>
      </c>
      <c r="BA225" s="28"/>
      <c r="BB225" s="28"/>
      <c r="BC225" s="25"/>
      <c r="BD225" s="25"/>
      <c r="BE225" s="25"/>
      <c r="BF225" s="25"/>
      <c r="BG225" s="25"/>
      <c r="BH225" s="25"/>
      <c r="BI225" s="27"/>
    </row>
    <row r="226" spans="1:61" ht="15.6" x14ac:dyDescent="0.25">
      <c r="A226" s="25">
        <v>224</v>
      </c>
      <c r="B226" s="25" t="s">
        <v>5625</v>
      </c>
      <c r="C226" s="25" t="s">
        <v>4002</v>
      </c>
      <c r="D226" s="26" t="s">
        <v>4161</v>
      </c>
      <c r="E226" s="26" t="s">
        <v>4161</v>
      </c>
      <c r="F226" s="25" t="s">
        <v>5518</v>
      </c>
      <c r="G226" s="25" t="s">
        <v>5548</v>
      </c>
      <c r="H226" s="25"/>
      <c r="I226" s="25"/>
      <c r="J226" s="25" t="s">
        <v>240</v>
      </c>
      <c r="K226" s="25" t="s">
        <v>399</v>
      </c>
      <c r="L226" s="25" t="s">
        <v>4662</v>
      </c>
      <c r="M226" s="25" t="s">
        <v>4029</v>
      </c>
      <c r="N226" s="27" t="s">
        <v>5626</v>
      </c>
      <c r="O226" s="27" t="s">
        <v>4552</v>
      </c>
      <c r="P226" s="28">
        <v>42940</v>
      </c>
      <c r="Q226" s="28">
        <v>46592</v>
      </c>
      <c r="R226" s="25" t="str">
        <f t="shared" si="19"/>
        <v>男</v>
      </c>
      <c r="S226" s="25" t="s">
        <v>4112</v>
      </c>
      <c r="T226" s="28" t="str">
        <f t="shared" si="16"/>
        <v>1999-01-04</v>
      </c>
      <c r="U226" s="25">
        <f t="shared" ca="1" si="20"/>
        <v>27</v>
      </c>
      <c r="V226" s="25">
        <v>17358660213</v>
      </c>
      <c r="W226" s="28">
        <v>44963</v>
      </c>
      <c r="X226" s="28">
        <v>44963</v>
      </c>
      <c r="Y226" s="29" t="str">
        <f t="shared" ca="1" si="17"/>
        <v>3年2个月</v>
      </c>
      <c r="Z226" s="25"/>
      <c r="AA226" s="26" t="str">
        <f t="shared" ca="1" si="18"/>
        <v>3年2个月</v>
      </c>
      <c r="AB226" s="25" t="s">
        <v>253</v>
      </c>
      <c r="AC226" s="25" t="s">
        <v>272</v>
      </c>
      <c r="AD226" s="57" t="s">
        <v>4035</v>
      </c>
      <c r="AE226" s="25"/>
      <c r="AF226" s="25"/>
      <c r="AG226" s="27"/>
      <c r="AH226" s="25"/>
      <c r="AI226" s="25"/>
      <c r="AJ226" s="25"/>
      <c r="AK226" s="27"/>
      <c r="AL226" s="25" t="s">
        <v>81</v>
      </c>
      <c r="AM226" s="25" t="s">
        <v>5627</v>
      </c>
      <c r="AN226" s="27" t="s">
        <v>5622</v>
      </c>
      <c r="AO226" s="25" t="s">
        <v>4778</v>
      </c>
      <c r="AP226" s="27" t="s">
        <v>5628</v>
      </c>
      <c r="AQ226" s="25" t="s">
        <v>4474</v>
      </c>
      <c r="AR226" s="57" t="s">
        <v>4382</v>
      </c>
      <c r="AS226" s="26" t="s">
        <v>4011</v>
      </c>
      <c r="AT226" s="25" t="s">
        <v>4137</v>
      </c>
      <c r="AU226" s="25" t="s">
        <v>5629</v>
      </c>
      <c r="AV226" s="25" t="s">
        <v>5629</v>
      </c>
      <c r="AW226" s="30">
        <v>46507</v>
      </c>
      <c r="AX226" s="28">
        <v>44963</v>
      </c>
      <c r="AY226" s="28">
        <v>45327</v>
      </c>
      <c r="AZ226" s="28">
        <v>46507</v>
      </c>
      <c r="BA226" s="28"/>
      <c r="BB226" s="28"/>
      <c r="BC226" s="25"/>
      <c r="BD226" s="25"/>
      <c r="BE226" s="25"/>
      <c r="BF226" s="25"/>
      <c r="BG226" s="25"/>
      <c r="BH226" s="25"/>
      <c r="BI226" s="27"/>
    </row>
    <row r="227" spans="1:61" ht="15.6" x14ac:dyDescent="0.25">
      <c r="A227" s="25">
        <v>225</v>
      </c>
      <c r="B227" s="25" t="s">
        <v>5630</v>
      </c>
      <c r="C227" s="25" t="s">
        <v>4002</v>
      </c>
      <c r="D227" s="26" t="s">
        <v>4161</v>
      </c>
      <c r="E227" s="26" t="s">
        <v>4161</v>
      </c>
      <c r="F227" s="25" t="s">
        <v>5518</v>
      </c>
      <c r="G227" s="25" t="s">
        <v>5548</v>
      </c>
      <c r="H227" s="25"/>
      <c r="I227" s="25"/>
      <c r="J227" s="25" t="s">
        <v>240</v>
      </c>
      <c r="K227" s="25" t="s">
        <v>399</v>
      </c>
      <c r="L227" s="25" t="s">
        <v>4662</v>
      </c>
      <c r="M227" s="25" t="s">
        <v>4029</v>
      </c>
      <c r="N227" s="27" t="s">
        <v>5631</v>
      </c>
      <c r="O227" s="27" t="s">
        <v>4460</v>
      </c>
      <c r="P227" s="28">
        <v>42972</v>
      </c>
      <c r="Q227" s="28">
        <v>46624</v>
      </c>
      <c r="R227" s="25" t="str">
        <f t="shared" si="19"/>
        <v>男</v>
      </c>
      <c r="S227" s="25" t="s">
        <v>4082</v>
      </c>
      <c r="T227" s="28" t="str">
        <f t="shared" si="16"/>
        <v>1999-10-20</v>
      </c>
      <c r="U227" s="25">
        <f t="shared" ca="1" si="20"/>
        <v>26</v>
      </c>
      <c r="V227" s="25">
        <v>15502925583</v>
      </c>
      <c r="W227" s="28">
        <v>45139</v>
      </c>
      <c r="X227" s="28">
        <v>45139</v>
      </c>
      <c r="Y227" s="29" t="str">
        <f t="shared" ca="1" si="17"/>
        <v>2年8个月</v>
      </c>
      <c r="Z227" s="25"/>
      <c r="AA227" s="26" t="str">
        <f t="shared" ca="1" si="18"/>
        <v>2年8个月</v>
      </c>
      <c r="AB227" s="25" t="s">
        <v>253</v>
      </c>
      <c r="AC227" s="25" t="s">
        <v>272</v>
      </c>
      <c r="AD227" s="57" t="s">
        <v>4035</v>
      </c>
      <c r="AE227" s="25"/>
      <c r="AF227" s="25"/>
      <c r="AG227" s="27"/>
      <c r="AH227" s="25"/>
      <c r="AI227" s="25"/>
      <c r="AJ227" s="25"/>
      <c r="AK227" s="27"/>
      <c r="AL227" s="25" t="s">
        <v>81</v>
      </c>
      <c r="AM227" s="25" t="s">
        <v>3987</v>
      </c>
      <c r="AN227" s="27" t="s">
        <v>5632</v>
      </c>
      <c r="AO227" s="25" t="s">
        <v>5633</v>
      </c>
      <c r="AP227" s="27" t="s">
        <v>5634</v>
      </c>
      <c r="AQ227" s="25" t="s">
        <v>4474</v>
      </c>
      <c r="AR227" s="57" t="s">
        <v>4382</v>
      </c>
      <c r="AS227" s="26" t="s">
        <v>4011</v>
      </c>
      <c r="AT227" s="25" t="s">
        <v>4419</v>
      </c>
      <c r="AU227" s="25" t="s">
        <v>5635</v>
      </c>
      <c r="AV227" s="25" t="s">
        <v>5636</v>
      </c>
      <c r="AW227" s="30">
        <v>46599</v>
      </c>
      <c r="AX227" s="28">
        <v>45139</v>
      </c>
      <c r="AY227" s="28">
        <v>45504</v>
      </c>
      <c r="AZ227" s="28">
        <v>46599</v>
      </c>
      <c r="BA227" s="28"/>
      <c r="BB227" s="28"/>
      <c r="BC227" s="25"/>
      <c r="BD227" s="25"/>
      <c r="BE227" s="25"/>
      <c r="BF227" s="25"/>
      <c r="BG227" s="25"/>
      <c r="BH227" s="25"/>
      <c r="BI227" s="27"/>
    </row>
    <row r="228" spans="1:61" ht="15.6" x14ac:dyDescent="0.25">
      <c r="A228" s="25">
        <v>226</v>
      </c>
      <c r="B228" s="25" t="s">
        <v>5637</v>
      </c>
      <c r="C228" s="25" t="s">
        <v>4002</v>
      </c>
      <c r="D228" s="26" t="s">
        <v>4161</v>
      </c>
      <c r="E228" s="26" t="s">
        <v>4161</v>
      </c>
      <c r="F228" s="25" t="s">
        <v>5518</v>
      </c>
      <c r="G228" s="25" t="s">
        <v>5548</v>
      </c>
      <c r="H228" s="25"/>
      <c r="I228" s="25"/>
      <c r="J228" s="25" t="s">
        <v>240</v>
      </c>
      <c r="K228" s="25" t="s">
        <v>399</v>
      </c>
      <c r="L228" s="25" t="s">
        <v>4662</v>
      </c>
      <c r="M228" s="25" t="s">
        <v>4029</v>
      </c>
      <c r="N228" s="27" t="s">
        <v>5638</v>
      </c>
      <c r="O228" s="27" t="s">
        <v>4926</v>
      </c>
      <c r="P228" s="28">
        <v>43642</v>
      </c>
      <c r="Q228" s="28">
        <v>47295</v>
      </c>
      <c r="R228" s="25" t="str">
        <f t="shared" si="19"/>
        <v>女</v>
      </c>
      <c r="S228" s="25" t="s">
        <v>3984</v>
      </c>
      <c r="T228" s="28" t="str">
        <f t="shared" si="16"/>
        <v>2001-09-03</v>
      </c>
      <c r="U228" s="25">
        <f t="shared" ca="1" si="20"/>
        <v>24</v>
      </c>
      <c r="V228" s="25">
        <v>18082903252</v>
      </c>
      <c r="W228" s="28">
        <v>45159</v>
      </c>
      <c r="X228" s="28">
        <v>45159</v>
      </c>
      <c r="Y228" s="29" t="str">
        <f t="shared" ca="1" si="17"/>
        <v>2年7个月</v>
      </c>
      <c r="Z228" s="25"/>
      <c r="AA228" s="26" t="str">
        <f t="shared" ca="1" si="18"/>
        <v>2年7个月</v>
      </c>
      <c r="AB228" s="25" t="s">
        <v>253</v>
      </c>
      <c r="AC228" s="25" t="s">
        <v>272</v>
      </c>
      <c r="AD228" s="57" t="s">
        <v>4035</v>
      </c>
      <c r="AE228" s="25"/>
      <c r="AF228" s="25"/>
      <c r="AG228" s="27"/>
      <c r="AH228" s="25"/>
      <c r="AI228" s="25"/>
      <c r="AJ228" s="25"/>
      <c r="AK228" s="27"/>
      <c r="AL228" s="25" t="s">
        <v>81</v>
      </c>
      <c r="AM228" s="25" t="s">
        <v>3987</v>
      </c>
      <c r="AN228" s="27" t="s">
        <v>5639</v>
      </c>
      <c r="AO228" s="25" t="s">
        <v>5640</v>
      </c>
      <c r="AP228" s="27" t="s">
        <v>5641</v>
      </c>
      <c r="AQ228" s="25"/>
      <c r="AR228" s="57" t="s">
        <v>4755</v>
      </c>
      <c r="AS228" s="26" t="s">
        <v>4011</v>
      </c>
      <c r="AT228" s="25" t="s">
        <v>4929</v>
      </c>
      <c r="AU228" s="25" t="s">
        <v>5642</v>
      </c>
      <c r="AV228" s="25" t="s">
        <v>5642</v>
      </c>
      <c r="AW228" s="30">
        <v>46254</v>
      </c>
      <c r="AX228" s="28">
        <v>45159</v>
      </c>
      <c r="AY228" s="28">
        <v>45524</v>
      </c>
      <c r="AZ228" s="28">
        <v>46254</v>
      </c>
      <c r="BA228" s="28"/>
      <c r="BB228" s="28"/>
      <c r="BC228" s="25"/>
      <c r="BD228" s="25"/>
      <c r="BE228" s="25"/>
      <c r="BF228" s="25"/>
      <c r="BG228" s="25"/>
      <c r="BH228" s="25"/>
      <c r="BI228" s="27"/>
    </row>
    <row r="229" spans="1:61" ht="15.6" x14ac:dyDescent="0.25">
      <c r="A229" s="25">
        <v>227</v>
      </c>
      <c r="B229" s="25" t="s">
        <v>5643</v>
      </c>
      <c r="C229" s="25" t="s">
        <v>4002</v>
      </c>
      <c r="D229" s="26" t="s">
        <v>4161</v>
      </c>
      <c r="E229" s="26" t="s">
        <v>4161</v>
      </c>
      <c r="F229" s="25" t="s">
        <v>5518</v>
      </c>
      <c r="G229" s="25" t="s">
        <v>5548</v>
      </c>
      <c r="H229" s="25"/>
      <c r="I229" s="25"/>
      <c r="J229" s="25" t="s">
        <v>240</v>
      </c>
      <c r="K229" s="25" t="s">
        <v>399</v>
      </c>
      <c r="L229" s="25" t="s">
        <v>4662</v>
      </c>
      <c r="M229" s="25" t="s">
        <v>4029</v>
      </c>
      <c r="N229" s="27" t="s">
        <v>5644</v>
      </c>
      <c r="O229" s="27" t="s">
        <v>4129</v>
      </c>
      <c r="P229" s="28">
        <v>43331</v>
      </c>
      <c r="Q229" s="28">
        <v>46984</v>
      </c>
      <c r="R229" s="25" t="str">
        <f t="shared" si="19"/>
        <v>男</v>
      </c>
      <c r="S229" s="25" t="s">
        <v>3984</v>
      </c>
      <c r="T229" s="28" t="str">
        <f t="shared" si="16"/>
        <v>2000-11-02</v>
      </c>
      <c r="U229" s="25">
        <f t="shared" ca="1" si="20"/>
        <v>25</v>
      </c>
      <c r="V229" s="25">
        <v>15187464325</v>
      </c>
      <c r="W229" s="28">
        <v>45267</v>
      </c>
      <c r="X229" s="28">
        <v>45267</v>
      </c>
      <c r="Y229" s="29" t="str">
        <f t="shared" ca="1" si="17"/>
        <v>2年4个月</v>
      </c>
      <c r="Z229" s="25"/>
      <c r="AA229" s="26" t="str">
        <f t="shared" ca="1" si="18"/>
        <v>2年4个月</v>
      </c>
      <c r="AB229" s="25" t="s">
        <v>253</v>
      </c>
      <c r="AC229" s="25" t="s">
        <v>272</v>
      </c>
      <c r="AD229" s="57" t="s">
        <v>4035</v>
      </c>
      <c r="AE229" s="25"/>
      <c r="AF229" s="25"/>
      <c r="AG229" s="27"/>
      <c r="AH229" s="25"/>
      <c r="AI229" s="25"/>
      <c r="AJ229" s="25"/>
      <c r="AK229" s="27"/>
      <c r="AL229" s="25" t="s">
        <v>81</v>
      </c>
      <c r="AM229" s="25" t="s">
        <v>3987</v>
      </c>
      <c r="AN229" s="27" t="s">
        <v>5645</v>
      </c>
      <c r="AO229" s="25" t="s">
        <v>4134</v>
      </c>
      <c r="AP229" s="27" t="s">
        <v>5646</v>
      </c>
      <c r="AQ229" s="25" t="s">
        <v>4474</v>
      </c>
      <c r="AR229" s="57" t="s">
        <v>4382</v>
      </c>
      <c r="AS229" s="26" t="s">
        <v>4011</v>
      </c>
      <c r="AT229" s="25" t="s">
        <v>4225</v>
      </c>
      <c r="AU229" s="25" t="s">
        <v>5647</v>
      </c>
      <c r="AV229" s="25" t="s">
        <v>5647</v>
      </c>
      <c r="AW229" s="30">
        <v>46752</v>
      </c>
      <c r="AX229" s="28">
        <v>45267</v>
      </c>
      <c r="AY229" s="28">
        <v>45632</v>
      </c>
      <c r="AZ229" s="28">
        <v>46752</v>
      </c>
      <c r="BA229" s="28"/>
      <c r="BB229" s="28"/>
      <c r="BC229" s="25"/>
      <c r="BD229" s="25"/>
      <c r="BE229" s="25"/>
      <c r="BF229" s="25"/>
      <c r="BG229" s="25"/>
      <c r="BH229" s="25"/>
      <c r="BI229" s="27"/>
    </row>
    <row r="230" spans="1:61" ht="15.6" x14ac:dyDescent="0.25">
      <c r="A230" s="25">
        <v>228</v>
      </c>
      <c r="B230" s="25" t="s">
        <v>5648</v>
      </c>
      <c r="C230" s="25" t="s">
        <v>4002</v>
      </c>
      <c r="D230" s="26" t="s">
        <v>4161</v>
      </c>
      <c r="E230" s="26" t="s">
        <v>4161</v>
      </c>
      <c r="F230" s="25" t="s">
        <v>5518</v>
      </c>
      <c r="G230" s="25" t="s">
        <v>5548</v>
      </c>
      <c r="H230" s="25"/>
      <c r="I230" s="25"/>
      <c r="J230" s="25" t="s">
        <v>240</v>
      </c>
      <c r="K230" s="25" t="s">
        <v>399</v>
      </c>
      <c r="L230" s="25" t="s">
        <v>4662</v>
      </c>
      <c r="M230" s="25" t="s">
        <v>4029</v>
      </c>
      <c r="N230" s="27" t="s">
        <v>5649</v>
      </c>
      <c r="O230" s="27" t="s">
        <v>5650</v>
      </c>
      <c r="P230" s="28">
        <v>43273</v>
      </c>
      <c r="Q230" s="28">
        <v>46926</v>
      </c>
      <c r="R230" s="25" t="str">
        <f t="shared" si="19"/>
        <v>女</v>
      </c>
      <c r="S230" s="25" t="s">
        <v>4032</v>
      </c>
      <c r="T230" s="28" t="str">
        <f t="shared" si="16"/>
        <v>1999-08-24</v>
      </c>
      <c r="U230" s="25">
        <f t="shared" ca="1" si="20"/>
        <v>26</v>
      </c>
      <c r="V230" s="25">
        <v>15125061349</v>
      </c>
      <c r="W230" s="28">
        <v>45369</v>
      </c>
      <c r="X230" s="28">
        <v>45369</v>
      </c>
      <c r="Y230" s="29" t="str">
        <f t="shared" ca="1" si="17"/>
        <v>2年0个月</v>
      </c>
      <c r="Z230" s="25" t="s">
        <v>4060</v>
      </c>
      <c r="AA230" s="26" t="str">
        <f t="shared" ca="1" si="18"/>
        <v>2年9个月</v>
      </c>
      <c r="AB230" s="25" t="s">
        <v>253</v>
      </c>
      <c r="AC230" s="25" t="s">
        <v>272</v>
      </c>
      <c r="AD230" s="25" t="s">
        <v>4035</v>
      </c>
      <c r="AE230" s="25"/>
      <c r="AF230" s="25"/>
      <c r="AG230" s="27"/>
      <c r="AH230" s="25"/>
      <c r="AI230" s="25"/>
      <c r="AJ230" s="25"/>
      <c r="AK230" s="27"/>
      <c r="AL230" s="25" t="s">
        <v>81</v>
      </c>
      <c r="AM230" s="25" t="s">
        <v>3987</v>
      </c>
      <c r="AN230" s="27" t="s">
        <v>5651</v>
      </c>
      <c r="AO230" s="25" t="s">
        <v>5652</v>
      </c>
      <c r="AP230" s="27" t="s">
        <v>5653</v>
      </c>
      <c r="AQ230" s="25"/>
      <c r="AR230" s="25" t="s">
        <v>4382</v>
      </c>
      <c r="AS230" s="26" t="s">
        <v>4011</v>
      </c>
      <c r="AT230" s="25" t="s">
        <v>4419</v>
      </c>
      <c r="AU230" s="25" t="s">
        <v>5654</v>
      </c>
      <c r="AV230" s="25" t="s">
        <v>5655</v>
      </c>
      <c r="AW230" s="30">
        <v>46843</v>
      </c>
      <c r="AX230" s="28">
        <v>45369</v>
      </c>
      <c r="AY230" s="28">
        <v>45733</v>
      </c>
      <c r="AZ230" s="28">
        <v>46843</v>
      </c>
      <c r="BA230" s="28"/>
      <c r="BB230" s="28"/>
      <c r="BC230" s="25"/>
      <c r="BD230" s="25"/>
      <c r="BE230" s="25"/>
      <c r="BF230" s="25"/>
      <c r="BG230" s="25"/>
      <c r="BH230" s="25"/>
      <c r="BI230" s="27"/>
    </row>
    <row r="231" spans="1:61" ht="15.6" x14ac:dyDescent="0.25">
      <c r="A231" s="25">
        <v>229</v>
      </c>
      <c r="B231" s="25" t="s">
        <v>5656</v>
      </c>
      <c r="C231" s="25" t="s">
        <v>4002</v>
      </c>
      <c r="D231" s="26" t="s">
        <v>4161</v>
      </c>
      <c r="E231" s="26" t="s">
        <v>4161</v>
      </c>
      <c r="F231" s="25" t="s">
        <v>5518</v>
      </c>
      <c r="G231" s="25" t="s">
        <v>5548</v>
      </c>
      <c r="H231" s="25"/>
      <c r="I231" s="25"/>
      <c r="J231" s="25" t="s">
        <v>240</v>
      </c>
      <c r="K231" s="25" t="s">
        <v>399</v>
      </c>
      <c r="L231" s="25" t="s">
        <v>4662</v>
      </c>
      <c r="M231" s="25" t="s">
        <v>4029</v>
      </c>
      <c r="N231" s="27" t="s">
        <v>5657</v>
      </c>
      <c r="O231" s="27" t="s">
        <v>5658</v>
      </c>
      <c r="P231" s="28">
        <v>45604</v>
      </c>
      <c r="Q231" s="28">
        <v>52909</v>
      </c>
      <c r="R231" s="25" t="str">
        <f t="shared" si="19"/>
        <v>男</v>
      </c>
      <c r="S231" s="25" t="s">
        <v>3984</v>
      </c>
      <c r="T231" s="28" t="str">
        <f t="shared" si="16"/>
        <v>1995-02-19</v>
      </c>
      <c r="U231" s="25">
        <f t="shared" ca="1" si="20"/>
        <v>31</v>
      </c>
      <c r="V231" s="25">
        <v>15798739275</v>
      </c>
      <c r="W231" s="28">
        <v>44116</v>
      </c>
      <c r="X231" s="28">
        <v>44116</v>
      </c>
      <c r="Y231" s="29" t="str">
        <f t="shared" ca="1" si="17"/>
        <v>5年6个月</v>
      </c>
      <c r="Z231" s="25" t="s">
        <v>1420</v>
      </c>
      <c r="AA231" s="26" t="str">
        <f t="shared" ca="1" si="18"/>
        <v>7年2个月</v>
      </c>
      <c r="AB231" s="25" t="s">
        <v>4034</v>
      </c>
      <c r="AC231" s="25" t="s">
        <v>119</v>
      </c>
      <c r="AD231" s="25" t="s">
        <v>4035</v>
      </c>
      <c r="AE231" s="25" t="s">
        <v>4880</v>
      </c>
      <c r="AF231" s="25" t="s">
        <v>1012</v>
      </c>
      <c r="AG231" s="27" t="s">
        <v>5659</v>
      </c>
      <c r="AH231" s="25"/>
      <c r="AI231" s="25"/>
      <c r="AJ231" s="25"/>
      <c r="AK231" s="27"/>
      <c r="AL231" s="25" t="s">
        <v>81</v>
      </c>
      <c r="AM231" s="25" t="s">
        <v>3987</v>
      </c>
      <c r="AN231" s="27" t="s">
        <v>5660</v>
      </c>
      <c r="AO231" s="25" t="s">
        <v>5661</v>
      </c>
      <c r="AP231" s="27" t="s">
        <v>5662</v>
      </c>
      <c r="AQ231" s="25">
        <v>211</v>
      </c>
      <c r="AR231" s="25" t="s">
        <v>4382</v>
      </c>
      <c r="AS231" s="26" t="s">
        <v>4011</v>
      </c>
      <c r="AT231" s="25" t="s">
        <v>5663</v>
      </c>
      <c r="AU231" s="25" t="s">
        <v>5664</v>
      </c>
      <c r="AV231" s="25" t="s">
        <v>5664</v>
      </c>
      <c r="AW231" s="30">
        <v>47330</v>
      </c>
      <c r="AX231" s="28">
        <v>44116</v>
      </c>
      <c r="AY231" s="28">
        <v>44480</v>
      </c>
      <c r="AZ231" s="28">
        <v>45504</v>
      </c>
      <c r="BA231" s="28">
        <v>47330</v>
      </c>
      <c r="BB231" s="28"/>
      <c r="BC231" s="25"/>
      <c r="BD231" s="25"/>
      <c r="BE231" s="25"/>
      <c r="BF231" s="25"/>
      <c r="BG231" s="25"/>
      <c r="BH231" s="25"/>
      <c r="BI231" s="27"/>
    </row>
    <row r="232" spans="1:61" ht="15.6" x14ac:dyDescent="0.25">
      <c r="A232" s="25">
        <v>230</v>
      </c>
      <c r="B232" s="25" t="s">
        <v>5665</v>
      </c>
      <c r="C232" s="25" t="s">
        <v>4002</v>
      </c>
      <c r="D232" s="26" t="s">
        <v>4161</v>
      </c>
      <c r="E232" s="26" t="s">
        <v>4161</v>
      </c>
      <c r="F232" s="25" t="s">
        <v>5518</v>
      </c>
      <c r="G232" s="25" t="s">
        <v>5548</v>
      </c>
      <c r="H232" s="25"/>
      <c r="I232" s="25"/>
      <c r="J232" s="25" t="s">
        <v>2761</v>
      </c>
      <c r="K232" s="25" t="s">
        <v>399</v>
      </c>
      <c r="L232" s="25" t="s">
        <v>4662</v>
      </c>
      <c r="M232" s="25" t="s">
        <v>4029</v>
      </c>
      <c r="N232" s="27" t="s">
        <v>5666</v>
      </c>
      <c r="O232" s="27" t="s">
        <v>5667</v>
      </c>
      <c r="P232" s="28">
        <v>43671</v>
      </c>
      <c r="Q232" s="28">
        <v>50976</v>
      </c>
      <c r="R232" s="25" t="str">
        <f t="shared" si="19"/>
        <v>男</v>
      </c>
      <c r="S232" s="25" t="s">
        <v>5668</v>
      </c>
      <c r="T232" s="28" t="str">
        <f t="shared" si="16"/>
        <v>1991-04-21</v>
      </c>
      <c r="U232" s="25">
        <f t="shared" ca="1" si="20"/>
        <v>34</v>
      </c>
      <c r="V232" s="25">
        <v>13888653731</v>
      </c>
      <c r="W232" s="28">
        <v>43836</v>
      </c>
      <c r="X232" s="28">
        <v>41456</v>
      </c>
      <c r="Y232" s="29" t="str">
        <f t="shared" ca="1" si="17"/>
        <v>12年9个月</v>
      </c>
      <c r="Z232" s="25"/>
      <c r="AA232" s="26" t="str">
        <f t="shared" ca="1" si="18"/>
        <v>12年9个月</v>
      </c>
      <c r="AB232" s="25" t="s">
        <v>29</v>
      </c>
      <c r="AC232" s="25" t="s">
        <v>3985</v>
      </c>
      <c r="AD232" s="25" t="s">
        <v>4035</v>
      </c>
      <c r="AE232" s="25" t="s">
        <v>4880</v>
      </c>
      <c r="AF232" s="25" t="s">
        <v>1012</v>
      </c>
      <c r="AG232" s="27" t="s">
        <v>5669</v>
      </c>
      <c r="AH232" s="25"/>
      <c r="AI232" s="25"/>
      <c r="AJ232" s="25"/>
      <c r="AK232" s="27"/>
      <c r="AL232" s="25" t="s">
        <v>305</v>
      </c>
      <c r="AM232" s="25"/>
      <c r="AN232" s="27" t="s">
        <v>4039</v>
      </c>
      <c r="AO232" s="25" t="s">
        <v>5670</v>
      </c>
      <c r="AP232" s="27" t="s">
        <v>5671</v>
      </c>
      <c r="AQ232" s="25"/>
      <c r="AR232" s="25" t="s">
        <v>5672</v>
      </c>
      <c r="AS232" s="26" t="s">
        <v>4011</v>
      </c>
      <c r="AT232" s="25" t="s">
        <v>5673</v>
      </c>
      <c r="AU232" s="25" t="s">
        <v>2759</v>
      </c>
      <c r="AV232" s="25" t="s">
        <v>2759</v>
      </c>
      <c r="AW232" s="30" t="s">
        <v>4000</v>
      </c>
      <c r="AX232" s="28">
        <v>43836</v>
      </c>
      <c r="AY232" s="28" t="s">
        <v>4000</v>
      </c>
      <c r="AZ232" s="28"/>
      <c r="BA232" s="28"/>
      <c r="BB232" s="28"/>
      <c r="BC232" s="25"/>
      <c r="BD232" s="25"/>
      <c r="BE232" s="25"/>
      <c r="BF232" s="25"/>
      <c r="BG232" s="25"/>
      <c r="BH232" s="25"/>
      <c r="BI232" s="56" t="s">
        <v>5674</v>
      </c>
    </row>
    <row r="233" spans="1:61" ht="15.6" x14ac:dyDescent="0.25">
      <c r="A233" s="25">
        <v>231</v>
      </c>
      <c r="B233" s="25" t="s">
        <v>5675</v>
      </c>
      <c r="C233" s="25" t="s">
        <v>4002</v>
      </c>
      <c r="D233" s="26" t="s">
        <v>4161</v>
      </c>
      <c r="E233" s="26" t="s">
        <v>4161</v>
      </c>
      <c r="F233" s="25" t="s">
        <v>5518</v>
      </c>
      <c r="G233" s="25" t="s">
        <v>5676</v>
      </c>
      <c r="H233" s="25"/>
      <c r="I233" s="25"/>
      <c r="J233" s="25" t="s">
        <v>5677</v>
      </c>
      <c r="K233" s="25" t="s">
        <v>676</v>
      </c>
      <c r="L233" s="25" t="s">
        <v>4016</v>
      </c>
      <c r="M233" s="25" t="s">
        <v>4080</v>
      </c>
      <c r="N233" s="27" t="s">
        <v>5678</v>
      </c>
      <c r="O233" s="27" t="s">
        <v>4397</v>
      </c>
      <c r="P233" s="28">
        <v>44599</v>
      </c>
      <c r="Q233" s="28">
        <v>51904</v>
      </c>
      <c r="R233" s="25" t="str">
        <f t="shared" si="19"/>
        <v>男</v>
      </c>
      <c r="S233" s="25" t="s">
        <v>3984</v>
      </c>
      <c r="T233" s="28" t="str">
        <f t="shared" si="16"/>
        <v>1986-04-20</v>
      </c>
      <c r="U233" s="25">
        <f t="shared" ca="1" si="20"/>
        <v>39</v>
      </c>
      <c r="V233" s="25">
        <v>13529163455</v>
      </c>
      <c r="W233" s="28">
        <v>43836</v>
      </c>
      <c r="X233" s="28">
        <v>41772</v>
      </c>
      <c r="Y233" s="29" t="str">
        <f t="shared" ca="1" si="17"/>
        <v>11年11个月</v>
      </c>
      <c r="Z233" s="25"/>
      <c r="AA233" s="26" t="str">
        <f t="shared" ca="1" si="18"/>
        <v>11年11个月</v>
      </c>
      <c r="AB233" s="25" t="s">
        <v>29</v>
      </c>
      <c r="AC233" s="25" t="s">
        <v>3985</v>
      </c>
      <c r="AD233" s="25" t="s">
        <v>3986</v>
      </c>
      <c r="AE233" s="25" t="s">
        <v>1654</v>
      </c>
      <c r="AF233" s="25" t="s">
        <v>1012</v>
      </c>
      <c r="AG233" s="27" t="s">
        <v>5679</v>
      </c>
      <c r="AH233" s="25"/>
      <c r="AI233" s="25"/>
      <c r="AJ233" s="25"/>
      <c r="AK233" s="27"/>
      <c r="AL233" s="25" t="s">
        <v>81</v>
      </c>
      <c r="AM233" s="25" t="s">
        <v>3987</v>
      </c>
      <c r="AN233" s="27" t="s">
        <v>5680</v>
      </c>
      <c r="AO233" s="25" t="s">
        <v>5681</v>
      </c>
      <c r="AP233" s="27" t="s">
        <v>5682</v>
      </c>
      <c r="AQ233" s="25"/>
      <c r="AR233" s="25" t="s">
        <v>4382</v>
      </c>
      <c r="AS233" s="26" t="s">
        <v>4011</v>
      </c>
      <c r="AT233" s="25" t="s">
        <v>4658</v>
      </c>
      <c r="AU233" s="25" t="s">
        <v>2487</v>
      </c>
      <c r="AV233" s="25" t="s">
        <v>2487</v>
      </c>
      <c r="AW233" s="30" t="s">
        <v>4000</v>
      </c>
      <c r="AX233" s="28">
        <v>43836</v>
      </c>
      <c r="AY233" s="28" t="s">
        <v>4000</v>
      </c>
      <c r="AZ233" s="28"/>
      <c r="BA233" s="28"/>
      <c r="BB233" s="28"/>
      <c r="BC233" s="25"/>
      <c r="BD233" s="25"/>
      <c r="BE233" s="25"/>
      <c r="BF233" s="25"/>
      <c r="BG233" s="25"/>
      <c r="BH233" s="25"/>
      <c r="BI233" s="27"/>
    </row>
    <row r="234" spans="1:61" ht="15.6" x14ac:dyDescent="0.25">
      <c r="A234" s="25">
        <v>232</v>
      </c>
      <c r="B234" s="25" t="s">
        <v>5683</v>
      </c>
      <c r="C234" s="25" t="s">
        <v>4002</v>
      </c>
      <c r="D234" s="26" t="s">
        <v>4161</v>
      </c>
      <c r="E234" s="26" t="s">
        <v>4161</v>
      </c>
      <c r="F234" s="25" t="s">
        <v>5518</v>
      </c>
      <c r="G234" s="25" t="s">
        <v>5676</v>
      </c>
      <c r="H234" s="25"/>
      <c r="I234" s="25"/>
      <c r="J234" s="25" t="s">
        <v>1796</v>
      </c>
      <c r="K234" s="25" t="s">
        <v>399</v>
      </c>
      <c r="L234" s="25" t="s">
        <v>5177</v>
      </c>
      <c r="M234" s="25" t="s">
        <v>4029</v>
      </c>
      <c r="N234" s="27" t="s">
        <v>5684</v>
      </c>
      <c r="O234" s="27" t="s">
        <v>3981</v>
      </c>
      <c r="P234" s="28">
        <v>42459</v>
      </c>
      <c r="Q234" s="28">
        <v>49764</v>
      </c>
      <c r="R234" s="25" t="str">
        <f t="shared" si="19"/>
        <v>女</v>
      </c>
      <c r="S234" s="25" t="s">
        <v>3984</v>
      </c>
      <c r="T234" s="28" t="str">
        <f t="shared" si="16"/>
        <v>1981-10-23</v>
      </c>
      <c r="U234" s="25">
        <f t="shared" ca="1" si="20"/>
        <v>44</v>
      </c>
      <c r="V234" s="25">
        <v>13888072406</v>
      </c>
      <c r="W234" s="28">
        <v>43836</v>
      </c>
      <c r="X234" s="28">
        <v>40742</v>
      </c>
      <c r="Y234" s="29" t="str">
        <f t="shared" ca="1" si="17"/>
        <v>14年8个月</v>
      </c>
      <c r="Z234" s="25" t="s">
        <v>4520</v>
      </c>
      <c r="AA234" s="26" t="str">
        <f t="shared" ca="1" si="18"/>
        <v>16年7个月</v>
      </c>
      <c r="AB234" s="25" t="s">
        <v>29</v>
      </c>
      <c r="AC234" s="25" t="s">
        <v>28</v>
      </c>
      <c r="AD234" s="25" t="s">
        <v>3986</v>
      </c>
      <c r="AE234" s="25" t="s">
        <v>1654</v>
      </c>
      <c r="AF234" s="25" t="s">
        <v>1012</v>
      </c>
      <c r="AG234" s="27" t="s">
        <v>5685</v>
      </c>
      <c r="AH234" s="25"/>
      <c r="AI234" s="25"/>
      <c r="AJ234" s="25"/>
      <c r="AK234" s="27"/>
      <c r="AL234" s="25" t="s">
        <v>87</v>
      </c>
      <c r="AM234" s="25" t="s">
        <v>3987</v>
      </c>
      <c r="AN234" s="27" t="s">
        <v>5686</v>
      </c>
      <c r="AO234" s="25" t="s">
        <v>4062</v>
      </c>
      <c r="AP234" s="27" t="s">
        <v>5687</v>
      </c>
      <c r="AQ234" s="25"/>
      <c r="AR234" s="27" t="s">
        <v>5688</v>
      </c>
      <c r="AS234" s="26" t="s">
        <v>4011</v>
      </c>
      <c r="AT234" s="25" t="s">
        <v>668</v>
      </c>
      <c r="AU234" s="25" t="s">
        <v>5689</v>
      </c>
      <c r="AV234" s="25" t="s">
        <v>5690</v>
      </c>
      <c r="AW234" s="30" t="s">
        <v>4000</v>
      </c>
      <c r="AX234" s="28">
        <v>43836</v>
      </c>
      <c r="AY234" s="28">
        <v>45662</v>
      </c>
      <c r="AZ234" s="28" t="s">
        <v>4000</v>
      </c>
      <c r="BA234" s="28"/>
      <c r="BB234" s="28"/>
      <c r="BC234" s="25"/>
      <c r="BD234" s="25"/>
      <c r="BE234" s="25"/>
      <c r="BF234" s="25"/>
      <c r="BG234" s="25"/>
      <c r="BH234" s="25"/>
      <c r="BI234" s="27"/>
    </row>
    <row r="235" spans="1:61" ht="15.6" x14ac:dyDescent="0.25">
      <c r="A235" s="25">
        <v>233</v>
      </c>
      <c r="B235" s="25" t="s">
        <v>5691</v>
      </c>
      <c r="C235" s="25" t="s">
        <v>4002</v>
      </c>
      <c r="D235" s="26" t="s">
        <v>4161</v>
      </c>
      <c r="E235" s="26" t="s">
        <v>4161</v>
      </c>
      <c r="F235" s="25" t="s">
        <v>5518</v>
      </c>
      <c r="G235" s="25" t="s">
        <v>5676</v>
      </c>
      <c r="H235" s="25"/>
      <c r="I235" s="25"/>
      <c r="J235" s="25" t="s">
        <v>634</v>
      </c>
      <c r="K235" s="25" t="s">
        <v>399</v>
      </c>
      <c r="L235" s="25" t="s">
        <v>4662</v>
      </c>
      <c r="M235" s="25" t="s">
        <v>4029</v>
      </c>
      <c r="N235" s="27" t="s">
        <v>5692</v>
      </c>
      <c r="O235" s="27" t="s">
        <v>4552</v>
      </c>
      <c r="P235" s="28">
        <v>44690</v>
      </c>
      <c r="Q235" s="28">
        <v>51995</v>
      </c>
      <c r="R235" s="25" t="str">
        <f t="shared" si="19"/>
        <v>男</v>
      </c>
      <c r="S235" s="25" t="s">
        <v>3984</v>
      </c>
      <c r="T235" s="28" t="str">
        <f t="shared" si="16"/>
        <v>1992-09-08</v>
      </c>
      <c r="U235" s="25">
        <f t="shared" ca="1" si="20"/>
        <v>33</v>
      </c>
      <c r="V235" s="25">
        <v>15887124706</v>
      </c>
      <c r="W235" s="28">
        <v>43836</v>
      </c>
      <c r="X235" s="28">
        <v>43363</v>
      </c>
      <c r="Y235" s="29" t="str">
        <f t="shared" ca="1" si="17"/>
        <v>7年6个月</v>
      </c>
      <c r="Z235" s="25" t="s">
        <v>4327</v>
      </c>
      <c r="AA235" s="26" t="str">
        <f t="shared" ca="1" si="18"/>
        <v>8年6个月</v>
      </c>
      <c r="AB235" s="25" t="s">
        <v>29</v>
      </c>
      <c r="AC235" s="25" t="s">
        <v>3985</v>
      </c>
      <c r="AD235" s="25" t="s">
        <v>4035</v>
      </c>
      <c r="AE235" s="25" t="s">
        <v>4880</v>
      </c>
      <c r="AF235" s="25" t="s">
        <v>1012</v>
      </c>
      <c r="AG235" s="27" t="s">
        <v>5693</v>
      </c>
      <c r="AH235" s="25"/>
      <c r="AI235" s="25"/>
      <c r="AJ235" s="25"/>
      <c r="AK235" s="27"/>
      <c r="AL235" s="25" t="s">
        <v>81</v>
      </c>
      <c r="AM235" s="25" t="s">
        <v>3987</v>
      </c>
      <c r="AN235" s="27" t="s">
        <v>5694</v>
      </c>
      <c r="AO235" s="25" t="s">
        <v>4062</v>
      </c>
      <c r="AP235" s="27" t="s">
        <v>5695</v>
      </c>
      <c r="AQ235" s="25"/>
      <c r="AR235" s="25" t="s">
        <v>4755</v>
      </c>
      <c r="AS235" s="26" t="s">
        <v>4011</v>
      </c>
      <c r="AT235" s="25" t="s">
        <v>4137</v>
      </c>
      <c r="AU235" s="25" t="s">
        <v>5696</v>
      </c>
      <c r="AV235" s="25" t="s">
        <v>5696</v>
      </c>
      <c r="AW235" s="30">
        <v>46873</v>
      </c>
      <c r="AX235" s="28">
        <v>43836</v>
      </c>
      <c r="AY235" s="28">
        <v>44931</v>
      </c>
      <c r="AZ235" s="28">
        <v>46873</v>
      </c>
      <c r="BA235" s="28"/>
      <c r="BB235" s="28"/>
      <c r="BC235" s="25"/>
      <c r="BD235" s="25"/>
      <c r="BE235" s="25"/>
      <c r="BF235" s="25"/>
      <c r="BG235" s="25"/>
      <c r="BH235" s="25"/>
      <c r="BI235" s="27"/>
    </row>
    <row r="236" spans="1:61" ht="15.6" x14ac:dyDescent="0.25">
      <c r="A236" s="25">
        <v>234</v>
      </c>
      <c r="B236" s="25" t="s">
        <v>5697</v>
      </c>
      <c r="C236" s="25" t="s">
        <v>4002</v>
      </c>
      <c r="D236" s="26" t="s">
        <v>4161</v>
      </c>
      <c r="E236" s="26" t="s">
        <v>4161</v>
      </c>
      <c r="F236" s="25" t="s">
        <v>5518</v>
      </c>
      <c r="G236" s="25" t="s">
        <v>5676</v>
      </c>
      <c r="H236" s="25"/>
      <c r="I236" s="25"/>
      <c r="J236" s="25" t="s">
        <v>634</v>
      </c>
      <c r="K236" s="25" t="s">
        <v>399</v>
      </c>
      <c r="L236" s="25" t="s">
        <v>4662</v>
      </c>
      <c r="M236" s="25" t="s">
        <v>4029</v>
      </c>
      <c r="N236" s="27" t="s">
        <v>5698</v>
      </c>
      <c r="O236" s="27" t="s">
        <v>4860</v>
      </c>
      <c r="P236" s="28">
        <v>44034</v>
      </c>
      <c r="Q236" s="28">
        <v>47686</v>
      </c>
      <c r="R236" s="25" t="str">
        <f t="shared" si="19"/>
        <v>男</v>
      </c>
      <c r="S236" s="25" t="s">
        <v>3984</v>
      </c>
      <c r="T236" s="28" t="str">
        <f t="shared" si="16"/>
        <v>2001-06-24</v>
      </c>
      <c r="U236" s="25">
        <f t="shared" ca="1" si="20"/>
        <v>24</v>
      </c>
      <c r="V236" s="25">
        <v>15287575930</v>
      </c>
      <c r="W236" s="28">
        <v>45693</v>
      </c>
      <c r="X236" s="28">
        <v>45693</v>
      </c>
      <c r="Y236" s="29" t="str">
        <f t="shared" ca="1" si="17"/>
        <v>1年2个月</v>
      </c>
      <c r="Z236" s="25" t="s">
        <v>1368</v>
      </c>
      <c r="AA236" s="26" t="str">
        <f t="shared" ca="1" si="18"/>
        <v>2年8个月</v>
      </c>
      <c r="AB236" s="25" t="s">
        <v>4049</v>
      </c>
      <c r="AC236" s="25" t="s">
        <v>272</v>
      </c>
      <c r="AD236" s="25" t="s">
        <v>4234</v>
      </c>
      <c r="AE236" s="25"/>
      <c r="AF236" s="25"/>
      <c r="AG236" s="27"/>
      <c r="AH236" s="25"/>
      <c r="AI236" s="25"/>
      <c r="AJ236" s="25"/>
      <c r="AK236" s="27"/>
      <c r="AL236" s="25" t="s">
        <v>81</v>
      </c>
      <c r="AM236" s="25" t="s">
        <v>3987</v>
      </c>
      <c r="AN236" s="27" t="s">
        <v>5699</v>
      </c>
      <c r="AO236" s="25" t="s">
        <v>4484</v>
      </c>
      <c r="AP236" s="27" t="s">
        <v>5700</v>
      </c>
      <c r="AQ236" s="25">
        <v>211</v>
      </c>
      <c r="AR236" s="25" t="s">
        <v>4676</v>
      </c>
      <c r="AS236" s="26" t="s">
        <v>4088</v>
      </c>
      <c r="AT236" s="25" t="s">
        <v>4722</v>
      </c>
      <c r="AU236" s="25" t="s">
        <v>5701</v>
      </c>
      <c r="AV236" s="25" t="s">
        <v>5701</v>
      </c>
      <c r="AW236" s="30">
        <v>47177</v>
      </c>
      <c r="AX236" s="28">
        <v>45693</v>
      </c>
      <c r="AY236" s="28">
        <v>46057</v>
      </c>
      <c r="AZ236" s="28">
        <v>47177</v>
      </c>
      <c r="BA236" s="28"/>
      <c r="BB236" s="28"/>
      <c r="BC236" s="25"/>
      <c r="BD236" s="25"/>
      <c r="BE236" s="25"/>
      <c r="BF236" s="25"/>
      <c r="BG236" s="25"/>
      <c r="BH236" s="25"/>
      <c r="BI236" s="27"/>
    </row>
    <row r="237" spans="1:61" ht="15.6" x14ac:dyDescent="0.25">
      <c r="A237" s="25">
        <v>235</v>
      </c>
      <c r="B237" s="25" t="s">
        <v>5702</v>
      </c>
      <c r="C237" s="25" t="s">
        <v>4002</v>
      </c>
      <c r="D237" s="26" t="s">
        <v>4161</v>
      </c>
      <c r="E237" s="26" t="s">
        <v>4161</v>
      </c>
      <c r="F237" s="25" t="s">
        <v>5518</v>
      </c>
      <c r="G237" s="25" t="s">
        <v>5676</v>
      </c>
      <c r="H237" s="25"/>
      <c r="I237" s="25"/>
      <c r="J237" s="25" t="s">
        <v>634</v>
      </c>
      <c r="K237" s="25" t="s">
        <v>399</v>
      </c>
      <c r="L237" s="25" t="s">
        <v>4662</v>
      </c>
      <c r="M237" s="25" t="s">
        <v>4029</v>
      </c>
      <c r="N237" s="27" t="s">
        <v>5703</v>
      </c>
      <c r="O237" s="27" t="s">
        <v>5704</v>
      </c>
      <c r="P237" s="28">
        <v>43650</v>
      </c>
      <c r="Q237" s="28">
        <v>47303</v>
      </c>
      <c r="R237" s="25" t="str">
        <f t="shared" si="19"/>
        <v>男</v>
      </c>
      <c r="S237" s="25" t="s">
        <v>3984</v>
      </c>
      <c r="T237" s="28" t="str">
        <f t="shared" si="16"/>
        <v>1996-09-19</v>
      </c>
      <c r="U237" s="25">
        <f t="shared" ca="1" si="20"/>
        <v>29</v>
      </c>
      <c r="V237" s="25">
        <v>17337375261</v>
      </c>
      <c r="W237" s="28">
        <v>45831</v>
      </c>
      <c r="X237" s="28">
        <v>45831</v>
      </c>
      <c r="Y237" s="29" t="str">
        <f t="shared" ca="1" si="17"/>
        <v>0年9个月</v>
      </c>
      <c r="Z237" s="25" t="s">
        <v>4520</v>
      </c>
      <c r="AA237" s="26" t="str">
        <f t="shared" ca="1" si="18"/>
        <v>2年8个月</v>
      </c>
      <c r="AB237" s="25" t="s">
        <v>4049</v>
      </c>
      <c r="AC237" s="25" t="s">
        <v>119</v>
      </c>
      <c r="AD237" s="25" t="s">
        <v>4234</v>
      </c>
      <c r="AE237" s="25"/>
      <c r="AF237" s="25"/>
      <c r="AG237" s="27"/>
      <c r="AH237" s="25"/>
      <c r="AI237" s="25"/>
      <c r="AJ237" s="25"/>
      <c r="AK237" s="27"/>
      <c r="AL237" s="25" t="s">
        <v>81</v>
      </c>
      <c r="AM237" s="25" t="s">
        <v>3987</v>
      </c>
      <c r="AN237" s="27" t="s">
        <v>5705</v>
      </c>
      <c r="AO237" s="25" t="s">
        <v>4813</v>
      </c>
      <c r="AP237" s="27" t="s">
        <v>5706</v>
      </c>
      <c r="AQ237" s="25" t="s">
        <v>4474</v>
      </c>
      <c r="AR237" s="25" t="s">
        <v>4382</v>
      </c>
      <c r="AS237" s="26" t="s">
        <v>4011</v>
      </c>
      <c r="AT237" s="25" t="s">
        <v>4722</v>
      </c>
      <c r="AU237" s="25" t="s">
        <v>5707</v>
      </c>
      <c r="AV237" s="25" t="s">
        <v>5707</v>
      </c>
      <c r="AW237" s="30">
        <v>46195</v>
      </c>
      <c r="AX237" s="28">
        <v>45831</v>
      </c>
      <c r="AY237" s="28">
        <v>46195</v>
      </c>
      <c r="AZ237" s="28"/>
      <c r="BA237" s="28"/>
      <c r="BB237" s="28"/>
      <c r="BC237" s="25"/>
      <c r="BD237" s="25"/>
      <c r="BE237" s="25"/>
      <c r="BF237" s="25"/>
      <c r="BG237" s="25"/>
      <c r="BH237" s="25"/>
      <c r="BI237" s="27"/>
    </row>
    <row r="238" spans="1:61" ht="15.6" x14ac:dyDescent="0.25">
      <c r="A238" s="25">
        <v>236</v>
      </c>
      <c r="B238" s="25" t="s">
        <v>5708</v>
      </c>
      <c r="C238" s="25" t="s">
        <v>4002</v>
      </c>
      <c r="D238" s="26" t="s">
        <v>4161</v>
      </c>
      <c r="E238" s="26" t="s">
        <v>4161</v>
      </c>
      <c r="F238" s="25" t="s">
        <v>5518</v>
      </c>
      <c r="G238" s="25" t="s">
        <v>5676</v>
      </c>
      <c r="H238" s="25"/>
      <c r="I238" s="25"/>
      <c r="J238" s="25" t="s">
        <v>634</v>
      </c>
      <c r="K238" s="25" t="s">
        <v>399</v>
      </c>
      <c r="L238" s="25" t="s">
        <v>4662</v>
      </c>
      <c r="M238" s="25" t="s">
        <v>4029</v>
      </c>
      <c r="N238" s="27" t="s">
        <v>5709</v>
      </c>
      <c r="O238" s="27" t="s">
        <v>5017</v>
      </c>
      <c r="P238" s="28">
        <v>43184</v>
      </c>
      <c r="Q238" s="28">
        <v>46837</v>
      </c>
      <c r="R238" s="25" t="str">
        <f t="shared" si="19"/>
        <v>女</v>
      </c>
      <c r="S238" s="25" t="s">
        <v>3984</v>
      </c>
      <c r="T238" s="28" t="str">
        <f t="shared" si="16"/>
        <v>1999-09-22</v>
      </c>
      <c r="U238" s="25">
        <f t="shared" ca="1" si="20"/>
        <v>26</v>
      </c>
      <c r="V238" s="25">
        <v>13330581351</v>
      </c>
      <c r="W238" s="28">
        <v>45579</v>
      </c>
      <c r="X238" s="28">
        <v>45579</v>
      </c>
      <c r="Y238" s="29" t="str">
        <f t="shared" ca="1" si="17"/>
        <v>1年5个月</v>
      </c>
      <c r="Z238" s="25" t="s">
        <v>4655</v>
      </c>
      <c r="AA238" s="26" t="str">
        <f t="shared" ca="1" si="18"/>
        <v>2年1个月</v>
      </c>
      <c r="AB238" s="25" t="s">
        <v>4049</v>
      </c>
      <c r="AC238" s="25" t="s">
        <v>272</v>
      </c>
      <c r="AD238" s="25" t="s">
        <v>4084</v>
      </c>
      <c r="AE238" s="25"/>
      <c r="AF238" s="25"/>
      <c r="AG238" s="27"/>
      <c r="AH238" s="25"/>
      <c r="AI238" s="25"/>
      <c r="AJ238" s="25"/>
      <c r="AK238" s="27"/>
      <c r="AL238" s="25" t="s">
        <v>81</v>
      </c>
      <c r="AM238" s="25" t="s">
        <v>3987</v>
      </c>
      <c r="AN238" s="27" t="s">
        <v>5710</v>
      </c>
      <c r="AO238" s="25" t="s">
        <v>5711</v>
      </c>
      <c r="AP238" s="27" t="s">
        <v>5712</v>
      </c>
      <c r="AQ238" s="25"/>
      <c r="AR238" s="57" t="s">
        <v>4382</v>
      </c>
      <c r="AS238" s="26" t="s">
        <v>4088</v>
      </c>
      <c r="AT238" s="25" t="s">
        <v>4527</v>
      </c>
      <c r="AU238" s="25" t="s">
        <v>5713</v>
      </c>
      <c r="AV238" s="25" t="s">
        <v>5713</v>
      </c>
      <c r="AW238" s="30">
        <v>47057</v>
      </c>
      <c r="AX238" s="28">
        <v>45579</v>
      </c>
      <c r="AY238" s="28">
        <v>45943</v>
      </c>
      <c r="AZ238" s="28">
        <v>47057</v>
      </c>
      <c r="BA238" s="28"/>
      <c r="BB238" s="28"/>
      <c r="BC238" s="25"/>
      <c r="BD238" s="25"/>
      <c r="BE238" s="25"/>
      <c r="BF238" s="25"/>
      <c r="BG238" s="25"/>
      <c r="BH238" s="25"/>
      <c r="BI238" s="27"/>
    </row>
    <row r="239" spans="1:61" ht="15.6" x14ac:dyDescent="0.25">
      <c r="A239" s="25">
        <v>237</v>
      </c>
      <c r="B239" s="25" t="s">
        <v>5714</v>
      </c>
      <c r="C239" s="25" t="s">
        <v>4002</v>
      </c>
      <c r="D239" s="26" t="s">
        <v>4161</v>
      </c>
      <c r="E239" s="26" t="s">
        <v>4161</v>
      </c>
      <c r="F239" s="25" t="s">
        <v>5518</v>
      </c>
      <c r="G239" s="25" t="s">
        <v>5715</v>
      </c>
      <c r="H239" s="25"/>
      <c r="I239" s="25"/>
      <c r="J239" s="25" t="s">
        <v>5716</v>
      </c>
      <c r="K239" s="25" t="s">
        <v>676</v>
      </c>
      <c r="L239" s="25" t="s">
        <v>4016</v>
      </c>
      <c r="M239" s="25" t="s">
        <v>4080</v>
      </c>
      <c r="N239" s="27" t="s">
        <v>5717</v>
      </c>
      <c r="O239" s="27" t="s">
        <v>5718</v>
      </c>
      <c r="P239" s="28">
        <v>42909</v>
      </c>
      <c r="Q239" s="28">
        <v>50214</v>
      </c>
      <c r="R239" s="25" t="str">
        <f t="shared" si="19"/>
        <v>男</v>
      </c>
      <c r="S239" s="25" t="s">
        <v>3984</v>
      </c>
      <c r="T239" s="28" t="str">
        <f t="shared" si="16"/>
        <v>1985-11-23</v>
      </c>
      <c r="U239" s="25">
        <f t="shared" ca="1" si="20"/>
        <v>40</v>
      </c>
      <c r="V239" s="25">
        <v>15987133070</v>
      </c>
      <c r="W239" s="28">
        <v>43836</v>
      </c>
      <c r="X239" s="28">
        <v>41164</v>
      </c>
      <c r="Y239" s="29" t="str">
        <f t="shared" ca="1" si="17"/>
        <v>13年7个月</v>
      </c>
      <c r="Z239" s="25" t="s">
        <v>5719</v>
      </c>
      <c r="AA239" s="26" t="str">
        <f t="shared" ca="1" si="18"/>
        <v>15年9个月</v>
      </c>
      <c r="AB239" s="25" t="s">
        <v>29</v>
      </c>
      <c r="AC239" s="25" t="s">
        <v>3985</v>
      </c>
      <c r="AD239" s="25" t="s">
        <v>4035</v>
      </c>
      <c r="AE239" s="25" t="s">
        <v>2881</v>
      </c>
      <c r="AF239" s="25" t="s">
        <v>4050</v>
      </c>
      <c r="AG239" s="27" t="s">
        <v>5720</v>
      </c>
      <c r="AH239" s="25" t="s">
        <v>4036</v>
      </c>
      <c r="AI239" s="25" t="s">
        <v>2242</v>
      </c>
      <c r="AJ239" s="25" t="s">
        <v>4050</v>
      </c>
      <c r="AK239" s="27"/>
      <c r="AL239" s="25" t="s">
        <v>305</v>
      </c>
      <c r="AM239" s="25"/>
      <c r="AN239" s="27" t="s">
        <v>4039</v>
      </c>
      <c r="AO239" s="25" t="s">
        <v>4524</v>
      </c>
      <c r="AP239" s="27" t="s">
        <v>5721</v>
      </c>
      <c r="AQ239" s="25"/>
      <c r="AR239" s="27" t="s">
        <v>4569</v>
      </c>
      <c r="AS239" s="26" t="s">
        <v>4011</v>
      </c>
      <c r="AT239" s="25" t="s">
        <v>4456</v>
      </c>
      <c r="AU239" s="25" t="s">
        <v>5722</v>
      </c>
      <c r="AV239" s="25" t="s">
        <v>5723</v>
      </c>
      <c r="AW239" s="30" t="s">
        <v>4000</v>
      </c>
      <c r="AX239" s="28">
        <v>43836</v>
      </c>
      <c r="AY239" s="28" t="s">
        <v>4000</v>
      </c>
      <c r="AZ239" s="28"/>
      <c r="BA239" s="28"/>
      <c r="BB239" s="28"/>
      <c r="BC239" s="25"/>
      <c r="BD239" s="25"/>
      <c r="BE239" s="25"/>
      <c r="BF239" s="25"/>
      <c r="BG239" s="25"/>
      <c r="BH239" s="25"/>
      <c r="BI239" s="27"/>
    </row>
    <row r="240" spans="1:61" ht="15.6" x14ac:dyDescent="0.25">
      <c r="A240" s="25">
        <v>238</v>
      </c>
      <c r="B240" s="25" t="s">
        <v>5724</v>
      </c>
      <c r="C240" s="25" t="s">
        <v>4002</v>
      </c>
      <c r="D240" s="26" t="s">
        <v>4161</v>
      </c>
      <c r="E240" s="26" t="s">
        <v>4161</v>
      </c>
      <c r="F240" s="25" t="s">
        <v>5518</v>
      </c>
      <c r="G240" s="25" t="s">
        <v>5715</v>
      </c>
      <c r="H240" s="25"/>
      <c r="I240" s="25"/>
      <c r="J240" s="25" t="s">
        <v>565</v>
      </c>
      <c r="K240" s="25" t="s">
        <v>556</v>
      </c>
      <c r="L240" s="25" t="s">
        <v>5725</v>
      </c>
      <c r="M240" s="25" t="s">
        <v>4029</v>
      </c>
      <c r="N240" s="27" t="s">
        <v>5726</v>
      </c>
      <c r="O240" s="27" t="s">
        <v>5727</v>
      </c>
      <c r="P240" s="28">
        <v>43701</v>
      </c>
      <c r="Q240" s="28">
        <v>51006</v>
      </c>
      <c r="R240" s="25" t="str">
        <f t="shared" si="19"/>
        <v>男</v>
      </c>
      <c r="S240" s="25" t="s">
        <v>27</v>
      </c>
      <c r="T240" s="28" t="str">
        <f t="shared" si="16"/>
        <v>1992-11-12</v>
      </c>
      <c r="U240" s="25">
        <f t="shared" ca="1" si="20"/>
        <v>33</v>
      </c>
      <c r="V240" s="25">
        <v>18468064046</v>
      </c>
      <c r="W240" s="28">
        <v>43836</v>
      </c>
      <c r="X240" s="28">
        <v>41821</v>
      </c>
      <c r="Y240" s="29" t="str">
        <f t="shared" ca="1" si="17"/>
        <v>11年9个月</v>
      </c>
      <c r="Z240" s="25"/>
      <c r="AA240" s="26" t="str">
        <f t="shared" ca="1" si="18"/>
        <v>11年9个月</v>
      </c>
      <c r="AB240" s="25" t="s">
        <v>29</v>
      </c>
      <c r="AC240" s="25" t="s">
        <v>3985</v>
      </c>
      <c r="AD240" s="25" t="s">
        <v>4084</v>
      </c>
      <c r="AE240" s="25"/>
      <c r="AF240" s="25"/>
      <c r="AG240" s="27"/>
      <c r="AH240" s="25"/>
      <c r="AI240" s="25"/>
      <c r="AJ240" s="25"/>
      <c r="AK240" s="27"/>
      <c r="AL240" s="25" t="s">
        <v>305</v>
      </c>
      <c r="AM240" s="25"/>
      <c r="AN240" s="27" t="s">
        <v>4039</v>
      </c>
      <c r="AO240" s="25" t="s">
        <v>559</v>
      </c>
      <c r="AP240" s="27" t="s">
        <v>5728</v>
      </c>
      <c r="AQ240" s="25"/>
      <c r="AR240" s="27" t="s">
        <v>945</v>
      </c>
      <c r="AS240" s="26" t="s">
        <v>3990</v>
      </c>
      <c r="AT240" s="25" t="s">
        <v>4527</v>
      </c>
      <c r="AU240" s="25" t="s">
        <v>5729</v>
      </c>
      <c r="AV240" s="25" t="s">
        <v>5730</v>
      </c>
      <c r="AW240" s="30" t="s">
        <v>4000</v>
      </c>
      <c r="AX240" s="28">
        <v>43836</v>
      </c>
      <c r="AY240" s="28" t="s">
        <v>4000</v>
      </c>
      <c r="AZ240" s="28"/>
      <c r="BA240" s="28"/>
      <c r="BB240" s="28"/>
      <c r="BC240" s="25"/>
      <c r="BD240" s="25"/>
      <c r="BE240" s="25"/>
      <c r="BF240" s="25"/>
      <c r="BG240" s="25"/>
      <c r="BH240" s="25"/>
      <c r="BI240" s="27"/>
    </row>
    <row r="241" spans="1:61" ht="15.6" x14ac:dyDescent="0.25">
      <c r="A241" s="25">
        <v>239</v>
      </c>
      <c r="B241" s="25" t="s">
        <v>5731</v>
      </c>
      <c r="C241" s="25" t="s">
        <v>4002</v>
      </c>
      <c r="D241" s="26" t="s">
        <v>4161</v>
      </c>
      <c r="E241" s="26" t="s">
        <v>4161</v>
      </c>
      <c r="F241" s="25" t="s">
        <v>5518</v>
      </c>
      <c r="G241" s="25" t="s">
        <v>5715</v>
      </c>
      <c r="H241" s="25"/>
      <c r="I241" s="25"/>
      <c r="J241" s="25" t="s">
        <v>565</v>
      </c>
      <c r="K241" s="25" t="s">
        <v>556</v>
      </c>
      <c r="L241" s="25" t="s">
        <v>5725</v>
      </c>
      <c r="M241" s="25" t="s">
        <v>4029</v>
      </c>
      <c r="N241" s="27" t="s">
        <v>5732</v>
      </c>
      <c r="O241" s="27" t="s">
        <v>5733</v>
      </c>
      <c r="P241" s="28">
        <v>45219</v>
      </c>
      <c r="Q241" s="28">
        <v>52524</v>
      </c>
      <c r="R241" s="25" t="str">
        <f t="shared" si="19"/>
        <v>男</v>
      </c>
      <c r="S241" s="25" t="s">
        <v>3984</v>
      </c>
      <c r="T241" s="28" t="str">
        <f t="shared" si="16"/>
        <v>1989-05-18</v>
      </c>
      <c r="U241" s="25">
        <f t="shared" ca="1" si="20"/>
        <v>36</v>
      </c>
      <c r="V241" s="25">
        <v>18787074470</v>
      </c>
      <c r="W241" s="28">
        <v>43836</v>
      </c>
      <c r="X241" s="28">
        <v>41456</v>
      </c>
      <c r="Y241" s="29" t="str">
        <f t="shared" ca="1" si="17"/>
        <v>12年9个月</v>
      </c>
      <c r="Z241" s="25"/>
      <c r="AA241" s="26" t="str">
        <f t="shared" ca="1" si="18"/>
        <v>12年9个月</v>
      </c>
      <c r="AB241" s="25" t="s">
        <v>29</v>
      </c>
      <c r="AC241" s="25" t="s">
        <v>28</v>
      </c>
      <c r="AD241" s="25" t="s">
        <v>4035</v>
      </c>
      <c r="AE241" s="25"/>
      <c r="AF241" s="25"/>
      <c r="AG241" s="27"/>
      <c r="AH241" s="25"/>
      <c r="AI241" s="25"/>
      <c r="AJ241" s="25"/>
      <c r="AK241" s="27"/>
      <c r="AL241" s="25" t="s">
        <v>305</v>
      </c>
      <c r="AM241" s="25"/>
      <c r="AN241" s="27" t="s">
        <v>4039</v>
      </c>
      <c r="AO241" s="25" t="s">
        <v>4406</v>
      </c>
      <c r="AP241" s="27" t="s">
        <v>5734</v>
      </c>
      <c r="AQ241" s="25"/>
      <c r="AR241" s="25" t="s">
        <v>4936</v>
      </c>
      <c r="AS241" s="26" t="s">
        <v>3990</v>
      </c>
      <c r="AT241" s="25" t="s">
        <v>839</v>
      </c>
      <c r="AU241" s="25" t="s">
        <v>2751</v>
      </c>
      <c r="AV241" s="25" t="s">
        <v>2751</v>
      </c>
      <c r="AW241" s="30" t="s">
        <v>4000</v>
      </c>
      <c r="AX241" s="28">
        <v>43836</v>
      </c>
      <c r="AY241" s="28" t="s">
        <v>4000</v>
      </c>
      <c r="AZ241" s="28"/>
      <c r="BA241" s="28"/>
      <c r="BB241" s="28"/>
      <c r="BC241" s="25"/>
      <c r="BD241" s="25"/>
      <c r="BE241" s="25"/>
      <c r="BF241" s="25"/>
      <c r="BG241" s="25"/>
      <c r="BH241" s="25"/>
      <c r="BI241" s="27"/>
    </row>
    <row r="242" spans="1:61" ht="15.6" x14ac:dyDescent="0.25">
      <c r="A242" s="25">
        <v>240</v>
      </c>
      <c r="B242" s="25" t="s">
        <v>5735</v>
      </c>
      <c r="C242" s="25" t="s">
        <v>4002</v>
      </c>
      <c r="D242" s="26" t="s">
        <v>4161</v>
      </c>
      <c r="E242" s="26" t="s">
        <v>4161</v>
      </c>
      <c r="F242" s="25" t="s">
        <v>5518</v>
      </c>
      <c r="G242" s="25" t="s">
        <v>5715</v>
      </c>
      <c r="H242" s="25"/>
      <c r="I242" s="25"/>
      <c r="J242" s="25" t="s">
        <v>565</v>
      </c>
      <c r="K242" s="25" t="s">
        <v>556</v>
      </c>
      <c r="L242" s="25" t="s">
        <v>5725</v>
      </c>
      <c r="M242" s="25" t="s">
        <v>4029</v>
      </c>
      <c r="N242" s="27" t="s">
        <v>5736</v>
      </c>
      <c r="O242" s="27" t="s">
        <v>5737</v>
      </c>
      <c r="P242" s="28">
        <v>44327</v>
      </c>
      <c r="Q242" s="28">
        <v>51632</v>
      </c>
      <c r="R242" s="25" t="str">
        <f t="shared" si="19"/>
        <v>男</v>
      </c>
      <c r="S242" s="25" t="s">
        <v>3984</v>
      </c>
      <c r="T242" s="28" t="str">
        <f t="shared" si="16"/>
        <v>1989-11-14</v>
      </c>
      <c r="U242" s="25">
        <f t="shared" ca="1" si="20"/>
        <v>36</v>
      </c>
      <c r="V242" s="25">
        <v>18987725755</v>
      </c>
      <c r="W242" s="28">
        <v>43836</v>
      </c>
      <c r="X242" s="28">
        <v>42926</v>
      </c>
      <c r="Y242" s="29" t="str">
        <f t="shared" ca="1" si="17"/>
        <v>8年9个月</v>
      </c>
      <c r="Z242" s="25" t="s">
        <v>5738</v>
      </c>
      <c r="AA242" s="26" t="str">
        <f t="shared" ca="1" si="18"/>
        <v>14年10个月</v>
      </c>
      <c r="AB242" s="25" t="s">
        <v>29</v>
      </c>
      <c r="AC242" s="25" t="s">
        <v>3985</v>
      </c>
      <c r="AD242" s="25" t="s">
        <v>3986</v>
      </c>
      <c r="AE242" s="25"/>
      <c r="AF242" s="25"/>
      <c r="AG242" s="27"/>
      <c r="AH242" s="25"/>
      <c r="AI242" s="25"/>
      <c r="AJ242" s="25"/>
      <c r="AK242" s="27"/>
      <c r="AL242" s="25" t="s">
        <v>305</v>
      </c>
      <c r="AM242" s="25"/>
      <c r="AN242" s="27" t="s">
        <v>4039</v>
      </c>
      <c r="AO242" s="25" t="s">
        <v>5739</v>
      </c>
      <c r="AP242" s="27" t="s">
        <v>5740</v>
      </c>
      <c r="AQ242" s="25"/>
      <c r="AR242" s="25" t="s">
        <v>5741</v>
      </c>
      <c r="AS242" s="26" t="s">
        <v>3990</v>
      </c>
      <c r="AT242" s="25" t="s">
        <v>4527</v>
      </c>
      <c r="AU242" s="25" t="s">
        <v>5742</v>
      </c>
      <c r="AV242" s="25" t="s">
        <v>5742</v>
      </c>
      <c r="AW242" s="30" t="s">
        <v>4000</v>
      </c>
      <c r="AX242" s="28">
        <v>43836</v>
      </c>
      <c r="AY242" s="28">
        <v>44931</v>
      </c>
      <c r="AZ242" s="28" t="s">
        <v>4000</v>
      </c>
      <c r="BA242" s="28"/>
      <c r="BB242" s="28"/>
      <c r="BC242" s="25"/>
      <c r="BD242" s="25"/>
      <c r="BE242" s="25"/>
      <c r="BF242" s="25"/>
      <c r="BG242" s="25"/>
      <c r="BH242" s="25"/>
      <c r="BI242" s="27"/>
    </row>
    <row r="243" spans="1:61" ht="15.6" x14ac:dyDescent="0.25">
      <c r="A243" s="25">
        <v>241</v>
      </c>
      <c r="B243" s="25" t="s">
        <v>5743</v>
      </c>
      <c r="C243" s="25" t="s">
        <v>4002</v>
      </c>
      <c r="D243" s="26" t="s">
        <v>4161</v>
      </c>
      <c r="E243" s="26" t="s">
        <v>4161</v>
      </c>
      <c r="F243" s="25" t="s">
        <v>5518</v>
      </c>
      <c r="G243" s="25" t="s">
        <v>5715</v>
      </c>
      <c r="H243" s="25"/>
      <c r="I243" s="25"/>
      <c r="J243" s="25" t="s">
        <v>565</v>
      </c>
      <c r="K243" s="25" t="s">
        <v>556</v>
      </c>
      <c r="L243" s="25" t="s">
        <v>5725</v>
      </c>
      <c r="M243" s="25" t="s">
        <v>4029</v>
      </c>
      <c r="N243" s="27" t="s">
        <v>5744</v>
      </c>
      <c r="O243" s="27" t="s">
        <v>4785</v>
      </c>
      <c r="P243" s="28">
        <v>43095</v>
      </c>
      <c r="Q243" s="28">
        <v>50400</v>
      </c>
      <c r="R243" s="25" t="str">
        <f t="shared" si="19"/>
        <v>男</v>
      </c>
      <c r="S243" s="25" t="s">
        <v>3984</v>
      </c>
      <c r="T243" s="28" t="str">
        <f t="shared" si="16"/>
        <v>1987-06-15</v>
      </c>
      <c r="U243" s="25">
        <f t="shared" ca="1" si="20"/>
        <v>38</v>
      </c>
      <c r="V243" s="25">
        <v>15887840448</v>
      </c>
      <c r="W243" s="28">
        <v>43836</v>
      </c>
      <c r="X243" s="28">
        <v>43193</v>
      </c>
      <c r="Y243" s="29" t="str">
        <f t="shared" ca="1" si="17"/>
        <v>8年0个月</v>
      </c>
      <c r="Z243" s="25" t="s">
        <v>5745</v>
      </c>
      <c r="AA243" s="26" t="str">
        <f t="shared" ca="1" si="18"/>
        <v>12年7个月</v>
      </c>
      <c r="AB243" s="25" t="s">
        <v>29</v>
      </c>
      <c r="AC243" s="25" t="s">
        <v>3985</v>
      </c>
      <c r="AD243" s="25" t="s">
        <v>4035</v>
      </c>
      <c r="AE243" s="25" t="s">
        <v>1156</v>
      </c>
      <c r="AF243" s="25" t="s">
        <v>4050</v>
      </c>
      <c r="AG243" s="27" t="s">
        <v>5746</v>
      </c>
      <c r="AH243" s="25"/>
      <c r="AI243" s="25"/>
      <c r="AJ243" s="25"/>
      <c r="AK243" s="27"/>
      <c r="AL243" s="25" t="s">
        <v>81</v>
      </c>
      <c r="AM243" s="25" t="s">
        <v>3987</v>
      </c>
      <c r="AN243" s="27" t="s">
        <v>5747</v>
      </c>
      <c r="AO243" s="25" t="s">
        <v>5179</v>
      </c>
      <c r="AP243" s="27" t="s">
        <v>5748</v>
      </c>
      <c r="AQ243" s="25"/>
      <c r="AR243" s="25" t="s">
        <v>4892</v>
      </c>
      <c r="AS243" s="26" t="s">
        <v>3990</v>
      </c>
      <c r="AT243" s="25" t="s">
        <v>4456</v>
      </c>
      <c r="AU243" s="25" t="s">
        <v>5749</v>
      </c>
      <c r="AV243" s="25" t="s">
        <v>5750</v>
      </c>
      <c r="AW243" s="30" t="s">
        <v>4000</v>
      </c>
      <c r="AX243" s="28">
        <v>43836</v>
      </c>
      <c r="AY243" s="28">
        <v>45662</v>
      </c>
      <c r="AZ243" s="28" t="s">
        <v>4000</v>
      </c>
      <c r="BA243" s="28"/>
      <c r="BB243" s="28"/>
      <c r="BC243" s="25"/>
      <c r="BD243" s="25"/>
      <c r="BE243" s="25"/>
      <c r="BF243" s="25"/>
      <c r="BG243" s="25"/>
      <c r="BH243" s="25"/>
      <c r="BI243" s="27"/>
    </row>
    <row r="244" spans="1:61" ht="15.6" x14ac:dyDescent="0.25">
      <c r="A244" s="25">
        <v>242</v>
      </c>
      <c r="B244" s="26" t="s">
        <v>5751</v>
      </c>
      <c r="C244" s="26" t="s">
        <v>4002</v>
      </c>
      <c r="D244" s="26" t="s">
        <v>4161</v>
      </c>
      <c r="E244" s="26" t="s">
        <v>4161</v>
      </c>
      <c r="F244" s="25" t="s">
        <v>5518</v>
      </c>
      <c r="G244" s="25" t="s">
        <v>5715</v>
      </c>
      <c r="H244" s="26"/>
      <c r="I244" s="26"/>
      <c r="J244" s="25" t="s">
        <v>565</v>
      </c>
      <c r="K244" s="25" t="s">
        <v>556</v>
      </c>
      <c r="L244" s="25" t="s">
        <v>5725</v>
      </c>
      <c r="M244" s="25" t="s">
        <v>4029</v>
      </c>
      <c r="N244" s="35" t="s">
        <v>5752</v>
      </c>
      <c r="O244" s="35" t="s">
        <v>3981</v>
      </c>
      <c r="P244" s="36">
        <v>44277</v>
      </c>
      <c r="Q244" s="36">
        <v>47929</v>
      </c>
      <c r="R244" s="25" t="str">
        <f t="shared" si="19"/>
        <v>男</v>
      </c>
      <c r="S244" s="26" t="s">
        <v>3984</v>
      </c>
      <c r="T244" s="28" t="str">
        <f t="shared" si="16"/>
        <v>1999-12-19</v>
      </c>
      <c r="U244" s="25">
        <f t="shared" ca="1" si="20"/>
        <v>26</v>
      </c>
      <c r="V244" s="25">
        <v>18314531325</v>
      </c>
      <c r="W244" s="28">
        <v>45146</v>
      </c>
      <c r="X244" s="28">
        <v>45146</v>
      </c>
      <c r="Y244" s="29" t="str">
        <f t="shared" ca="1" si="17"/>
        <v>2年8个月</v>
      </c>
      <c r="Z244" s="26"/>
      <c r="AA244" s="26" t="str">
        <f t="shared" ca="1" si="18"/>
        <v>2年8个月</v>
      </c>
      <c r="AB244" s="25" t="s">
        <v>253</v>
      </c>
      <c r="AC244" s="25" t="s">
        <v>272</v>
      </c>
      <c r="AD244" s="25" t="s">
        <v>3986</v>
      </c>
      <c r="AE244" s="25"/>
      <c r="AF244" s="25"/>
      <c r="AG244" s="27"/>
      <c r="AH244" s="25"/>
      <c r="AI244" s="25"/>
      <c r="AJ244" s="25"/>
      <c r="AK244" s="27"/>
      <c r="AL244" s="25" t="s">
        <v>81</v>
      </c>
      <c r="AM244" s="25" t="s">
        <v>3987</v>
      </c>
      <c r="AN244" s="27" t="s">
        <v>5753</v>
      </c>
      <c r="AO244" s="26" t="s">
        <v>1265</v>
      </c>
      <c r="AP244" s="35" t="s">
        <v>5754</v>
      </c>
      <c r="AQ244" s="25"/>
      <c r="AR244" s="26" t="s">
        <v>5755</v>
      </c>
      <c r="AS244" s="26" t="s">
        <v>3990</v>
      </c>
      <c r="AT244" s="26" t="s">
        <v>4024</v>
      </c>
      <c r="AU244" s="26" t="s">
        <v>5756</v>
      </c>
      <c r="AV244" s="26" t="s">
        <v>5756</v>
      </c>
      <c r="AW244" s="39">
        <v>46606</v>
      </c>
      <c r="AX244" s="28">
        <v>45146</v>
      </c>
      <c r="AY244" s="28">
        <v>45511</v>
      </c>
      <c r="AZ244" s="36">
        <v>46606</v>
      </c>
      <c r="BA244" s="36"/>
      <c r="BB244" s="26"/>
      <c r="BC244" s="26"/>
      <c r="BD244" s="26"/>
      <c r="BE244" s="26"/>
      <c r="BF244" s="26"/>
      <c r="BG244" s="26"/>
      <c r="BH244" s="26"/>
      <c r="BI244" s="26"/>
    </row>
    <row r="245" spans="1:61" ht="15.6" x14ac:dyDescent="0.25">
      <c r="A245" s="25">
        <v>243</v>
      </c>
      <c r="B245" s="26" t="s">
        <v>5757</v>
      </c>
      <c r="C245" s="26" t="s">
        <v>4002</v>
      </c>
      <c r="D245" s="26" t="s">
        <v>4161</v>
      </c>
      <c r="E245" s="26" t="s">
        <v>4161</v>
      </c>
      <c r="F245" s="25" t="s">
        <v>5518</v>
      </c>
      <c r="G245" s="25" t="s">
        <v>5715</v>
      </c>
      <c r="H245" s="26"/>
      <c r="I245" s="26"/>
      <c r="J245" s="25" t="s">
        <v>565</v>
      </c>
      <c r="K245" s="25" t="s">
        <v>556</v>
      </c>
      <c r="L245" s="25" t="s">
        <v>5725</v>
      </c>
      <c r="M245" s="25" t="s">
        <v>4029</v>
      </c>
      <c r="N245" s="35" t="s">
        <v>5758</v>
      </c>
      <c r="O245" s="35" t="s">
        <v>5403</v>
      </c>
      <c r="P245" s="36">
        <v>44058</v>
      </c>
      <c r="Q245" s="36">
        <v>47710</v>
      </c>
      <c r="R245" s="25" t="str">
        <f t="shared" si="19"/>
        <v>男</v>
      </c>
      <c r="S245" s="28" t="s">
        <v>3984</v>
      </c>
      <c r="T245" s="28" t="str">
        <f t="shared" si="16"/>
        <v>2002-08-16</v>
      </c>
      <c r="U245" s="25">
        <f t="shared" ca="1" si="20"/>
        <v>23</v>
      </c>
      <c r="V245" s="25">
        <v>18213754719</v>
      </c>
      <c r="W245" s="28">
        <v>45474</v>
      </c>
      <c r="X245" s="28">
        <v>45474</v>
      </c>
      <c r="Y245" s="29" t="str">
        <f t="shared" ca="1" si="17"/>
        <v>1年9个月</v>
      </c>
      <c r="Z245" s="26"/>
      <c r="AA245" s="26" t="str">
        <f t="shared" ca="1" si="18"/>
        <v>1年9个月</v>
      </c>
      <c r="AB245" s="25" t="s">
        <v>253</v>
      </c>
      <c r="AC245" s="25" t="s">
        <v>272</v>
      </c>
      <c r="AD245" s="25" t="s">
        <v>5055</v>
      </c>
      <c r="AE245" s="25"/>
      <c r="AF245" s="25"/>
      <c r="AG245" s="27"/>
      <c r="AH245" s="25"/>
      <c r="AI245" s="25"/>
      <c r="AJ245" s="25"/>
      <c r="AK245" s="27"/>
      <c r="AL245" s="25" t="s">
        <v>305</v>
      </c>
      <c r="AM245" s="25"/>
      <c r="AN245" s="27" t="s">
        <v>4039</v>
      </c>
      <c r="AO245" s="26" t="s">
        <v>4524</v>
      </c>
      <c r="AP245" s="35" t="s">
        <v>5759</v>
      </c>
      <c r="AQ245" s="25"/>
      <c r="AR245" s="26" t="s">
        <v>4936</v>
      </c>
      <c r="AS245" s="26" t="s">
        <v>3990</v>
      </c>
      <c r="AT245" s="26" t="s">
        <v>4225</v>
      </c>
      <c r="AU245" s="26" t="s">
        <v>5760</v>
      </c>
      <c r="AV245" s="26" t="s">
        <v>5760</v>
      </c>
      <c r="AW245" s="39">
        <v>46934</v>
      </c>
      <c r="AX245" s="28">
        <v>45474</v>
      </c>
      <c r="AY245" s="28">
        <v>45838</v>
      </c>
      <c r="AZ245" s="36">
        <v>46934</v>
      </c>
      <c r="BA245" s="36"/>
      <c r="BB245" s="26"/>
      <c r="BC245" s="26"/>
      <c r="BD245" s="26"/>
      <c r="BE245" s="26"/>
      <c r="BF245" s="26"/>
      <c r="BG245" s="26"/>
      <c r="BH245" s="26"/>
      <c r="BI245" s="26"/>
    </row>
    <row r="246" spans="1:61" ht="15.6" x14ac:dyDescent="0.25">
      <c r="A246" s="25">
        <v>244</v>
      </c>
      <c r="B246" s="26" t="s">
        <v>5761</v>
      </c>
      <c r="C246" s="26" t="s">
        <v>4002</v>
      </c>
      <c r="D246" s="26" t="s">
        <v>4161</v>
      </c>
      <c r="E246" s="26" t="s">
        <v>4161</v>
      </c>
      <c r="F246" s="25" t="s">
        <v>5518</v>
      </c>
      <c r="G246" s="25" t="s">
        <v>5715</v>
      </c>
      <c r="H246" s="26"/>
      <c r="I246" s="26"/>
      <c r="J246" s="25" t="s">
        <v>565</v>
      </c>
      <c r="K246" s="25" t="s">
        <v>556</v>
      </c>
      <c r="L246" s="25" t="s">
        <v>5725</v>
      </c>
      <c r="M246" s="25" t="s">
        <v>4029</v>
      </c>
      <c r="N246" s="35" t="s">
        <v>5762</v>
      </c>
      <c r="O246" s="35" t="s">
        <v>4129</v>
      </c>
      <c r="P246" s="36">
        <v>44915</v>
      </c>
      <c r="Q246" s="36">
        <v>48568</v>
      </c>
      <c r="R246" s="25" t="str">
        <f t="shared" si="19"/>
        <v>男</v>
      </c>
      <c r="S246" s="28" t="s">
        <v>3984</v>
      </c>
      <c r="T246" s="28" t="str">
        <f t="shared" si="16"/>
        <v>2001-12-06</v>
      </c>
      <c r="U246" s="25">
        <f t="shared" ca="1" si="20"/>
        <v>24</v>
      </c>
      <c r="V246" s="25">
        <v>19526653165</v>
      </c>
      <c r="W246" s="28">
        <v>45474</v>
      </c>
      <c r="X246" s="28">
        <v>45474</v>
      </c>
      <c r="Y246" s="29" t="str">
        <f t="shared" ca="1" si="17"/>
        <v>1年9个月</v>
      </c>
      <c r="Z246" s="26"/>
      <c r="AA246" s="26" t="str">
        <f t="shared" ca="1" si="18"/>
        <v>1年9个月</v>
      </c>
      <c r="AB246" s="25" t="s">
        <v>253</v>
      </c>
      <c r="AC246" s="25" t="s">
        <v>3985</v>
      </c>
      <c r="AD246" s="25" t="s">
        <v>5055</v>
      </c>
      <c r="AE246" s="25"/>
      <c r="AF246" s="25"/>
      <c r="AG246" s="27"/>
      <c r="AH246" s="25"/>
      <c r="AI246" s="25"/>
      <c r="AJ246" s="25"/>
      <c r="AK246" s="27"/>
      <c r="AL246" s="25" t="s">
        <v>305</v>
      </c>
      <c r="AM246" s="25"/>
      <c r="AN246" s="27" t="s">
        <v>4039</v>
      </c>
      <c r="AO246" s="26" t="s">
        <v>4524</v>
      </c>
      <c r="AP246" s="35" t="s">
        <v>5763</v>
      </c>
      <c r="AQ246" s="25"/>
      <c r="AR246" s="26" t="s">
        <v>5764</v>
      </c>
      <c r="AS246" s="26" t="s">
        <v>3990</v>
      </c>
      <c r="AT246" s="26" t="s">
        <v>4225</v>
      </c>
      <c r="AU246" s="26" t="s">
        <v>5765</v>
      </c>
      <c r="AV246" s="26" t="s">
        <v>5765</v>
      </c>
      <c r="AW246" s="39">
        <v>46934</v>
      </c>
      <c r="AX246" s="28">
        <v>45474</v>
      </c>
      <c r="AY246" s="28">
        <v>45838</v>
      </c>
      <c r="AZ246" s="36">
        <v>46934</v>
      </c>
      <c r="BA246" s="36"/>
      <c r="BB246" s="26"/>
      <c r="BC246" s="26"/>
      <c r="BD246" s="26"/>
      <c r="BE246" s="26"/>
      <c r="BF246" s="26"/>
      <c r="BG246" s="26"/>
      <c r="BH246" s="26"/>
      <c r="BI246" s="26"/>
    </row>
    <row r="247" spans="1:61" ht="15.6" x14ac:dyDescent="0.25">
      <c r="A247" s="25">
        <v>245</v>
      </c>
      <c r="B247" s="26" t="s">
        <v>5766</v>
      </c>
      <c r="C247" s="26" t="s">
        <v>4002</v>
      </c>
      <c r="D247" s="26" t="s">
        <v>4161</v>
      </c>
      <c r="E247" s="26" t="s">
        <v>4161</v>
      </c>
      <c r="F247" s="25" t="s">
        <v>5518</v>
      </c>
      <c r="G247" s="25" t="s">
        <v>5715</v>
      </c>
      <c r="H247" s="26"/>
      <c r="I247" s="26"/>
      <c r="J247" s="25" t="s">
        <v>565</v>
      </c>
      <c r="K247" s="25" t="s">
        <v>556</v>
      </c>
      <c r="L247" s="25" t="s">
        <v>5725</v>
      </c>
      <c r="M247" s="25" t="s">
        <v>4029</v>
      </c>
      <c r="N247" s="35" t="s">
        <v>5767</v>
      </c>
      <c r="O247" s="35" t="s">
        <v>4129</v>
      </c>
      <c r="P247" s="36">
        <v>44162</v>
      </c>
      <c r="Q247" s="36">
        <v>47814</v>
      </c>
      <c r="R247" s="25" t="str">
        <f t="shared" si="19"/>
        <v>男</v>
      </c>
      <c r="S247" s="28" t="s">
        <v>3984</v>
      </c>
      <c r="T247" s="28" t="str">
        <f t="shared" si="16"/>
        <v>2002-02-27</v>
      </c>
      <c r="U247" s="25">
        <f t="shared" ca="1" si="20"/>
        <v>24</v>
      </c>
      <c r="V247" s="25">
        <v>15825255676</v>
      </c>
      <c r="W247" s="28">
        <v>45474</v>
      </c>
      <c r="X247" s="28">
        <v>45474</v>
      </c>
      <c r="Y247" s="29" t="str">
        <f t="shared" ca="1" si="17"/>
        <v>1年9个月</v>
      </c>
      <c r="Z247" s="26"/>
      <c r="AA247" s="26" t="str">
        <f t="shared" ca="1" si="18"/>
        <v>1年9个月</v>
      </c>
      <c r="AB247" s="25" t="s">
        <v>253</v>
      </c>
      <c r="AC247" s="25" t="s">
        <v>272</v>
      </c>
      <c r="AD247" s="25" t="s">
        <v>3986</v>
      </c>
      <c r="AE247" s="25"/>
      <c r="AF247" s="25"/>
      <c r="AG247" s="27"/>
      <c r="AH247" s="25"/>
      <c r="AI247" s="25"/>
      <c r="AJ247" s="25"/>
      <c r="AK247" s="27"/>
      <c r="AL247" s="25" t="s">
        <v>305</v>
      </c>
      <c r="AM247" s="25"/>
      <c r="AN247" s="27" t="s">
        <v>4039</v>
      </c>
      <c r="AO247" s="26" t="s">
        <v>4524</v>
      </c>
      <c r="AP247" s="35" t="s">
        <v>5768</v>
      </c>
      <c r="AQ247" s="25"/>
      <c r="AR247" s="26" t="s">
        <v>5458</v>
      </c>
      <c r="AS247" s="26" t="s">
        <v>3990</v>
      </c>
      <c r="AT247" s="26" t="s">
        <v>4225</v>
      </c>
      <c r="AU247" s="26" t="s">
        <v>5769</v>
      </c>
      <c r="AV247" s="26" t="s">
        <v>5769</v>
      </c>
      <c r="AW247" s="39">
        <v>46934</v>
      </c>
      <c r="AX247" s="28">
        <v>45474</v>
      </c>
      <c r="AY247" s="28">
        <v>45838</v>
      </c>
      <c r="AZ247" s="36">
        <v>46934</v>
      </c>
      <c r="BA247" s="36"/>
      <c r="BB247" s="26"/>
      <c r="BC247" s="26"/>
      <c r="BD247" s="26"/>
      <c r="BE247" s="26"/>
      <c r="BF247" s="26"/>
      <c r="BG247" s="26"/>
      <c r="BH247" s="26"/>
      <c r="BI247" s="26"/>
    </row>
    <row r="248" spans="1:61" ht="15.6" x14ac:dyDescent="0.25">
      <c r="A248" s="25">
        <v>246</v>
      </c>
      <c r="B248" s="25" t="s">
        <v>5770</v>
      </c>
      <c r="C248" s="26" t="s">
        <v>4002</v>
      </c>
      <c r="D248" s="26" t="s">
        <v>4161</v>
      </c>
      <c r="E248" s="26" t="s">
        <v>4161</v>
      </c>
      <c r="F248" s="25" t="s">
        <v>5518</v>
      </c>
      <c r="G248" s="25" t="s">
        <v>5715</v>
      </c>
      <c r="H248" s="26"/>
      <c r="I248" s="26"/>
      <c r="J248" s="25" t="s">
        <v>565</v>
      </c>
      <c r="K248" s="25" t="s">
        <v>556</v>
      </c>
      <c r="L248" s="25" t="s">
        <v>5725</v>
      </c>
      <c r="M248" s="25" t="s">
        <v>4029</v>
      </c>
      <c r="N248" s="27" t="s">
        <v>5771</v>
      </c>
      <c r="O248" s="27" t="s">
        <v>4129</v>
      </c>
      <c r="P248" s="28">
        <v>44561</v>
      </c>
      <c r="Q248" s="28">
        <v>48213</v>
      </c>
      <c r="R248" s="25" t="s">
        <v>4312</v>
      </c>
      <c r="S248" s="28" t="s">
        <v>3984</v>
      </c>
      <c r="T248" s="28" t="str">
        <f t="shared" si="16"/>
        <v>2002-03-07</v>
      </c>
      <c r="U248" s="25">
        <f t="shared" ca="1" si="20"/>
        <v>24</v>
      </c>
      <c r="V248" s="25">
        <v>19869311718</v>
      </c>
      <c r="W248" s="28">
        <v>45839</v>
      </c>
      <c r="X248" s="28">
        <v>45839</v>
      </c>
      <c r="Y248" s="29" t="str">
        <f t="shared" ca="1" si="17"/>
        <v>0年9个月</v>
      </c>
      <c r="Z248" s="26"/>
      <c r="AA248" s="26" t="str">
        <f t="shared" ca="1" si="18"/>
        <v>0年9个月</v>
      </c>
      <c r="AB248" s="25" t="s">
        <v>253</v>
      </c>
      <c r="AC248" s="25" t="s">
        <v>3985</v>
      </c>
      <c r="AD248" s="25" t="s">
        <v>5055</v>
      </c>
      <c r="AE248" s="25"/>
      <c r="AF248" s="25"/>
      <c r="AG248" s="27"/>
      <c r="AH248" s="25"/>
      <c r="AI248" s="25"/>
      <c r="AJ248" s="25"/>
      <c r="AK248" s="27"/>
      <c r="AL248" s="25" t="s">
        <v>305</v>
      </c>
      <c r="AM248" s="25"/>
      <c r="AN248" s="27" t="s">
        <v>4039</v>
      </c>
      <c r="AO248" s="25" t="s">
        <v>5772</v>
      </c>
      <c r="AP248" s="27" t="s">
        <v>5773</v>
      </c>
      <c r="AQ248" s="25"/>
      <c r="AR248" s="25" t="s">
        <v>5063</v>
      </c>
      <c r="AS248" s="25" t="s">
        <v>4088</v>
      </c>
      <c r="AT248" s="25" t="s">
        <v>4225</v>
      </c>
      <c r="AU248" s="25" t="s">
        <v>5774</v>
      </c>
      <c r="AV248" s="25" t="s">
        <v>5774</v>
      </c>
      <c r="AW248" s="30">
        <v>46203</v>
      </c>
      <c r="AX248" s="28">
        <v>45839</v>
      </c>
      <c r="AY248" s="28">
        <v>46203</v>
      </c>
      <c r="AZ248" s="25"/>
      <c r="BA248" s="25"/>
      <c r="BB248" s="25"/>
      <c r="BC248" s="25"/>
      <c r="BD248" s="25"/>
      <c r="BE248" s="25"/>
      <c r="BF248" s="25"/>
      <c r="BG248" s="25"/>
      <c r="BH248" s="25"/>
      <c r="BI248" s="25"/>
    </row>
    <row r="249" spans="1:61" ht="15.6" x14ac:dyDescent="0.25">
      <c r="A249" s="25">
        <v>247</v>
      </c>
      <c r="B249" s="25" t="s">
        <v>5775</v>
      </c>
      <c r="C249" s="26" t="s">
        <v>4002</v>
      </c>
      <c r="D249" s="26" t="s">
        <v>4161</v>
      </c>
      <c r="E249" s="26" t="s">
        <v>4161</v>
      </c>
      <c r="F249" s="25" t="s">
        <v>5518</v>
      </c>
      <c r="G249" s="25" t="s">
        <v>5715</v>
      </c>
      <c r="H249" s="26"/>
      <c r="I249" s="26"/>
      <c r="J249" s="25" t="s">
        <v>565</v>
      </c>
      <c r="K249" s="25" t="s">
        <v>556</v>
      </c>
      <c r="L249" s="25" t="s">
        <v>5725</v>
      </c>
      <c r="M249" s="25" t="s">
        <v>4029</v>
      </c>
      <c r="N249" s="27" t="s">
        <v>5776</v>
      </c>
      <c r="O249" s="27" t="s">
        <v>4413</v>
      </c>
      <c r="P249" s="28">
        <v>44063</v>
      </c>
      <c r="Q249" s="28">
        <v>47715</v>
      </c>
      <c r="R249" s="25" t="s">
        <v>4312</v>
      </c>
      <c r="S249" s="28" t="s">
        <v>3984</v>
      </c>
      <c r="T249" s="28" t="str">
        <f t="shared" si="16"/>
        <v>2001-11-16</v>
      </c>
      <c r="U249" s="25">
        <f t="shared" ca="1" si="20"/>
        <v>24</v>
      </c>
      <c r="V249" s="25">
        <v>15096946818</v>
      </c>
      <c r="W249" s="28">
        <v>45839</v>
      </c>
      <c r="X249" s="28">
        <v>45839</v>
      </c>
      <c r="Y249" s="29" t="str">
        <f t="shared" ca="1" si="17"/>
        <v>0年9个月</v>
      </c>
      <c r="Z249" s="26"/>
      <c r="AA249" s="26" t="str">
        <f t="shared" ca="1" si="18"/>
        <v>0年9个月</v>
      </c>
      <c r="AB249" s="25" t="s">
        <v>253</v>
      </c>
      <c r="AC249" s="25" t="s">
        <v>3985</v>
      </c>
      <c r="AD249" s="25" t="s">
        <v>5055</v>
      </c>
      <c r="AE249" s="25"/>
      <c r="AF249" s="25"/>
      <c r="AG249" s="27"/>
      <c r="AH249" s="25"/>
      <c r="AI249" s="25"/>
      <c r="AJ249" s="25"/>
      <c r="AK249" s="27"/>
      <c r="AL249" s="25" t="s">
        <v>305</v>
      </c>
      <c r="AM249" s="25"/>
      <c r="AN249" s="27" t="s">
        <v>4039</v>
      </c>
      <c r="AO249" s="25" t="s">
        <v>5772</v>
      </c>
      <c r="AP249" s="27" t="s">
        <v>5777</v>
      </c>
      <c r="AQ249" s="25"/>
      <c r="AR249" s="27" t="s">
        <v>5778</v>
      </c>
      <c r="AS249" s="25" t="s">
        <v>4088</v>
      </c>
      <c r="AT249" s="25" t="s">
        <v>608</v>
      </c>
      <c r="AU249" s="25" t="s">
        <v>5779</v>
      </c>
      <c r="AV249" s="25" t="s">
        <v>5779</v>
      </c>
      <c r="AW249" s="30">
        <v>46203</v>
      </c>
      <c r="AX249" s="28">
        <v>45839</v>
      </c>
      <c r="AY249" s="28">
        <v>46203</v>
      </c>
      <c r="AZ249" s="28"/>
      <c r="BA249" s="28"/>
      <c r="BB249" s="28"/>
      <c r="BC249" s="25"/>
      <c r="BD249" s="25"/>
      <c r="BE249" s="25"/>
      <c r="BF249" s="25"/>
      <c r="BG249" s="25"/>
      <c r="BH249" s="25"/>
      <c r="BI249" s="27"/>
    </row>
    <row r="250" spans="1:61" ht="15.6" x14ac:dyDescent="0.25">
      <c r="A250" s="25">
        <v>248</v>
      </c>
      <c r="B250" s="25" t="s">
        <v>5780</v>
      </c>
      <c r="C250" s="26" t="s">
        <v>4002</v>
      </c>
      <c r="D250" s="26" t="s">
        <v>4161</v>
      </c>
      <c r="E250" s="26" t="s">
        <v>4161</v>
      </c>
      <c r="F250" s="25" t="s">
        <v>5518</v>
      </c>
      <c r="G250" s="25" t="s">
        <v>5715</v>
      </c>
      <c r="H250" s="26"/>
      <c r="I250" s="26"/>
      <c r="J250" s="25" t="s">
        <v>565</v>
      </c>
      <c r="K250" s="25" t="s">
        <v>556</v>
      </c>
      <c r="L250" s="25" t="s">
        <v>5725</v>
      </c>
      <c r="M250" s="25" t="s">
        <v>4029</v>
      </c>
      <c r="N250" s="27" t="s">
        <v>5781</v>
      </c>
      <c r="O250" s="27" t="s">
        <v>5782</v>
      </c>
      <c r="P250" s="28">
        <v>44390</v>
      </c>
      <c r="Q250" s="28">
        <v>48042</v>
      </c>
      <c r="R250" s="25" t="s">
        <v>4312</v>
      </c>
      <c r="S250" s="28" t="s">
        <v>3984</v>
      </c>
      <c r="T250" s="28" t="str">
        <f t="shared" si="16"/>
        <v>2004-05-19</v>
      </c>
      <c r="U250" s="25">
        <f t="shared" ca="1" si="20"/>
        <v>21</v>
      </c>
      <c r="V250" s="25">
        <v>14708752902</v>
      </c>
      <c r="W250" s="28">
        <v>45839</v>
      </c>
      <c r="X250" s="28">
        <v>45839</v>
      </c>
      <c r="Y250" s="29" t="str">
        <f t="shared" ca="1" si="17"/>
        <v>0年9个月</v>
      </c>
      <c r="Z250" s="26"/>
      <c r="AA250" s="26" t="str">
        <f t="shared" ca="1" si="18"/>
        <v>0年9个月</v>
      </c>
      <c r="AB250" s="25" t="s">
        <v>253</v>
      </c>
      <c r="AC250" s="25" t="s">
        <v>272</v>
      </c>
      <c r="AD250" s="25" t="s">
        <v>5055</v>
      </c>
      <c r="AE250" s="25"/>
      <c r="AF250" s="25"/>
      <c r="AG250" s="27"/>
      <c r="AH250" s="25"/>
      <c r="AI250" s="25"/>
      <c r="AJ250" s="25"/>
      <c r="AK250" s="27"/>
      <c r="AL250" s="25" t="s">
        <v>305</v>
      </c>
      <c r="AM250" s="25"/>
      <c r="AN250" s="27" t="s">
        <v>4039</v>
      </c>
      <c r="AO250" s="26" t="s">
        <v>4524</v>
      </c>
      <c r="AP250" s="35" t="s">
        <v>5783</v>
      </c>
      <c r="AQ250" s="25"/>
      <c r="AR250" s="26" t="s">
        <v>5458</v>
      </c>
      <c r="AS250" s="25" t="s">
        <v>4088</v>
      </c>
      <c r="AT250" s="25" t="s">
        <v>4722</v>
      </c>
      <c r="AU250" s="25" t="s">
        <v>5784</v>
      </c>
      <c r="AV250" s="25" t="s">
        <v>5784</v>
      </c>
      <c r="AW250" s="30">
        <v>46203</v>
      </c>
      <c r="AX250" s="28">
        <v>45839</v>
      </c>
      <c r="AY250" s="28">
        <v>46203</v>
      </c>
      <c r="AZ250" s="28"/>
      <c r="BA250" s="28"/>
      <c r="BB250" s="28"/>
      <c r="BC250" s="25"/>
      <c r="BD250" s="25"/>
      <c r="BE250" s="25"/>
      <c r="BF250" s="25"/>
      <c r="BG250" s="25"/>
      <c r="BH250" s="25"/>
      <c r="BI250" s="27"/>
    </row>
    <row r="251" spans="1:61" ht="15.6" x14ac:dyDescent="0.25">
      <c r="A251" s="25">
        <v>249</v>
      </c>
      <c r="B251" s="66" t="s">
        <v>5785</v>
      </c>
      <c r="C251" s="67" t="s">
        <v>4002</v>
      </c>
      <c r="D251" s="66" t="s">
        <v>4150</v>
      </c>
      <c r="E251" s="66" t="s">
        <v>4150</v>
      </c>
      <c r="F251" s="67" t="s">
        <v>4150</v>
      </c>
      <c r="G251" s="67" t="s">
        <v>5786</v>
      </c>
      <c r="H251" s="66"/>
      <c r="I251" s="66"/>
      <c r="J251" s="67" t="s">
        <v>3349</v>
      </c>
      <c r="K251" s="67" t="s">
        <v>676</v>
      </c>
      <c r="L251" s="67" t="s">
        <v>4071</v>
      </c>
      <c r="M251" s="67" t="s">
        <v>4017</v>
      </c>
      <c r="N251" s="68" t="s">
        <v>5787</v>
      </c>
      <c r="O251" s="68" t="s">
        <v>4073</v>
      </c>
      <c r="P251" s="69">
        <v>39541</v>
      </c>
      <c r="Q251" s="69">
        <v>46846</v>
      </c>
      <c r="R251" s="67" t="str">
        <f t="shared" ref="R251:R279" si="21">IF(MOD(RIGHT(LEFT(N251,17)),2),"男","女")</f>
        <v>男</v>
      </c>
      <c r="S251" s="67" t="s">
        <v>3984</v>
      </c>
      <c r="T251" s="70" t="s">
        <v>3347</v>
      </c>
      <c r="U251" s="67">
        <v>42</v>
      </c>
      <c r="V251" s="67">
        <v>13888055604</v>
      </c>
      <c r="W251" s="70">
        <v>43836</v>
      </c>
      <c r="X251" s="70">
        <v>39314</v>
      </c>
      <c r="Y251" s="29" t="str">
        <f t="shared" ca="1" si="17"/>
        <v>18年7个月</v>
      </c>
      <c r="Z251" s="67"/>
      <c r="AA251" s="26" t="str">
        <f t="shared" ca="1" si="18"/>
        <v>18年7个月</v>
      </c>
      <c r="AB251" s="67" t="s">
        <v>4034</v>
      </c>
      <c r="AC251" s="67" t="s">
        <v>28</v>
      </c>
      <c r="AD251" s="67" t="s">
        <v>3986</v>
      </c>
      <c r="AE251" s="67" t="s">
        <v>1095</v>
      </c>
      <c r="AF251" s="67" t="s">
        <v>1012</v>
      </c>
      <c r="AG251" s="71" t="s">
        <v>5788</v>
      </c>
      <c r="AH251" s="67"/>
      <c r="AI251" s="67"/>
      <c r="AJ251" s="67"/>
      <c r="AK251" s="71"/>
      <c r="AL251" s="67" t="s">
        <v>87</v>
      </c>
      <c r="AM251" s="67" t="s">
        <v>3987</v>
      </c>
      <c r="AN251" s="71" t="s">
        <v>5789</v>
      </c>
      <c r="AO251" s="67" t="s">
        <v>4062</v>
      </c>
      <c r="AP251" s="71" t="s">
        <v>5790</v>
      </c>
      <c r="AQ251" s="67"/>
      <c r="AR251" s="67" t="s">
        <v>3354</v>
      </c>
      <c r="AS251" s="66" t="s">
        <v>4011</v>
      </c>
      <c r="AT251" s="67" t="s">
        <v>415</v>
      </c>
      <c r="AU251" s="67" t="s">
        <v>5791</v>
      </c>
      <c r="AV251" s="67" t="s">
        <v>5792</v>
      </c>
      <c r="AW251" s="30" t="s">
        <v>4000</v>
      </c>
      <c r="AX251" s="70">
        <v>43836</v>
      </c>
      <c r="AY251" s="70" t="s">
        <v>4000</v>
      </c>
      <c r="AZ251" s="69"/>
      <c r="BA251" s="69"/>
      <c r="BB251" s="66"/>
      <c r="BC251" s="66"/>
      <c r="BD251" s="66"/>
      <c r="BE251" s="66"/>
      <c r="BF251" s="66"/>
      <c r="BG251" s="66"/>
      <c r="BH251" s="66"/>
      <c r="BI251" s="66"/>
    </row>
    <row r="252" spans="1:61" ht="15.6" x14ac:dyDescent="0.25">
      <c r="A252" s="25">
        <v>250</v>
      </c>
      <c r="B252" s="25" t="s">
        <v>5793</v>
      </c>
      <c r="C252" s="25" t="s">
        <v>4002</v>
      </c>
      <c r="D252" s="26" t="s">
        <v>4150</v>
      </c>
      <c r="E252" s="26" t="s">
        <v>4150</v>
      </c>
      <c r="F252" s="25" t="s">
        <v>4150</v>
      </c>
      <c r="G252" s="25" t="s">
        <v>4151</v>
      </c>
      <c r="H252" s="25"/>
      <c r="I252" s="25"/>
      <c r="J252" s="25" t="s">
        <v>5794</v>
      </c>
      <c r="K252" s="25" t="s">
        <v>676</v>
      </c>
      <c r="L252" s="25" t="s">
        <v>4016</v>
      </c>
      <c r="M252" s="25" t="s">
        <v>4080</v>
      </c>
      <c r="N252" s="27" t="s">
        <v>5795</v>
      </c>
      <c r="O252" s="27" t="s">
        <v>5796</v>
      </c>
      <c r="P252" s="28">
        <v>45611</v>
      </c>
      <c r="Q252" s="28">
        <v>52916</v>
      </c>
      <c r="R252" s="25" t="str">
        <f t="shared" si="21"/>
        <v>男</v>
      </c>
      <c r="S252" s="26" t="s">
        <v>4032</v>
      </c>
      <c r="T252" s="28" t="str">
        <f>TEXT(MID(N252,7,6+(LEN(N252)=18)*2),"0-00-00")</f>
        <v>1996-10-09</v>
      </c>
      <c r="U252" s="25">
        <f ca="1">DATEDIF(T252,TODAY(),"Y")</f>
        <v>29</v>
      </c>
      <c r="V252" s="25">
        <v>15158202917</v>
      </c>
      <c r="W252" s="28">
        <v>45505</v>
      </c>
      <c r="X252" s="28">
        <v>45505</v>
      </c>
      <c r="Y252" s="29" t="str">
        <f t="shared" ca="1" si="17"/>
        <v>1年8个月</v>
      </c>
      <c r="Z252" s="25" t="s">
        <v>5797</v>
      </c>
      <c r="AA252" s="26" t="str">
        <f t="shared" ca="1" si="18"/>
        <v>5年7个月</v>
      </c>
      <c r="AB252" s="26" t="s">
        <v>5452</v>
      </c>
      <c r="AC252" s="25" t="s">
        <v>119</v>
      </c>
      <c r="AD252" s="25" t="s">
        <v>4035</v>
      </c>
      <c r="AE252" s="25"/>
      <c r="AF252" s="25"/>
      <c r="AG252" s="27"/>
      <c r="AH252" s="25"/>
      <c r="AI252" s="25"/>
      <c r="AJ252" s="25"/>
      <c r="AK252" s="27"/>
      <c r="AL252" s="25" t="s">
        <v>81</v>
      </c>
      <c r="AM252" s="25" t="s">
        <v>3987</v>
      </c>
      <c r="AN252" s="27" t="s">
        <v>5798</v>
      </c>
      <c r="AO252" s="25" t="s">
        <v>4839</v>
      </c>
      <c r="AP252" s="27" t="s">
        <v>5799</v>
      </c>
      <c r="AQ252" s="25" t="s">
        <v>4474</v>
      </c>
      <c r="AR252" s="25" t="s">
        <v>887</v>
      </c>
      <c r="AS252" s="26" t="s">
        <v>4088</v>
      </c>
      <c r="AT252" s="25" t="s">
        <v>4239</v>
      </c>
      <c r="AU252" s="25" t="s">
        <v>5800</v>
      </c>
      <c r="AV252" s="25" t="s">
        <v>5801</v>
      </c>
      <c r="AW252" s="30">
        <v>47695</v>
      </c>
      <c r="AX252" s="28">
        <v>45505</v>
      </c>
      <c r="AY252" s="28">
        <v>45869</v>
      </c>
      <c r="AZ252" s="28">
        <v>47695</v>
      </c>
      <c r="BA252" s="28"/>
      <c r="BB252" s="28"/>
      <c r="BC252" s="25"/>
      <c r="BD252" s="25"/>
      <c r="BE252" s="25"/>
      <c r="BF252" s="25"/>
      <c r="BG252" s="25"/>
      <c r="BH252" s="25"/>
      <c r="BI252" s="27"/>
    </row>
    <row r="253" spans="1:61" ht="15.6" x14ac:dyDescent="0.25">
      <c r="A253" s="25">
        <v>251</v>
      </c>
      <c r="B253" s="25" t="s">
        <v>5802</v>
      </c>
      <c r="C253" s="25" t="s">
        <v>4002</v>
      </c>
      <c r="D253" s="26" t="s">
        <v>4150</v>
      </c>
      <c r="E253" s="26" t="s">
        <v>4150</v>
      </c>
      <c r="F253" s="25" t="s">
        <v>4150</v>
      </c>
      <c r="G253" s="25" t="s">
        <v>4151</v>
      </c>
      <c r="H253" s="25"/>
      <c r="I253" s="25"/>
      <c r="J253" s="25" t="s">
        <v>2672</v>
      </c>
      <c r="K253" s="25" t="s">
        <v>361</v>
      </c>
      <c r="L253" s="25" t="s">
        <v>4423</v>
      </c>
      <c r="M253" s="25" t="s">
        <v>4029</v>
      </c>
      <c r="N253" s="27" t="s">
        <v>5803</v>
      </c>
      <c r="O253" s="27" t="s">
        <v>5804</v>
      </c>
      <c r="P253" s="28">
        <v>42879</v>
      </c>
      <c r="Q253" s="28">
        <v>50184</v>
      </c>
      <c r="R253" s="25" t="str">
        <f t="shared" si="21"/>
        <v>男</v>
      </c>
      <c r="S253" s="25" t="s">
        <v>3984</v>
      </c>
      <c r="T253" s="28" t="str">
        <f>TEXT(MID(N253,7,6+(LEN(N253)=18)*2),"0-00-00")</f>
        <v>1990-12-09</v>
      </c>
      <c r="U253" s="25">
        <f ca="1">DATEDIF(T253,TODAY(),"Y")</f>
        <v>35</v>
      </c>
      <c r="V253" s="25">
        <v>18788513905</v>
      </c>
      <c r="W253" s="28">
        <v>43836</v>
      </c>
      <c r="X253" s="28">
        <v>41456</v>
      </c>
      <c r="Y253" s="29" t="str">
        <f t="shared" ca="1" si="17"/>
        <v>12年9个月</v>
      </c>
      <c r="Z253" s="25"/>
      <c r="AA253" s="26" t="str">
        <f t="shared" ca="1" si="18"/>
        <v>12年9个月</v>
      </c>
      <c r="AB253" s="25" t="s">
        <v>29</v>
      </c>
      <c r="AC253" s="25" t="s">
        <v>119</v>
      </c>
      <c r="AD253" s="25" t="s">
        <v>4035</v>
      </c>
      <c r="AE253" s="25"/>
      <c r="AF253" s="25"/>
      <c r="AG253" s="27"/>
      <c r="AH253" s="25"/>
      <c r="AI253" s="25"/>
      <c r="AJ253" s="25"/>
      <c r="AK253" s="27"/>
      <c r="AL253" s="25" t="s">
        <v>81</v>
      </c>
      <c r="AM253" s="25" t="s">
        <v>4038</v>
      </c>
      <c r="AN253" s="27" t="s">
        <v>4039</v>
      </c>
      <c r="AO253" s="25" t="s">
        <v>5179</v>
      </c>
      <c r="AP253" s="27" t="s">
        <v>5805</v>
      </c>
      <c r="AQ253" s="25"/>
      <c r="AR253" s="25" t="s">
        <v>4106</v>
      </c>
      <c r="AS253" s="26" t="s">
        <v>4011</v>
      </c>
      <c r="AT253" s="25" t="s">
        <v>4722</v>
      </c>
      <c r="AU253" s="25" t="s">
        <v>2670</v>
      </c>
      <c r="AV253" s="25" t="s">
        <v>2670</v>
      </c>
      <c r="AW253" s="30" t="s">
        <v>4000</v>
      </c>
      <c r="AX253" s="28">
        <v>43836</v>
      </c>
      <c r="AY253" s="28" t="s">
        <v>4000</v>
      </c>
      <c r="AZ253" s="28"/>
      <c r="BA253" s="28"/>
      <c r="BB253" s="28"/>
      <c r="BC253" s="25"/>
      <c r="BD253" s="25"/>
      <c r="BE253" s="25"/>
      <c r="BF253" s="25"/>
      <c r="BG253" s="25"/>
      <c r="BH253" s="25"/>
      <c r="BI253" s="27"/>
    </row>
    <row r="254" spans="1:61" ht="15.6" x14ac:dyDescent="0.25">
      <c r="A254" s="25">
        <v>252</v>
      </c>
      <c r="B254" s="25" t="s">
        <v>5806</v>
      </c>
      <c r="C254" s="25" t="s">
        <v>4002</v>
      </c>
      <c r="D254" s="26" t="s">
        <v>4150</v>
      </c>
      <c r="E254" s="26" t="s">
        <v>4150</v>
      </c>
      <c r="F254" s="25" t="s">
        <v>4150</v>
      </c>
      <c r="G254" s="25" t="s">
        <v>4151</v>
      </c>
      <c r="H254" s="25"/>
      <c r="I254" s="25"/>
      <c r="J254" s="25" t="s">
        <v>4701</v>
      </c>
      <c r="K254" s="25" t="s">
        <v>361</v>
      </c>
      <c r="L254" s="25" t="s">
        <v>4100</v>
      </c>
      <c r="M254" s="25" t="s">
        <v>4029</v>
      </c>
      <c r="N254" s="27" t="s">
        <v>5807</v>
      </c>
      <c r="O254" s="27" t="s">
        <v>4073</v>
      </c>
      <c r="P254" s="28">
        <v>43685</v>
      </c>
      <c r="Q254" s="28">
        <v>50990</v>
      </c>
      <c r="R254" s="25" t="str">
        <f t="shared" si="21"/>
        <v>男</v>
      </c>
      <c r="S254" s="25" t="s">
        <v>3984</v>
      </c>
      <c r="T254" s="28" t="str">
        <f>TEXT(MID(N254,7,6+(LEN(N254)=18)*2),"0-00-00")</f>
        <v>1983-12-29</v>
      </c>
      <c r="U254" s="25">
        <f ca="1">DATEDIF(T254,TODAY(),"Y")</f>
        <v>42</v>
      </c>
      <c r="V254" s="25">
        <v>13708709425</v>
      </c>
      <c r="W254" s="28">
        <v>43836</v>
      </c>
      <c r="X254" s="28">
        <v>43836</v>
      </c>
      <c r="Y254" s="29" t="str">
        <f t="shared" ca="1" si="17"/>
        <v>6年3个月</v>
      </c>
      <c r="Z254" s="25" t="s">
        <v>5808</v>
      </c>
      <c r="AA254" s="26" t="str">
        <f t="shared" ca="1" si="18"/>
        <v>14年4个月</v>
      </c>
      <c r="AB254" s="25" t="s">
        <v>29</v>
      </c>
      <c r="AC254" s="25" t="s">
        <v>3985</v>
      </c>
      <c r="AD254" s="25" t="s">
        <v>3986</v>
      </c>
      <c r="AE254" s="25"/>
      <c r="AF254" s="25"/>
      <c r="AG254" s="27"/>
      <c r="AH254" s="25"/>
      <c r="AI254" s="25"/>
      <c r="AJ254" s="25"/>
      <c r="AK254" s="27"/>
      <c r="AL254" s="25" t="s">
        <v>81</v>
      </c>
      <c r="AM254" s="25" t="s">
        <v>3987</v>
      </c>
      <c r="AN254" s="42" t="s">
        <v>4221</v>
      </c>
      <c r="AO254" s="25" t="s">
        <v>4062</v>
      </c>
      <c r="AP254" s="27" t="s">
        <v>5809</v>
      </c>
      <c r="AQ254" s="25"/>
      <c r="AR254" s="25" t="s">
        <v>4455</v>
      </c>
      <c r="AS254" s="26" t="s">
        <v>3990</v>
      </c>
      <c r="AT254" s="25" t="s">
        <v>415</v>
      </c>
      <c r="AU254" s="25" t="s">
        <v>5810</v>
      </c>
      <c r="AV254" s="25" t="s">
        <v>5810</v>
      </c>
      <c r="AW254" s="30">
        <v>47238</v>
      </c>
      <c r="AX254" s="28">
        <v>43836</v>
      </c>
      <c r="AY254" s="28">
        <v>44201</v>
      </c>
      <c r="AZ254" s="28">
        <v>45412</v>
      </c>
      <c r="BA254" s="28">
        <v>47238</v>
      </c>
      <c r="BB254" s="28"/>
      <c r="BC254" s="25"/>
      <c r="BD254" s="25"/>
      <c r="BE254" s="25"/>
      <c r="BF254" s="25"/>
      <c r="BG254" s="25"/>
      <c r="BH254" s="25"/>
      <c r="BI254" s="27"/>
    </row>
    <row r="255" spans="1:61" ht="15.6" x14ac:dyDescent="0.25">
      <c r="A255" s="25">
        <v>253</v>
      </c>
      <c r="B255" s="26" t="s">
        <v>5811</v>
      </c>
      <c r="C255" s="25" t="s">
        <v>4002</v>
      </c>
      <c r="D255" s="26" t="s">
        <v>4150</v>
      </c>
      <c r="E255" s="26" t="s">
        <v>4150</v>
      </c>
      <c r="F255" s="25" t="s">
        <v>4150</v>
      </c>
      <c r="G255" s="25" t="s">
        <v>5812</v>
      </c>
      <c r="H255" s="26"/>
      <c r="I255" s="26"/>
      <c r="J255" s="25" t="s">
        <v>3507</v>
      </c>
      <c r="K255" s="25" t="s">
        <v>399</v>
      </c>
      <c r="L255" s="25" t="s">
        <v>1553</v>
      </c>
      <c r="M255" s="25" t="s">
        <v>4029</v>
      </c>
      <c r="N255" s="35" t="s">
        <v>5813</v>
      </c>
      <c r="O255" s="35" t="s">
        <v>4073</v>
      </c>
      <c r="P255" s="36">
        <v>39190</v>
      </c>
      <c r="Q255" s="36">
        <v>46495</v>
      </c>
      <c r="R255" s="25" t="str">
        <f t="shared" si="21"/>
        <v>男</v>
      </c>
      <c r="S255" s="25" t="s">
        <v>3984</v>
      </c>
      <c r="T255" s="28" t="s">
        <v>3504</v>
      </c>
      <c r="U255" s="25">
        <v>44</v>
      </c>
      <c r="V255" s="25">
        <v>13888047022</v>
      </c>
      <c r="W255" s="28">
        <v>43836</v>
      </c>
      <c r="X255" s="28">
        <v>38594</v>
      </c>
      <c r="Y255" s="29" t="str">
        <f t="shared" ca="1" si="17"/>
        <v>20年7个月</v>
      </c>
      <c r="Z255" s="25" t="s">
        <v>4511</v>
      </c>
      <c r="AA255" s="26" t="str">
        <f t="shared" ca="1" si="18"/>
        <v>22年4个月</v>
      </c>
      <c r="AB255" s="25" t="s">
        <v>29</v>
      </c>
      <c r="AC255" s="25" t="s">
        <v>3985</v>
      </c>
      <c r="AD255" s="25" t="s">
        <v>3986</v>
      </c>
      <c r="AE255" s="25" t="s">
        <v>1654</v>
      </c>
      <c r="AF255" s="25" t="s">
        <v>437</v>
      </c>
      <c r="AG255" s="27" t="s">
        <v>5814</v>
      </c>
      <c r="AH255" s="25"/>
      <c r="AI255" s="25"/>
      <c r="AJ255" s="25"/>
      <c r="AK255" s="27"/>
      <c r="AL255" s="25" t="s">
        <v>81</v>
      </c>
      <c r="AM255" s="25" t="s">
        <v>3987</v>
      </c>
      <c r="AN255" s="72"/>
      <c r="AO255" s="25" t="s">
        <v>5815</v>
      </c>
      <c r="AP255" s="27" t="s">
        <v>5816</v>
      </c>
      <c r="AQ255" s="25"/>
      <c r="AR255" s="25" t="s">
        <v>4382</v>
      </c>
      <c r="AS255" s="26" t="s">
        <v>4011</v>
      </c>
      <c r="AT255" s="25" t="s">
        <v>415</v>
      </c>
      <c r="AU255" s="25" t="s">
        <v>3388</v>
      </c>
      <c r="AV255" s="25" t="s">
        <v>3505</v>
      </c>
      <c r="AW255" s="30" t="s">
        <v>4000</v>
      </c>
      <c r="AX255" s="28">
        <v>43836</v>
      </c>
      <c r="AY255" s="28" t="s">
        <v>4000</v>
      </c>
      <c r="AZ255" s="36"/>
      <c r="BA255" s="36"/>
      <c r="BB255" s="26"/>
      <c r="BC255" s="26"/>
      <c r="BD255" s="26"/>
      <c r="BE255" s="26"/>
      <c r="BF255" s="26"/>
      <c r="BG255" s="26"/>
      <c r="BH255" s="26"/>
      <c r="BI255" s="26"/>
    </row>
    <row r="256" spans="1:61" ht="15.6" x14ac:dyDescent="0.25">
      <c r="A256" s="25">
        <v>254</v>
      </c>
      <c r="B256" s="25" t="s">
        <v>5817</v>
      </c>
      <c r="C256" s="25" t="s">
        <v>4002</v>
      </c>
      <c r="D256" s="26" t="s">
        <v>4150</v>
      </c>
      <c r="E256" s="26" t="s">
        <v>4150</v>
      </c>
      <c r="F256" s="25" t="s">
        <v>4150</v>
      </c>
      <c r="G256" s="25" t="s">
        <v>491</v>
      </c>
      <c r="H256" s="25"/>
      <c r="I256" s="25"/>
      <c r="J256" s="25" t="s">
        <v>2434</v>
      </c>
      <c r="K256" s="25" t="s">
        <v>676</v>
      </c>
      <c r="L256" s="25" t="s">
        <v>4016</v>
      </c>
      <c r="M256" s="25" t="s">
        <v>4080</v>
      </c>
      <c r="N256" s="27" t="s">
        <v>5818</v>
      </c>
      <c r="O256" s="27" t="s">
        <v>5451</v>
      </c>
      <c r="P256" s="28">
        <v>44550</v>
      </c>
      <c r="Q256" s="28">
        <v>51855</v>
      </c>
      <c r="R256" s="25" t="str">
        <f t="shared" si="21"/>
        <v>男</v>
      </c>
      <c r="S256" s="25" t="s">
        <v>4082</v>
      </c>
      <c r="T256" s="28" t="str">
        <f t="shared" ref="T256:T319" si="22">TEXT(MID(N256,7,6+(LEN(N256)=18)*2),"0-00-00")</f>
        <v>1991-06-20</v>
      </c>
      <c r="U256" s="25">
        <f t="shared" ref="U256:U319" ca="1" si="23">DATEDIF(T256,TODAY(),"Y")</f>
        <v>34</v>
      </c>
      <c r="V256" s="25">
        <v>18213445581</v>
      </c>
      <c r="W256" s="28">
        <v>43836</v>
      </c>
      <c r="X256" s="28">
        <v>41821</v>
      </c>
      <c r="Y256" s="29" t="str">
        <f t="shared" ca="1" si="17"/>
        <v>11年9个月</v>
      </c>
      <c r="Z256" s="25"/>
      <c r="AA256" s="26" t="str">
        <f t="shared" ca="1" si="18"/>
        <v>11年9个月</v>
      </c>
      <c r="AB256" s="25" t="s">
        <v>29</v>
      </c>
      <c r="AC256" s="25" t="s">
        <v>3985</v>
      </c>
      <c r="AD256" s="25" t="s">
        <v>4035</v>
      </c>
      <c r="AE256" s="25" t="s">
        <v>1654</v>
      </c>
      <c r="AF256" s="25" t="s">
        <v>1012</v>
      </c>
      <c r="AG256" s="27" t="s">
        <v>5819</v>
      </c>
      <c r="AH256" s="25"/>
      <c r="AI256" s="25"/>
      <c r="AJ256" s="25"/>
      <c r="AK256" s="27"/>
      <c r="AL256" s="25" t="s">
        <v>81</v>
      </c>
      <c r="AM256" s="25" t="s">
        <v>3987</v>
      </c>
      <c r="AN256" s="27" t="s">
        <v>5820</v>
      </c>
      <c r="AO256" s="25" t="s">
        <v>4062</v>
      </c>
      <c r="AP256" s="27" t="s">
        <v>5821</v>
      </c>
      <c r="AQ256" s="25"/>
      <c r="AR256" s="25" t="s">
        <v>4455</v>
      </c>
      <c r="AS256" s="26" t="s">
        <v>4011</v>
      </c>
      <c r="AT256" s="25" t="s">
        <v>608</v>
      </c>
      <c r="AU256" s="25" t="s">
        <v>2432</v>
      </c>
      <c r="AV256" s="25" t="s">
        <v>2432</v>
      </c>
      <c r="AW256" s="30">
        <v>46873</v>
      </c>
      <c r="AX256" s="28">
        <v>43836</v>
      </c>
      <c r="AY256" s="28">
        <v>44931</v>
      </c>
      <c r="AZ256" s="28">
        <v>46873</v>
      </c>
      <c r="BA256" s="28"/>
      <c r="BB256" s="28"/>
      <c r="BC256" s="25"/>
      <c r="BD256" s="25"/>
      <c r="BE256" s="25"/>
      <c r="BF256" s="25"/>
      <c r="BG256" s="25"/>
      <c r="BH256" s="25"/>
      <c r="BI256" s="27"/>
    </row>
    <row r="257" spans="1:61" ht="15.6" x14ac:dyDescent="0.25">
      <c r="A257" s="25">
        <v>255</v>
      </c>
      <c r="B257" s="25" t="s">
        <v>5822</v>
      </c>
      <c r="C257" s="25" t="s">
        <v>4002</v>
      </c>
      <c r="D257" s="26" t="s">
        <v>4150</v>
      </c>
      <c r="E257" s="26" t="s">
        <v>4150</v>
      </c>
      <c r="F257" s="25" t="s">
        <v>4150</v>
      </c>
      <c r="G257" s="25" t="s">
        <v>5812</v>
      </c>
      <c r="H257" s="25"/>
      <c r="I257" s="25"/>
      <c r="J257" s="25" t="s">
        <v>2531</v>
      </c>
      <c r="K257" s="25" t="s">
        <v>676</v>
      </c>
      <c r="L257" s="25" t="s">
        <v>4016</v>
      </c>
      <c r="M257" s="25" t="s">
        <v>4080</v>
      </c>
      <c r="N257" s="27" t="s">
        <v>5823</v>
      </c>
      <c r="O257" s="27" t="s">
        <v>4031</v>
      </c>
      <c r="P257" s="28">
        <v>43776</v>
      </c>
      <c r="Q257" s="28">
        <v>51081</v>
      </c>
      <c r="R257" s="25" t="str">
        <f t="shared" si="21"/>
        <v>男</v>
      </c>
      <c r="S257" s="25" t="s">
        <v>3984</v>
      </c>
      <c r="T257" s="28" t="str">
        <f t="shared" si="22"/>
        <v>1986-12-01</v>
      </c>
      <c r="U257" s="25">
        <f t="shared" ca="1" si="23"/>
        <v>39</v>
      </c>
      <c r="V257" s="25">
        <v>15125913625</v>
      </c>
      <c r="W257" s="28">
        <v>43836</v>
      </c>
      <c r="X257" s="28">
        <v>41702</v>
      </c>
      <c r="Y257" s="29" t="str">
        <f t="shared" ca="1" si="17"/>
        <v>12年1个月</v>
      </c>
      <c r="Z257" s="25" t="s">
        <v>1731</v>
      </c>
      <c r="AA257" s="26" t="str">
        <f t="shared" ca="1" si="18"/>
        <v>17年3个月</v>
      </c>
      <c r="AB257" s="25" t="s">
        <v>4034</v>
      </c>
      <c r="AC257" s="25" t="s">
        <v>3985</v>
      </c>
      <c r="AD257" s="25" t="s">
        <v>3986</v>
      </c>
      <c r="AE257" s="25" t="s">
        <v>1837</v>
      </c>
      <c r="AF257" s="25" t="s">
        <v>437</v>
      </c>
      <c r="AG257" s="27" t="s">
        <v>5824</v>
      </c>
      <c r="AH257" s="25" t="s">
        <v>4036</v>
      </c>
      <c r="AI257" s="25" t="s">
        <v>2242</v>
      </c>
      <c r="AJ257" s="25" t="s">
        <v>964</v>
      </c>
      <c r="AK257" s="27" t="s">
        <v>5825</v>
      </c>
      <c r="AL257" s="25" t="s">
        <v>81</v>
      </c>
      <c r="AM257" s="25" t="s">
        <v>3987</v>
      </c>
      <c r="AN257" s="27" t="s">
        <v>5826</v>
      </c>
      <c r="AO257" s="25" t="s">
        <v>5604</v>
      </c>
      <c r="AP257" s="27" t="s">
        <v>5827</v>
      </c>
      <c r="AQ257" s="25">
        <v>211</v>
      </c>
      <c r="AR257" s="25" t="s">
        <v>4770</v>
      </c>
      <c r="AS257" s="26" t="s">
        <v>4011</v>
      </c>
      <c r="AT257" s="25" t="s">
        <v>4043</v>
      </c>
      <c r="AU257" s="25" t="s">
        <v>5828</v>
      </c>
      <c r="AV257" s="25" t="s">
        <v>5828</v>
      </c>
      <c r="AW257" s="30">
        <v>46142</v>
      </c>
      <c r="AX257" s="28">
        <v>43836</v>
      </c>
      <c r="AY257" s="28">
        <v>44931</v>
      </c>
      <c r="AZ257" s="28">
        <v>46142</v>
      </c>
      <c r="BA257" s="28"/>
      <c r="BB257" s="28"/>
      <c r="BC257" s="25"/>
      <c r="BD257" s="25"/>
      <c r="BE257" s="25"/>
      <c r="BF257" s="25"/>
      <c r="BG257" s="25"/>
      <c r="BH257" s="25"/>
      <c r="BI257" s="27"/>
    </row>
    <row r="258" spans="1:61" ht="15.6" x14ac:dyDescent="0.25">
      <c r="A258" s="25">
        <v>256</v>
      </c>
      <c r="B258" s="25" t="s">
        <v>5829</v>
      </c>
      <c r="C258" s="26" t="s">
        <v>4002</v>
      </c>
      <c r="D258" s="26" t="s">
        <v>4150</v>
      </c>
      <c r="E258" s="26" t="s">
        <v>4150</v>
      </c>
      <c r="F258" s="25" t="s">
        <v>4150</v>
      </c>
      <c r="G258" s="25" t="s">
        <v>491</v>
      </c>
      <c r="H258" s="25"/>
      <c r="I258" s="25"/>
      <c r="J258" s="25" t="s">
        <v>1526</v>
      </c>
      <c r="K258" s="25" t="s">
        <v>399</v>
      </c>
      <c r="L258" s="25" t="s">
        <v>1553</v>
      </c>
      <c r="M258" s="25" t="s">
        <v>4029</v>
      </c>
      <c r="N258" s="27" t="s">
        <v>5830</v>
      </c>
      <c r="O258" s="27" t="s">
        <v>4552</v>
      </c>
      <c r="P258" s="28">
        <v>44063</v>
      </c>
      <c r="Q258" s="28">
        <v>51368</v>
      </c>
      <c r="R258" s="25" t="str">
        <f t="shared" si="21"/>
        <v>男</v>
      </c>
      <c r="S258" s="25" t="s">
        <v>3984</v>
      </c>
      <c r="T258" s="28" t="str">
        <f t="shared" si="22"/>
        <v>1984-12-06</v>
      </c>
      <c r="U258" s="25">
        <f t="shared" ca="1" si="23"/>
        <v>41</v>
      </c>
      <c r="V258" s="25">
        <v>15087074230</v>
      </c>
      <c r="W258" s="28">
        <v>43836</v>
      </c>
      <c r="X258" s="28">
        <v>42433</v>
      </c>
      <c r="Y258" s="29" t="str">
        <f t="shared" ca="1" si="17"/>
        <v>10年1个月</v>
      </c>
      <c r="Z258" s="25" t="s">
        <v>4480</v>
      </c>
      <c r="AA258" s="26" t="str">
        <f t="shared" ca="1" si="18"/>
        <v>13年1个月</v>
      </c>
      <c r="AB258" s="25" t="s">
        <v>4049</v>
      </c>
      <c r="AC258" s="25" t="s">
        <v>3985</v>
      </c>
      <c r="AD258" s="25" t="s">
        <v>4035</v>
      </c>
      <c r="AE258" s="25" t="s">
        <v>1095</v>
      </c>
      <c r="AF258" s="25" t="s">
        <v>4050</v>
      </c>
      <c r="AG258" s="27" t="s">
        <v>5831</v>
      </c>
      <c r="AH258" s="25"/>
      <c r="AI258" s="25"/>
      <c r="AJ258" s="25"/>
      <c r="AK258" s="27"/>
      <c r="AL258" s="25" t="s">
        <v>81</v>
      </c>
      <c r="AM258" s="25" t="s">
        <v>3987</v>
      </c>
      <c r="AN258" s="27" t="s">
        <v>5832</v>
      </c>
      <c r="AO258" s="25" t="s">
        <v>5833</v>
      </c>
      <c r="AP258" s="27" t="s">
        <v>5834</v>
      </c>
      <c r="AQ258" s="25">
        <v>211</v>
      </c>
      <c r="AR258" s="25" t="s">
        <v>4382</v>
      </c>
      <c r="AS258" s="26" t="s">
        <v>4011</v>
      </c>
      <c r="AT258" s="25" t="s">
        <v>4137</v>
      </c>
      <c r="AU258" s="25" t="s">
        <v>5835</v>
      </c>
      <c r="AV258" s="25" t="s">
        <v>5836</v>
      </c>
      <c r="AW258" s="30">
        <v>46873</v>
      </c>
      <c r="AX258" s="28">
        <v>43836</v>
      </c>
      <c r="AY258" s="28">
        <v>44931</v>
      </c>
      <c r="AZ258" s="28">
        <v>46873</v>
      </c>
      <c r="BA258" s="25"/>
      <c r="BB258" s="25"/>
      <c r="BC258" s="25"/>
      <c r="BD258" s="25"/>
      <c r="BE258" s="25"/>
      <c r="BF258" s="25"/>
      <c r="BG258" s="25"/>
      <c r="BH258" s="25"/>
      <c r="BI258" s="56" t="s">
        <v>5837</v>
      </c>
    </row>
    <row r="259" spans="1:61" ht="15.6" x14ac:dyDescent="0.25">
      <c r="A259" s="25">
        <v>257</v>
      </c>
      <c r="B259" s="25" t="s">
        <v>5838</v>
      </c>
      <c r="C259" s="25" t="s">
        <v>4002</v>
      </c>
      <c r="D259" s="26" t="s">
        <v>4150</v>
      </c>
      <c r="E259" s="26" t="s">
        <v>4150</v>
      </c>
      <c r="F259" s="25" t="s">
        <v>4150</v>
      </c>
      <c r="G259" s="25" t="s">
        <v>491</v>
      </c>
      <c r="H259" s="25"/>
      <c r="I259" s="25"/>
      <c r="J259" s="25" t="s">
        <v>1526</v>
      </c>
      <c r="K259" s="25" t="s">
        <v>399</v>
      </c>
      <c r="L259" s="25" t="s">
        <v>1553</v>
      </c>
      <c r="M259" s="25" t="s">
        <v>4029</v>
      </c>
      <c r="N259" s="27" t="s">
        <v>5839</v>
      </c>
      <c r="O259" s="27" t="s">
        <v>5451</v>
      </c>
      <c r="P259" s="28">
        <v>43446</v>
      </c>
      <c r="Q259" s="28">
        <v>50751</v>
      </c>
      <c r="R259" s="25" t="str">
        <f t="shared" si="21"/>
        <v>男</v>
      </c>
      <c r="S259" s="25" t="s">
        <v>4082</v>
      </c>
      <c r="T259" s="28" t="str">
        <f t="shared" si="22"/>
        <v>1990-12-18</v>
      </c>
      <c r="U259" s="25">
        <f t="shared" ca="1" si="23"/>
        <v>35</v>
      </c>
      <c r="V259" s="25">
        <v>15198750460</v>
      </c>
      <c r="W259" s="28">
        <v>43836</v>
      </c>
      <c r="X259" s="28">
        <v>41701</v>
      </c>
      <c r="Y259" s="29" t="str">
        <f t="shared" ca="1" si="17"/>
        <v>12年1个月</v>
      </c>
      <c r="Z259" s="25" t="s">
        <v>5840</v>
      </c>
      <c r="AA259" s="26" t="str">
        <f t="shared" ca="1" si="18"/>
        <v>12年7个月</v>
      </c>
      <c r="AB259" s="25" t="s">
        <v>4034</v>
      </c>
      <c r="AC259" s="25" t="s">
        <v>3985</v>
      </c>
      <c r="AD259" s="25" t="s">
        <v>3986</v>
      </c>
      <c r="AE259" s="25" t="s">
        <v>1654</v>
      </c>
      <c r="AF259" s="25" t="s">
        <v>1012</v>
      </c>
      <c r="AG259" s="27" t="s">
        <v>5841</v>
      </c>
      <c r="AH259" s="25"/>
      <c r="AI259" s="25"/>
      <c r="AJ259" s="25"/>
      <c r="AK259" s="27"/>
      <c r="AL259" s="25" t="s">
        <v>81</v>
      </c>
      <c r="AM259" s="25" t="s">
        <v>3987</v>
      </c>
      <c r="AN259" s="27" t="s">
        <v>5842</v>
      </c>
      <c r="AO259" s="25" t="s">
        <v>4965</v>
      </c>
      <c r="AP259" s="27" t="s">
        <v>5843</v>
      </c>
      <c r="AQ259" s="25">
        <v>211</v>
      </c>
      <c r="AR259" s="27" t="s">
        <v>4382</v>
      </c>
      <c r="AS259" s="26" t="s">
        <v>4011</v>
      </c>
      <c r="AT259" s="25" t="s">
        <v>4419</v>
      </c>
      <c r="AU259" s="25" t="s">
        <v>5844</v>
      </c>
      <c r="AV259" s="25" t="s">
        <v>5844</v>
      </c>
      <c r="AW259" s="30" t="s">
        <v>4000</v>
      </c>
      <c r="AX259" s="28">
        <v>43836</v>
      </c>
      <c r="AY259" s="28" t="s">
        <v>4000</v>
      </c>
      <c r="AZ259" s="28"/>
      <c r="BA259" s="28"/>
      <c r="BB259" s="28"/>
      <c r="BC259" s="25"/>
      <c r="BD259" s="25"/>
      <c r="BE259" s="25"/>
      <c r="BF259" s="25"/>
      <c r="BG259" s="25"/>
      <c r="BH259" s="25"/>
      <c r="BI259" s="25"/>
    </row>
    <row r="260" spans="1:61" ht="15.6" x14ac:dyDescent="0.25">
      <c r="A260" s="25">
        <v>258</v>
      </c>
      <c r="B260" s="25" t="s">
        <v>5845</v>
      </c>
      <c r="C260" s="25" t="s">
        <v>4002</v>
      </c>
      <c r="D260" s="26" t="s">
        <v>4150</v>
      </c>
      <c r="E260" s="26" t="s">
        <v>4150</v>
      </c>
      <c r="F260" s="25" t="s">
        <v>4150</v>
      </c>
      <c r="G260" s="25" t="s">
        <v>491</v>
      </c>
      <c r="H260" s="25"/>
      <c r="I260" s="25"/>
      <c r="J260" s="25" t="s">
        <v>1526</v>
      </c>
      <c r="K260" s="25" t="s">
        <v>399</v>
      </c>
      <c r="L260" s="25" t="s">
        <v>1553</v>
      </c>
      <c r="M260" s="25" t="s">
        <v>4029</v>
      </c>
      <c r="N260" s="27" t="s">
        <v>5846</v>
      </c>
      <c r="O260" s="27" t="s">
        <v>5847</v>
      </c>
      <c r="P260" s="28">
        <v>43403</v>
      </c>
      <c r="Q260" s="28">
        <v>50708</v>
      </c>
      <c r="R260" s="25" t="str">
        <f t="shared" si="21"/>
        <v>男</v>
      </c>
      <c r="S260" s="25" t="s">
        <v>3984</v>
      </c>
      <c r="T260" s="28" t="str">
        <f t="shared" si="22"/>
        <v>1991-11-01</v>
      </c>
      <c r="U260" s="25">
        <f t="shared" ca="1" si="23"/>
        <v>34</v>
      </c>
      <c r="V260" s="25">
        <v>13354620129</v>
      </c>
      <c r="W260" s="28">
        <v>43836</v>
      </c>
      <c r="X260" s="28">
        <v>41821</v>
      </c>
      <c r="Y260" s="29" t="str">
        <f t="shared" ca="1" si="17"/>
        <v>11年9个月</v>
      </c>
      <c r="Z260" s="25"/>
      <c r="AA260" s="26" t="str">
        <f t="shared" ca="1" si="18"/>
        <v>11年9个月</v>
      </c>
      <c r="AB260" s="25" t="s">
        <v>29</v>
      </c>
      <c r="AC260" s="25" t="s">
        <v>3985</v>
      </c>
      <c r="AD260" s="25" t="s">
        <v>4035</v>
      </c>
      <c r="AE260" s="25" t="s">
        <v>1654</v>
      </c>
      <c r="AF260" s="25" t="s">
        <v>1012</v>
      </c>
      <c r="AG260" s="27" t="s">
        <v>5848</v>
      </c>
      <c r="AH260" s="25"/>
      <c r="AI260" s="25"/>
      <c r="AJ260" s="25"/>
      <c r="AK260" s="27"/>
      <c r="AL260" s="25" t="s">
        <v>81</v>
      </c>
      <c r="AM260" s="25" t="s">
        <v>3987</v>
      </c>
      <c r="AN260" s="27" t="s">
        <v>5849</v>
      </c>
      <c r="AO260" s="25" t="s">
        <v>4062</v>
      </c>
      <c r="AP260" s="27" t="s">
        <v>5850</v>
      </c>
      <c r="AQ260" s="25"/>
      <c r="AR260" s="25" t="s">
        <v>4455</v>
      </c>
      <c r="AS260" s="26" t="s">
        <v>4011</v>
      </c>
      <c r="AT260" s="25" t="s">
        <v>353</v>
      </c>
      <c r="AU260" s="25" t="s">
        <v>2401</v>
      </c>
      <c r="AV260" s="25" t="s">
        <v>2401</v>
      </c>
      <c r="AW260" s="30" t="s">
        <v>4000</v>
      </c>
      <c r="AX260" s="28">
        <v>43836</v>
      </c>
      <c r="AY260" s="28">
        <v>44931</v>
      </c>
      <c r="AZ260" s="28" t="s">
        <v>4000</v>
      </c>
      <c r="BA260" s="28"/>
      <c r="BB260" s="28"/>
      <c r="BC260" s="25"/>
      <c r="BD260" s="25"/>
      <c r="BE260" s="25"/>
      <c r="BF260" s="25"/>
      <c r="BG260" s="25"/>
      <c r="BH260" s="25"/>
      <c r="BI260" s="27"/>
    </row>
    <row r="261" spans="1:61" ht="15.6" x14ac:dyDescent="0.25">
      <c r="A261" s="25">
        <v>259</v>
      </c>
      <c r="B261" s="25" t="s">
        <v>5851</v>
      </c>
      <c r="C261" s="25" t="s">
        <v>4002</v>
      </c>
      <c r="D261" s="26" t="s">
        <v>4150</v>
      </c>
      <c r="E261" s="26" t="s">
        <v>4150</v>
      </c>
      <c r="F261" s="25" t="s">
        <v>4150</v>
      </c>
      <c r="G261" s="25" t="s">
        <v>491</v>
      </c>
      <c r="H261" s="25"/>
      <c r="I261" s="25"/>
      <c r="J261" s="25" t="s">
        <v>1526</v>
      </c>
      <c r="K261" s="25" t="s">
        <v>399</v>
      </c>
      <c r="L261" s="25" t="s">
        <v>1553</v>
      </c>
      <c r="M261" s="25" t="s">
        <v>4029</v>
      </c>
      <c r="N261" s="27" t="s">
        <v>5852</v>
      </c>
      <c r="O261" s="27" t="s">
        <v>5853</v>
      </c>
      <c r="P261" s="28">
        <v>43593</v>
      </c>
      <c r="Q261" s="28">
        <v>47246</v>
      </c>
      <c r="R261" s="25" t="str">
        <f t="shared" si="21"/>
        <v>女</v>
      </c>
      <c r="S261" s="25" t="s">
        <v>3984</v>
      </c>
      <c r="T261" s="28" t="str">
        <f t="shared" si="22"/>
        <v>1997-03-22</v>
      </c>
      <c r="U261" s="25">
        <f t="shared" ca="1" si="23"/>
        <v>29</v>
      </c>
      <c r="V261" s="25">
        <v>15126188306</v>
      </c>
      <c r="W261" s="28">
        <v>44389</v>
      </c>
      <c r="X261" s="28">
        <v>44389</v>
      </c>
      <c r="Y261" s="29" t="str">
        <f t="shared" ca="1" si="17"/>
        <v>4年9个月</v>
      </c>
      <c r="Z261" s="25" t="s">
        <v>4060</v>
      </c>
      <c r="AA261" s="26" t="str">
        <f t="shared" ca="1" si="18"/>
        <v>5年6个月</v>
      </c>
      <c r="AB261" s="25" t="s">
        <v>29</v>
      </c>
      <c r="AC261" s="25" t="s">
        <v>119</v>
      </c>
      <c r="AD261" s="25" t="s">
        <v>4035</v>
      </c>
      <c r="AE261" s="25"/>
      <c r="AF261" s="25"/>
      <c r="AG261" s="27"/>
      <c r="AH261" s="25" t="s">
        <v>4036</v>
      </c>
      <c r="AI261" s="25" t="s">
        <v>965</v>
      </c>
      <c r="AJ261" s="25" t="s">
        <v>4050</v>
      </c>
      <c r="AK261" s="27" t="s">
        <v>5854</v>
      </c>
      <c r="AL261" s="25" t="s">
        <v>81</v>
      </c>
      <c r="AM261" s="25" t="s">
        <v>3987</v>
      </c>
      <c r="AN261" s="27" t="s">
        <v>5855</v>
      </c>
      <c r="AO261" s="25" t="s">
        <v>5856</v>
      </c>
      <c r="AP261" s="27" t="s">
        <v>5857</v>
      </c>
      <c r="AQ261" s="25"/>
      <c r="AR261" s="25" t="s">
        <v>405</v>
      </c>
      <c r="AS261" s="26" t="s">
        <v>4011</v>
      </c>
      <c r="AT261" s="25" t="s">
        <v>1458</v>
      </c>
      <c r="AU261" s="25" t="s">
        <v>5858</v>
      </c>
      <c r="AV261" s="25" t="s">
        <v>5858</v>
      </c>
      <c r="AW261" s="30">
        <v>47603</v>
      </c>
      <c r="AX261" s="28">
        <v>44389</v>
      </c>
      <c r="AY261" s="28">
        <v>44753</v>
      </c>
      <c r="AZ261" s="28">
        <v>45777</v>
      </c>
      <c r="BA261" s="28">
        <v>47603</v>
      </c>
      <c r="BB261" s="28"/>
      <c r="BC261" s="25"/>
      <c r="BD261" s="25"/>
      <c r="BE261" s="25"/>
      <c r="BF261" s="25"/>
      <c r="BG261" s="25"/>
      <c r="BH261" s="25"/>
      <c r="BI261" s="27"/>
    </row>
    <row r="262" spans="1:61" ht="15.6" x14ac:dyDescent="0.25">
      <c r="A262" s="25">
        <v>260</v>
      </c>
      <c r="B262" s="25" t="s">
        <v>5859</v>
      </c>
      <c r="C262" s="25" t="s">
        <v>4002</v>
      </c>
      <c r="D262" s="26" t="s">
        <v>4150</v>
      </c>
      <c r="E262" s="26" t="s">
        <v>4150</v>
      </c>
      <c r="F262" s="25" t="s">
        <v>4150</v>
      </c>
      <c r="G262" s="25" t="s">
        <v>491</v>
      </c>
      <c r="H262" s="25"/>
      <c r="I262" s="25"/>
      <c r="J262" s="25" t="s">
        <v>1848</v>
      </c>
      <c r="K262" s="25" t="s">
        <v>399</v>
      </c>
      <c r="L262" s="25" t="s">
        <v>1553</v>
      </c>
      <c r="M262" s="25" t="s">
        <v>4029</v>
      </c>
      <c r="N262" s="27" t="s">
        <v>5860</v>
      </c>
      <c r="O262" s="27" t="s">
        <v>5861</v>
      </c>
      <c r="P262" s="28">
        <v>43153</v>
      </c>
      <c r="Q262" s="28">
        <v>50458</v>
      </c>
      <c r="R262" s="25" t="str">
        <f t="shared" si="21"/>
        <v>男</v>
      </c>
      <c r="S262" s="25" t="s">
        <v>3984</v>
      </c>
      <c r="T262" s="28" t="str">
        <f t="shared" si="22"/>
        <v>1986-10-01</v>
      </c>
      <c r="U262" s="25">
        <f t="shared" ca="1" si="23"/>
        <v>39</v>
      </c>
      <c r="V262" s="25">
        <v>15287134060</v>
      </c>
      <c r="W262" s="28">
        <v>43836</v>
      </c>
      <c r="X262" s="28">
        <v>41452</v>
      </c>
      <c r="Y262" s="29" t="str">
        <f t="shared" ref="Y262:Y325" ca="1" si="24">DATEDIF(X262,TODAY(),"Y")&amp;"年"&amp;TEXT(DATEDIF(X262,TODAY(),"YM"),"0")&amp;"个月"</f>
        <v>12年9个月</v>
      </c>
      <c r="Z262" s="25"/>
      <c r="AA262" s="26"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5" t="s">
        <v>29</v>
      </c>
      <c r="AC262" s="25" t="s">
        <v>3985</v>
      </c>
      <c r="AD262" s="25" t="s">
        <v>4035</v>
      </c>
      <c r="AE262" s="25" t="s">
        <v>1559</v>
      </c>
      <c r="AF262" s="25" t="s">
        <v>1012</v>
      </c>
      <c r="AG262" s="27" t="s">
        <v>5862</v>
      </c>
      <c r="AH262" s="25"/>
      <c r="AI262" s="25"/>
      <c r="AJ262" s="25"/>
      <c r="AK262" s="27"/>
      <c r="AL262" s="25" t="s">
        <v>81</v>
      </c>
      <c r="AM262" s="25" t="s">
        <v>3987</v>
      </c>
      <c r="AN262" s="27" t="s">
        <v>5863</v>
      </c>
      <c r="AO262" s="25" t="s">
        <v>5864</v>
      </c>
      <c r="AP262" s="27" t="s">
        <v>5865</v>
      </c>
      <c r="AQ262" s="25"/>
      <c r="AR262" s="25" t="s">
        <v>4780</v>
      </c>
      <c r="AS262" s="26" t="s">
        <v>4011</v>
      </c>
      <c r="AT262" s="25" t="s">
        <v>4456</v>
      </c>
      <c r="AU262" s="25" t="s">
        <v>5866</v>
      </c>
      <c r="AV262" s="25" t="s">
        <v>5866</v>
      </c>
      <c r="AW262" s="30" t="s">
        <v>4000</v>
      </c>
      <c r="AX262" s="28">
        <v>43836</v>
      </c>
      <c r="AY262" s="28" t="s">
        <v>4000</v>
      </c>
      <c r="AZ262" s="28"/>
      <c r="BA262" s="28"/>
      <c r="BB262" s="28"/>
      <c r="BC262" s="25"/>
      <c r="BD262" s="25"/>
      <c r="BE262" s="25"/>
      <c r="BF262" s="25"/>
      <c r="BG262" s="25"/>
      <c r="BH262" s="25"/>
      <c r="BI262" s="27"/>
    </row>
    <row r="263" spans="1:61" ht="15.6" x14ac:dyDescent="0.25">
      <c r="A263" s="25">
        <v>261</v>
      </c>
      <c r="B263" s="25" t="s">
        <v>5867</v>
      </c>
      <c r="C263" s="25" t="s">
        <v>4002</v>
      </c>
      <c r="D263" s="26" t="s">
        <v>4150</v>
      </c>
      <c r="E263" s="26" t="s">
        <v>4150</v>
      </c>
      <c r="F263" s="25" t="s">
        <v>4150</v>
      </c>
      <c r="G263" s="25" t="s">
        <v>491</v>
      </c>
      <c r="H263" s="25"/>
      <c r="I263" s="25"/>
      <c r="J263" s="25" t="s">
        <v>1848</v>
      </c>
      <c r="K263" s="25" t="s">
        <v>399</v>
      </c>
      <c r="L263" s="25" t="s">
        <v>1553</v>
      </c>
      <c r="M263" s="25" t="s">
        <v>4029</v>
      </c>
      <c r="N263" s="27" t="s">
        <v>5868</v>
      </c>
      <c r="O263" s="27" t="s">
        <v>5796</v>
      </c>
      <c r="P263" s="28">
        <v>43371</v>
      </c>
      <c r="Q263" s="28">
        <v>50676</v>
      </c>
      <c r="R263" s="25" t="str">
        <f t="shared" si="21"/>
        <v>男</v>
      </c>
      <c r="S263" s="25" t="s">
        <v>4032</v>
      </c>
      <c r="T263" s="28" t="str">
        <f t="shared" si="22"/>
        <v>1986-12-21</v>
      </c>
      <c r="U263" s="25">
        <f t="shared" ca="1" si="23"/>
        <v>39</v>
      </c>
      <c r="V263" s="25">
        <v>13608872145</v>
      </c>
      <c r="W263" s="28">
        <v>43836</v>
      </c>
      <c r="X263" s="28">
        <v>40969</v>
      </c>
      <c r="Y263" s="29" t="str">
        <f t="shared" ca="1" si="24"/>
        <v>14年1个月</v>
      </c>
      <c r="Z263" s="25" t="s">
        <v>5869</v>
      </c>
      <c r="AA263" s="26" t="str">
        <f t="shared" ca="1" si="25"/>
        <v>17年2个月</v>
      </c>
      <c r="AB263" s="25" t="s">
        <v>29</v>
      </c>
      <c r="AC263" s="25" t="s">
        <v>3985</v>
      </c>
      <c r="AD263" s="25" t="s">
        <v>4035</v>
      </c>
      <c r="AE263" s="25" t="s">
        <v>1846</v>
      </c>
      <c r="AF263" s="25" t="s">
        <v>1012</v>
      </c>
      <c r="AG263" s="27" t="s">
        <v>5870</v>
      </c>
      <c r="AH263" s="25" t="s">
        <v>4036</v>
      </c>
      <c r="AI263" s="25" t="s">
        <v>2963</v>
      </c>
      <c r="AJ263" s="25" t="s">
        <v>964</v>
      </c>
      <c r="AK263" s="27" t="s">
        <v>5871</v>
      </c>
      <c r="AL263" s="25" t="s">
        <v>4503</v>
      </c>
      <c r="AM263" s="25"/>
      <c r="AN263" s="27" t="s">
        <v>4039</v>
      </c>
      <c r="AO263" s="27" t="s">
        <v>5872</v>
      </c>
      <c r="AP263" s="27" t="s">
        <v>5873</v>
      </c>
      <c r="AQ263" s="25"/>
      <c r="AR263" s="25" t="s">
        <v>5409</v>
      </c>
      <c r="AS263" s="26" t="s">
        <v>4011</v>
      </c>
      <c r="AT263" s="25" t="s">
        <v>4239</v>
      </c>
      <c r="AU263" s="25" t="s">
        <v>5874</v>
      </c>
      <c r="AV263" s="25" t="s">
        <v>5874</v>
      </c>
      <c r="AW263" s="39" t="s">
        <v>4000</v>
      </c>
      <c r="AX263" s="28">
        <v>43836</v>
      </c>
      <c r="AY263" s="28" t="s">
        <v>4000</v>
      </c>
      <c r="AZ263" s="36"/>
      <c r="BA263" s="36"/>
      <c r="BB263" s="36"/>
      <c r="BC263" s="36"/>
      <c r="BD263" s="25"/>
      <c r="BE263" s="25"/>
      <c r="BF263" s="25"/>
      <c r="BG263" s="25"/>
      <c r="BH263" s="25"/>
      <c r="BI263" s="27"/>
    </row>
    <row r="264" spans="1:61" ht="15.6" x14ac:dyDescent="0.25">
      <c r="A264" s="25">
        <v>262</v>
      </c>
      <c r="B264" s="25" t="s">
        <v>5875</v>
      </c>
      <c r="C264" s="25" t="s">
        <v>4002</v>
      </c>
      <c r="D264" s="26" t="s">
        <v>4150</v>
      </c>
      <c r="E264" s="26" t="s">
        <v>4150</v>
      </c>
      <c r="F264" s="25" t="s">
        <v>4150</v>
      </c>
      <c r="G264" s="25" t="s">
        <v>491</v>
      </c>
      <c r="H264" s="25"/>
      <c r="I264" s="25"/>
      <c r="J264" s="25" t="s">
        <v>1848</v>
      </c>
      <c r="K264" s="25" t="s">
        <v>399</v>
      </c>
      <c r="L264" s="25" t="s">
        <v>1553</v>
      </c>
      <c r="M264" s="25" t="s">
        <v>4029</v>
      </c>
      <c r="N264" s="27" t="s">
        <v>5876</v>
      </c>
      <c r="O264" s="27" t="s">
        <v>4073</v>
      </c>
      <c r="P264" s="28">
        <v>43724</v>
      </c>
      <c r="Q264" s="28">
        <v>51029</v>
      </c>
      <c r="R264" s="25" t="str">
        <f t="shared" si="21"/>
        <v>男</v>
      </c>
      <c r="S264" s="25" t="s">
        <v>3984</v>
      </c>
      <c r="T264" s="28" t="str">
        <f t="shared" si="22"/>
        <v>1990-04-03</v>
      </c>
      <c r="U264" s="25">
        <f t="shared" ca="1" si="23"/>
        <v>36</v>
      </c>
      <c r="V264" s="25">
        <v>18183848671</v>
      </c>
      <c r="W264" s="28">
        <v>43836</v>
      </c>
      <c r="X264" s="28">
        <v>43389</v>
      </c>
      <c r="Y264" s="29" t="str">
        <f t="shared" ca="1" si="24"/>
        <v>7年5个月</v>
      </c>
      <c r="Z264" s="25" t="s">
        <v>5877</v>
      </c>
      <c r="AA264" s="26" t="str">
        <f t="shared" ca="1" si="25"/>
        <v>12年1个月</v>
      </c>
      <c r="AB264" s="25" t="s">
        <v>29</v>
      </c>
      <c r="AC264" s="25" t="s">
        <v>3985</v>
      </c>
      <c r="AD264" s="25" t="s">
        <v>3986</v>
      </c>
      <c r="AE264" s="25" t="s">
        <v>1846</v>
      </c>
      <c r="AF264" s="25" t="s">
        <v>4050</v>
      </c>
      <c r="AG264" s="27" t="s">
        <v>5878</v>
      </c>
      <c r="AH264" s="25"/>
      <c r="AI264" s="25"/>
      <c r="AJ264" s="25"/>
      <c r="AK264" s="27"/>
      <c r="AL264" s="25" t="s">
        <v>305</v>
      </c>
      <c r="AM264" s="25"/>
      <c r="AN264" s="27" t="s">
        <v>4039</v>
      </c>
      <c r="AO264" s="25" t="s">
        <v>4104</v>
      </c>
      <c r="AP264" s="27" t="s">
        <v>5879</v>
      </c>
      <c r="AQ264" s="25"/>
      <c r="AR264" s="27" t="s">
        <v>5880</v>
      </c>
      <c r="AS264" s="26" t="s">
        <v>3990</v>
      </c>
      <c r="AT264" s="25" t="s">
        <v>4487</v>
      </c>
      <c r="AU264" s="25" t="s">
        <v>5881</v>
      </c>
      <c r="AV264" s="25" t="s">
        <v>5881</v>
      </c>
      <c r="AW264" s="30">
        <v>47603</v>
      </c>
      <c r="AX264" s="28">
        <v>43836</v>
      </c>
      <c r="AY264" s="28">
        <v>45662</v>
      </c>
      <c r="AZ264" s="28">
        <v>47603</v>
      </c>
      <c r="BA264" s="28"/>
      <c r="BB264" s="28"/>
      <c r="BC264" s="25"/>
      <c r="BD264" s="25"/>
      <c r="BE264" s="25"/>
      <c r="BF264" s="25"/>
      <c r="BG264" s="25"/>
      <c r="BH264" s="25"/>
      <c r="BI264" s="56"/>
    </row>
    <row r="265" spans="1:61" ht="15.6" x14ac:dyDescent="0.25">
      <c r="A265" s="25">
        <v>263</v>
      </c>
      <c r="B265" s="25" t="s">
        <v>5882</v>
      </c>
      <c r="C265" s="25" t="s">
        <v>4002</v>
      </c>
      <c r="D265" s="26" t="s">
        <v>4150</v>
      </c>
      <c r="E265" s="26" t="s">
        <v>4150</v>
      </c>
      <c r="F265" s="25" t="s">
        <v>4150</v>
      </c>
      <c r="G265" s="25" t="s">
        <v>491</v>
      </c>
      <c r="H265" s="25"/>
      <c r="I265" s="25"/>
      <c r="J265" s="25" t="s">
        <v>1848</v>
      </c>
      <c r="K265" s="25" t="s">
        <v>399</v>
      </c>
      <c r="L265" s="25" t="s">
        <v>1553</v>
      </c>
      <c r="M265" s="25" t="s">
        <v>4029</v>
      </c>
      <c r="N265" s="27" t="s">
        <v>5883</v>
      </c>
      <c r="O265" s="27" t="s">
        <v>4129</v>
      </c>
      <c r="P265" s="28">
        <v>45491</v>
      </c>
      <c r="Q265" s="28">
        <v>52796</v>
      </c>
      <c r="R265" s="25" t="str">
        <f t="shared" si="21"/>
        <v>男</v>
      </c>
      <c r="S265" s="25" t="s">
        <v>3984</v>
      </c>
      <c r="T265" s="28" t="str">
        <f t="shared" si="22"/>
        <v>1990-09-10</v>
      </c>
      <c r="U265" s="25">
        <f t="shared" ca="1" si="23"/>
        <v>35</v>
      </c>
      <c r="V265" s="25">
        <v>15877998120</v>
      </c>
      <c r="W265" s="28">
        <v>43836</v>
      </c>
      <c r="X265" s="28">
        <v>41456</v>
      </c>
      <c r="Y265" s="29" t="str">
        <f t="shared" ca="1" si="24"/>
        <v>12年9个月</v>
      </c>
      <c r="Z265" s="25"/>
      <c r="AA265" s="26" t="str">
        <f t="shared" ca="1" si="25"/>
        <v>12年9个月</v>
      </c>
      <c r="AB265" s="25" t="s">
        <v>253</v>
      </c>
      <c r="AC265" s="25" t="s">
        <v>3985</v>
      </c>
      <c r="AD265" s="25" t="s">
        <v>4035</v>
      </c>
      <c r="AE265" s="25" t="s">
        <v>1559</v>
      </c>
      <c r="AF265" s="25" t="s">
        <v>1012</v>
      </c>
      <c r="AG265" s="27" t="s">
        <v>5884</v>
      </c>
      <c r="AH265" s="25"/>
      <c r="AI265" s="25"/>
      <c r="AJ265" s="25"/>
      <c r="AK265" s="27"/>
      <c r="AL265" s="25" t="s">
        <v>305</v>
      </c>
      <c r="AM265" s="25"/>
      <c r="AN265" s="27" t="s">
        <v>4039</v>
      </c>
      <c r="AO265" s="27" t="s">
        <v>4524</v>
      </c>
      <c r="AP265" s="27" t="s">
        <v>5885</v>
      </c>
      <c r="AQ265" s="25"/>
      <c r="AR265" s="25" t="s">
        <v>4569</v>
      </c>
      <c r="AS265" s="26" t="s">
        <v>4011</v>
      </c>
      <c r="AT265" s="25" t="s">
        <v>4137</v>
      </c>
      <c r="AU265" s="25" t="s">
        <v>2693</v>
      </c>
      <c r="AV265" s="25" t="s">
        <v>5886</v>
      </c>
      <c r="AW265" s="30">
        <v>46142</v>
      </c>
      <c r="AX265" s="28">
        <v>43836</v>
      </c>
      <c r="AY265" s="28">
        <v>44931</v>
      </c>
      <c r="AZ265" s="28">
        <v>46142</v>
      </c>
      <c r="BA265" s="28"/>
      <c r="BB265" s="28"/>
      <c r="BC265" s="25"/>
      <c r="BD265" s="25"/>
      <c r="BE265" s="25"/>
      <c r="BF265" s="25"/>
      <c r="BG265" s="25"/>
      <c r="BH265" s="25"/>
      <c r="BI265" s="27"/>
    </row>
    <row r="266" spans="1:61" ht="15.6" x14ac:dyDescent="0.25">
      <c r="A266" s="25">
        <v>264</v>
      </c>
      <c r="B266" s="25" t="s">
        <v>5887</v>
      </c>
      <c r="C266" s="26" t="s">
        <v>4002</v>
      </c>
      <c r="D266" s="26" t="s">
        <v>4150</v>
      </c>
      <c r="E266" s="26" t="s">
        <v>4150</v>
      </c>
      <c r="F266" s="25" t="s">
        <v>4150</v>
      </c>
      <c r="G266" s="25" t="s">
        <v>491</v>
      </c>
      <c r="H266" s="25"/>
      <c r="I266" s="25"/>
      <c r="J266" s="25" t="s">
        <v>240</v>
      </c>
      <c r="K266" s="25" t="s">
        <v>399</v>
      </c>
      <c r="L266" s="25" t="s">
        <v>4662</v>
      </c>
      <c r="M266" s="25" t="s">
        <v>4029</v>
      </c>
      <c r="N266" s="27" t="s">
        <v>5888</v>
      </c>
      <c r="O266" s="27" t="s">
        <v>4851</v>
      </c>
      <c r="P266" s="28">
        <v>43746</v>
      </c>
      <c r="Q266" s="28">
        <v>47399</v>
      </c>
      <c r="R266" s="25" t="str">
        <f t="shared" si="21"/>
        <v>男</v>
      </c>
      <c r="S266" s="25" t="s">
        <v>3984</v>
      </c>
      <c r="T266" s="28" t="str">
        <f t="shared" si="22"/>
        <v>1994-01-07</v>
      </c>
      <c r="U266" s="25">
        <f t="shared" ca="1" si="23"/>
        <v>32</v>
      </c>
      <c r="V266" s="25">
        <v>19528716440</v>
      </c>
      <c r="W266" s="28">
        <v>43836</v>
      </c>
      <c r="X266" s="28">
        <v>43237</v>
      </c>
      <c r="Y266" s="29" t="str">
        <f t="shared" ca="1" si="24"/>
        <v>7年10个月</v>
      </c>
      <c r="Z266" s="25"/>
      <c r="AA266" s="26" t="str">
        <f t="shared" ca="1" si="25"/>
        <v>7年10个月</v>
      </c>
      <c r="AB266" s="25" t="s">
        <v>29</v>
      </c>
      <c r="AC266" s="25" t="s">
        <v>119</v>
      </c>
      <c r="AD266" s="25" t="s">
        <v>4035</v>
      </c>
      <c r="AE266" s="25"/>
      <c r="AF266" s="25"/>
      <c r="AG266" s="27"/>
      <c r="AH266" s="25"/>
      <c r="AI266" s="25"/>
      <c r="AJ266" s="25"/>
      <c r="AK266" s="27"/>
      <c r="AL266" s="25" t="s">
        <v>81</v>
      </c>
      <c r="AM266" s="25" t="s">
        <v>3987</v>
      </c>
      <c r="AN266" s="27" t="s">
        <v>5889</v>
      </c>
      <c r="AO266" s="25" t="s">
        <v>5020</v>
      </c>
      <c r="AP266" s="27" t="s">
        <v>5890</v>
      </c>
      <c r="AQ266" s="25" t="s">
        <v>4474</v>
      </c>
      <c r="AR266" s="25" t="s">
        <v>4538</v>
      </c>
      <c r="AS266" s="26" t="s">
        <v>4011</v>
      </c>
      <c r="AT266" s="25" t="s">
        <v>4137</v>
      </c>
      <c r="AU266" s="25" t="s">
        <v>5891</v>
      </c>
      <c r="AV266" s="25" t="s">
        <v>5891</v>
      </c>
      <c r="AW266" s="30" t="s">
        <v>3991</v>
      </c>
      <c r="AX266" s="28">
        <v>43836</v>
      </c>
      <c r="AY266" s="28">
        <v>45662</v>
      </c>
      <c r="AZ266" s="25" t="s">
        <v>3991</v>
      </c>
      <c r="BA266" s="25"/>
      <c r="BB266" s="25"/>
      <c r="BC266" s="25"/>
      <c r="BD266" s="25"/>
      <c r="BE266" s="25"/>
      <c r="BF266" s="25"/>
      <c r="BG266" s="25"/>
      <c r="BH266" s="25"/>
      <c r="BI266" s="56"/>
    </row>
    <row r="267" spans="1:61" ht="15.6" x14ac:dyDescent="0.25">
      <c r="A267" s="25">
        <v>265</v>
      </c>
      <c r="B267" s="25" t="s">
        <v>5892</v>
      </c>
      <c r="C267" s="26" t="s">
        <v>4002</v>
      </c>
      <c r="D267" s="26" t="s">
        <v>4150</v>
      </c>
      <c r="E267" s="26" t="s">
        <v>4150</v>
      </c>
      <c r="F267" s="25" t="s">
        <v>4150</v>
      </c>
      <c r="G267" s="25" t="s">
        <v>491</v>
      </c>
      <c r="H267" s="25"/>
      <c r="I267" s="25"/>
      <c r="J267" s="25" t="s">
        <v>240</v>
      </c>
      <c r="K267" s="25" t="s">
        <v>399</v>
      </c>
      <c r="L267" s="25" t="s">
        <v>4662</v>
      </c>
      <c r="M267" s="25" t="s">
        <v>4029</v>
      </c>
      <c r="N267" s="27" t="s">
        <v>5893</v>
      </c>
      <c r="O267" s="27" t="s">
        <v>3981</v>
      </c>
      <c r="P267" s="28">
        <v>42528</v>
      </c>
      <c r="Q267" s="28">
        <v>49833</v>
      </c>
      <c r="R267" s="25" t="str">
        <f t="shared" si="21"/>
        <v>男</v>
      </c>
      <c r="S267" s="25" t="s">
        <v>4082</v>
      </c>
      <c r="T267" s="28" t="str">
        <f t="shared" si="22"/>
        <v>1983-08-19</v>
      </c>
      <c r="U267" s="25">
        <f t="shared" ca="1" si="23"/>
        <v>42</v>
      </c>
      <c r="V267" s="25">
        <v>15087159335</v>
      </c>
      <c r="W267" s="28">
        <v>43836</v>
      </c>
      <c r="X267" s="28">
        <v>43241</v>
      </c>
      <c r="Y267" s="29" t="str">
        <f t="shared" ca="1" si="24"/>
        <v>7年10个月</v>
      </c>
      <c r="Z267" s="25" t="s">
        <v>4999</v>
      </c>
      <c r="AA267" s="26" t="str">
        <f t="shared" ca="1" si="25"/>
        <v>17年8个月</v>
      </c>
      <c r="AB267" s="25" t="s">
        <v>4034</v>
      </c>
      <c r="AC267" s="25" t="s">
        <v>3985</v>
      </c>
      <c r="AD267" s="25" t="s">
        <v>3986</v>
      </c>
      <c r="AE267" s="25" t="s">
        <v>1654</v>
      </c>
      <c r="AF267" s="25" t="s">
        <v>1012</v>
      </c>
      <c r="AG267" s="27" t="s">
        <v>5894</v>
      </c>
      <c r="AH267" s="25"/>
      <c r="AI267" s="25"/>
      <c r="AJ267" s="25"/>
      <c r="AK267" s="27"/>
      <c r="AL267" s="25" t="s">
        <v>81</v>
      </c>
      <c r="AM267" s="25" t="s">
        <v>3987</v>
      </c>
      <c r="AN267" s="27" t="s">
        <v>5895</v>
      </c>
      <c r="AO267" s="25" t="s">
        <v>3988</v>
      </c>
      <c r="AP267" s="27" t="s">
        <v>5896</v>
      </c>
      <c r="AQ267" s="25"/>
      <c r="AR267" s="25" t="s">
        <v>4892</v>
      </c>
      <c r="AS267" s="26" t="s">
        <v>4011</v>
      </c>
      <c r="AT267" s="25" t="s">
        <v>4024</v>
      </c>
      <c r="AU267" s="25" t="s">
        <v>5897</v>
      </c>
      <c r="AV267" s="25" t="s">
        <v>5897</v>
      </c>
      <c r="AW267" s="30">
        <v>47603</v>
      </c>
      <c r="AX267" s="28">
        <v>43836</v>
      </c>
      <c r="AY267" s="28">
        <v>45662</v>
      </c>
      <c r="AZ267" s="28">
        <v>47603</v>
      </c>
      <c r="BA267" s="25"/>
      <c r="BB267" s="25"/>
      <c r="BC267" s="25"/>
      <c r="BD267" s="25"/>
      <c r="BE267" s="25"/>
      <c r="BF267" s="25"/>
      <c r="BG267" s="25"/>
      <c r="BH267" s="25"/>
      <c r="BI267" s="56"/>
    </row>
    <row r="268" spans="1:61" ht="15.6" x14ac:dyDescent="0.25">
      <c r="A268" s="25">
        <v>266</v>
      </c>
      <c r="B268" s="25" t="s">
        <v>5898</v>
      </c>
      <c r="C268" s="26" t="s">
        <v>4002</v>
      </c>
      <c r="D268" s="26" t="s">
        <v>4150</v>
      </c>
      <c r="E268" s="26" t="s">
        <v>4150</v>
      </c>
      <c r="F268" s="25" t="s">
        <v>4150</v>
      </c>
      <c r="G268" s="25" t="s">
        <v>491</v>
      </c>
      <c r="H268" s="25"/>
      <c r="I268" s="25"/>
      <c r="J268" s="25" t="s">
        <v>240</v>
      </c>
      <c r="K268" s="25" t="s">
        <v>399</v>
      </c>
      <c r="L268" s="25" t="s">
        <v>4662</v>
      </c>
      <c r="M268" s="25" t="s">
        <v>4029</v>
      </c>
      <c r="N268" s="27" t="s">
        <v>5899</v>
      </c>
      <c r="O268" s="27" t="s">
        <v>4682</v>
      </c>
      <c r="P268" s="28">
        <v>44303</v>
      </c>
      <c r="Q268" s="28">
        <v>51608</v>
      </c>
      <c r="R268" s="25" t="str">
        <f t="shared" si="21"/>
        <v>男</v>
      </c>
      <c r="S268" s="25" t="s">
        <v>3984</v>
      </c>
      <c r="T268" s="28" t="str">
        <f t="shared" si="22"/>
        <v>1992-10-02</v>
      </c>
      <c r="U268" s="25">
        <f t="shared" ca="1" si="23"/>
        <v>33</v>
      </c>
      <c r="V268" s="25">
        <v>15288355581</v>
      </c>
      <c r="W268" s="28">
        <v>43836</v>
      </c>
      <c r="X268" s="28">
        <v>43805</v>
      </c>
      <c r="Y268" s="29" t="str">
        <f t="shared" ca="1" si="24"/>
        <v>6年4个月</v>
      </c>
      <c r="Z268" s="25" t="s">
        <v>5900</v>
      </c>
      <c r="AA268" s="26" t="str">
        <f t="shared" ca="1" si="25"/>
        <v>11年9个月</v>
      </c>
      <c r="AB268" s="25" t="s">
        <v>4034</v>
      </c>
      <c r="AC268" s="25" t="s">
        <v>119</v>
      </c>
      <c r="AD268" s="25" t="s">
        <v>4035</v>
      </c>
      <c r="AE268" s="25" t="s">
        <v>1654</v>
      </c>
      <c r="AF268" s="25" t="s">
        <v>1012</v>
      </c>
      <c r="AG268" s="27" t="s">
        <v>5901</v>
      </c>
      <c r="AH268" s="25"/>
      <c r="AI268" s="25"/>
      <c r="AJ268" s="25"/>
      <c r="AK268" s="27"/>
      <c r="AL268" s="25" t="s">
        <v>81</v>
      </c>
      <c r="AM268" s="25" t="s">
        <v>3987</v>
      </c>
      <c r="AN268" s="27" t="s">
        <v>5902</v>
      </c>
      <c r="AO268" s="25" t="s">
        <v>4062</v>
      </c>
      <c r="AP268" s="27" t="s">
        <v>5903</v>
      </c>
      <c r="AQ268" s="25"/>
      <c r="AR268" s="25" t="s">
        <v>4455</v>
      </c>
      <c r="AS268" s="26" t="s">
        <v>4011</v>
      </c>
      <c r="AT268" s="25" t="s">
        <v>4137</v>
      </c>
      <c r="AU268" s="25" t="s">
        <v>5904</v>
      </c>
      <c r="AV268" s="25" t="s">
        <v>5905</v>
      </c>
      <c r="AW268" s="30">
        <v>47238</v>
      </c>
      <c r="AX268" s="28">
        <v>43836</v>
      </c>
      <c r="AY268" s="28">
        <v>44201</v>
      </c>
      <c r="AZ268" s="28">
        <v>45412</v>
      </c>
      <c r="BA268" s="28">
        <v>47238</v>
      </c>
      <c r="BB268" s="25"/>
      <c r="BC268" s="25"/>
      <c r="BD268" s="25"/>
      <c r="BE268" s="25"/>
      <c r="BF268" s="25"/>
      <c r="BG268" s="25"/>
      <c r="BH268" s="25"/>
      <c r="BI268" s="56"/>
    </row>
    <row r="269" spans="1:61" ht="15.6" x14ac:dyDescent="0.25">
      <c r="A269" s="25">
        <v>267</v>
      </c>
      <c r="B269" s="25" t="s">
        <v>5906</v>
      </c>
      <c r="C269" s="26" t="s">
        <v>4002</v>
      </c>
      <c r="D269" s="26" t="s">
        <v>4150</v>
      </c>
      <c r="E269" s="26" t="s">
        <v>4150</v>
      </c>
      <c r="F269" s="25" t="s">
        <v>4150</v>
      </c>
      <c r="G269" s="25" t="s">
        <v>491</v>
      </c>
      <c r="H269" s="25"/>
      <c r="I269" s="25"/>
      <c r="J269" s="25" t="s">
        <v>240</v>
      </c>
      <c r="K269" s="25" t="s">
        <v>399</v>
      </c>
      <c r="L269" s="25" t="s">
        <v>4662</v>
      </c>
      <c r="M269" s="25" t="s">
        <v>4029</v>
      </c>
      <c r="N269" s="27" t="s">
        <v>5907</v>
      </c>
      <c r="O269" s="27" t="s">
        <v>4031</v>
      </c>
      <c r="P269" s="28">
        <v>43486</v>
      </c>
      <c r="Q269" s="28">
        <v>47139</v>
      </c>
      <c r="R269" s="25" t="str">
        <f t="shared" si="21"/>
        <v>男</v>
      </c>
      <c r="S269" s="25" t="s">
        <v>3984</v>
      </c>
      <c r="T269" s="28" t="str">
        <f t="shared" si="22"/>
        <v>1998-05-01</v>
      </c>
      <c r="U269" s="25">
        <f t="shared" ca="1" si="23"/>
        <v>27</v>
      </c>
      <c r="V269" s="25">
        <v>17787121603</v>
      </c>
      <c r="W269" s="28">
        <v>44994</v>
      </c>
      <c r="X269" s="28">
        <v>44994</v>
      </c>
      <c r="Y269" s="29" t="str">
        <f t="shared" ca="1" si="24"/>
        <v>3年1个月</v>
      </c>
      <c r="Z269" s="25"/>
      <c r="AA269" s="26" t="str">
        <f t="shared" ca="1" si="25"/>
        <v>3年1个月</v>
      </c>
      <c r="AB269" s="25" t="s">
        <v>4034</v>
      </c>
      <c r="AC269" s="25" t="s">
        <v>272</v>
      </c>
      <c r="AD269" s="25" t="s">
        <v>4035</v>
      </c>
      <c r="AE269" s="25"/>
      <c r="AF269" s="25"/>
      <c r="AG269" s="27"/>
      <c r="AH269" s="25"/>
      <c r="AI269" s="25"/>
      <c r="AJ269" s="25"/>
      <c r="AK269" s="27"/>
      <c r="AL269" s="25" t="s">
        <v>81</v>
      </c>
      <c r="AM269" s="25" t="s">
        <v>3987</v>
      </c>
      <c r="AN269" s="27" t="s">
        <v>5908</v>
      </c>
      <c r="AO269" s="25" t="s">
        <v>5909</v>
      </c>
      <c r="AP269" s="27" t="s">
        <v>5910</v>
      </c>
      <c r="AQ269" s="25"/>
      <c r="AR269" s="25" t="s">
        <v>5911</v>
      </c>
      <c r="AS269" s="26" t="s">
        <v>4011</v>
      </c>
      <c r="AT269" s="25" t="s">
        <v>4043</v>
      </c>
      <c r="AU269" s="25" t="s">
        <v>5912</v>
      </c>
      <c r="AV269" s="25" t="s">
        <v>5912</v>
      </c>
      <c r="AW269" s="30">
        <v>46507</v>
      </c>
      <c r="AX269" s="28">
        <v>44994</v>
      </c>
      <c r="AY269" s="28">
        <v>45359</v>
      </c>
      <c r="AZ269" s="28">
        <v>46507</v>
      </c>
      <c r="BA269" s="25"/>
      <c r="BB269" s="25"/>
      <c r="BC269" s="25"/>
      <c r="BD269" s="25"/>
      <c r="BE269" s="25"/>
      <c r="BF269" s="25"/>
      <c r="BG269" s="25"/>
      <c r="BH269" s="25"/>
      <c r="BI269" s="56"/>
    </row>
    <row r="270" spans="1:61" ht="15.6" x14ac:dyDescent="0.25">
      <c r="A270" s="25">
        <v>268</v>
      </c>
      <c r="B270" s="25" t="s">
        <v>5913</v>
      </c>
      <c r="C270" s="26" t="s">
        <v>4002</v>
      </c>
      <c r="D270" s="26" t="s">
        <v>4150</v>
      </c>
      <c r="E270" s="26" t="s">
        <v>4150</v>
      </c>
      <c r="F270" s="25" t="s">
        <v>4150</v>
      </c>
      <c r="G270" s="25" t="s">
        <v>491</v>
      </c>
      <c r="H270" s="25"/>
      <c r="I270" s="25"/>
      <c r="J270" s="25" t="s">
        <v>240</v>
      </c>
      <c r="K270" s="25" t="s">
        <v>399</v>
      </c>
      <c r="L270" s="25" t="s">
        <v>4662</v>
      </c>
      <c r="M270" s="25" t="s">
        <v>4029</v>
      </c>
      <c r="N270" s="27" t="s">
        <v>5914</v>
      </c>
      <c r="O270" s="27" t="s">
        <v>4129</v>
      </c>
      <c r="P270" s="28">
        <v>43644</v>
      </c>
      <c r="Q270" s="28">
        <v>47297</v>
      </c>
      <c r="R270" s="25" t="str">
        <f t="shared" si="21"/>
        <v>男</v>
      </c>
      <c r="S270" s="25" t="s">
        <v>3984</v>
      </c>
      <c r="T270" s="28" t="str">
        <f t="shared" si="22"/>
        <v>2002-03-27</v>
      </c>
      <c r="U270" s="25">
        <f t="shared" ca="1" si="23"/>
        <v>24</v>
      </c>
      <c r="V270" s="25">
        <v>17387476826</v>
      </c>
      <c r="W270" s="28">
        <v>45866</v>
      </c>
      <c r="X270" s="28">
        <v>45866</v>
      </c>
      <c r="Y270" s="29" t="str">
        <f t="shared" ca="1" si="24"/>
        <v>0年8个月</v>
      </c>
      <c r="Z270" s="25"/>
      <c r="AA270" s="26"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5" t="s">
        <v>253</v>
      </c>
      <c r="AC270" s="25" t="s">
        <v>272</v>
      </c>
      <c r="AD270" s="25" t="s">
        <v>4035</v>
      </c>
      <c r="AE270" s="25"/>
      <c r="AF270" s="25"/>
      <c r="AG270" s="27"/>
      <c r="AH270" s="25"/>
      <c r="AI270" s="25"/>
      <c r="AJ270" s="25"/>
      <c r="AK270" s="27"/>
      <c r="AL270" s="25" t="s">
        <v>81</v>
      </c>
      <c r="AM270" s="25" t="s">
        <v>3987</v>
      </c>
      <c r="AN270" s="27" t="s">
        <v>5915</v>
      </c>
      <c r="AO270" s="25" t="s">
        <v>4778</v>
      </c>
      <c r="AP270" s="27" t="s">
        <v>5916</v>
      </c>
      <c r="AQ270" s="25" t="s">
        <v>4474</v>
      </c>
      <c r="AR270" s="25" t="s">
        <v>5917</v>
      </c>
      <c r="AS270" s="26" t="s">
        <v>4011</v>
      </c>
      <c r="AT270" s="25" t="s">
        <v>4137</v>
      </c>
      <c r="AU270" s="25" t="s">
        <v>5918</v>
      </c>
      <c r="AV270" s="25" t="s">
        <v>5918</v>
      </c>
      <c r="AW270" s="30">
        <v>46230</v>
      </c>
      <c r="AX270" s="28">
        <v>45866</v>
      </c>
      <c r="AY270" s="28">
        <v>46230</v>
      </c>
      <c r="AZ270" s="28"/>
      <c r="BA270" s="25"/>
      <c r="BB270" s="25"/>
      <c r="BC270" s="25"/>
      <c r="BD270" s="25"/>
      <c r="BE270" s="25"/>
      <c r="BF270" s="25"/>
      <c r="BG270" s="25"/>
      <c r="BH270" s="25"/>
      <c r="BI270" s="56"/>
    </row>
    <row r="271" spans="1:61" ht="15.6" x14ac:dyDescent="0.25">
      <c r="A271" s="25">
        <v>269</v>
      </c>
      <c r="B271" s="25" t="s">
        <v>5919</v>
      </c>
      <c r="C271" s="25" t="s">
        <v>4002</v>
      </c>
      <c r="D271" s="26" t="s">
        <v>4150</v>
      </c>
      <c r="E271" s="26" t="s">
        <v>4150</v>
      </c>
      <c r="F271" s="25" t="s">
        <v>4150</v>
      </c>
      <c r="G271" s="25" t="s">
        <v>5920</v>
      </c>
      <c r="H271" s="25"/>
      <c r="I271" s="25"/>
      <c r="J271" s="25" t="s">
        <v>5921</v>
      </c>
      <c r="K271" s="25" t="s">
        <v>676</v>
      </c>
      <c r="L271" s="25" t="s">
        <v>4016</v>
      </c>
      <c r="M271" s="25" t="s">
        <v>4080</v>
      </c>
      <c r="N271" s="27" t="s">
        <v>5922</v>
      </c>
      <c r="O271" s="27" t="s">
        <v>5853</v>
      </c>
      <c r="P271" s="28">
        <v>42003</v>
      </c>
      <c r="Q271" s="28">
        <v>49308</v>
      </c>
      <c r="R271" s="25" t="str">
        <f t="shared" si="21"/>
        <v>男</v>
      </c>
      <c r="S271" s="25" t="s">
        <v>3984</v>
      </c>
      <c r="T271" s="28" t="str">
        <f t="shared" si="22"/>
        <v>1982-09-16</v>
      </c>
      <c r="U271" s="25">
        <f t="shared" ca="1" si="23"/>
        <v>43</v>
      </c>
      <c r="V271" s="25">
        <v>15587176100</v>
      </c>
      <c r="W271" s="28">
        <v>43836</v>
      </c>
      <c r="X271" s="43">
        <v>40983</v>
      </c>
      <c r="Y271" s="29" t="str">
        <f t="shared" ca="1" si="24"/>
        <v>14年0个月</v>
      </c>
      <c r="Z271" s="25" t="s">
        <v>5745</v>
      </c>
      <c r="AA271" s="26"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5" t="s">
        <v>253</v>
      </c>
      <c r="AC271" s="25" t="s">
        <v>3985</v>
      </c>
      <c r="AD271" s="25" t="s">
        <v>3986</v>
      </c>
      <c r="AE271" s="25" t="s">
        <v>1400</v>
      </c>
      <c r="AF271" s="25" t="s">
        <v>4050</v>
      </c>
      <c r="AG271" s="27" t="s">
        <v>5923</v>
      </c>
      <c r="AH271" s="25"/>
      <c r="AI271" s="25"/>
      <c r="AJ271" s="25"/>
      <c r="AK271" s="27"/>
      <c r="AL271" s="25" t="s">
        <v>305</v>
      </c>
      <c r="AM271" s="25"/>
      <c r="AN271" s="27" t="s">
        <v>4039</v>
      </c>
      <c r="AO271" s="25" t="s">
        <v>5924</v>
      </c>
      <c r="AP271" s="27" t="s">
        <v>5925</v>
      </c>
      <c r="AQ271" s="25"/>
      <c r="AR271" s="25" t="s">
        <v>4569</v>
      </c>
      <c r="AS271" s="26" t="s">
        <v>4011</v>
      </c>
      <c r="AT271" s="25" t="s">
        <v>1458</v>
      </c>
      <c r="AU271" s="25" t="s">
        <v>5926</v>
      </c>
      <c r="AV271" s="25" t="s">
        <v>5926</v>
      </c>
      <c r="AW271" s="30">
        <v>46142</v>
      </c>
      <c r="AX271" s="28">
        <v>43836</v>
      </c>
      <c r="AY271" s="28">
        <v>44931</v>
      </c>
      <c r="AZ271" s="28">
        <v>46142</v>
      </c>
      <c r="BA271" s="28"/>
      <c r="BB271" s="28"/>
      <c r="BC271" s="25"/>
      <c r="BD271" s="25"/>
      <c r="BE271" s="25"/>
      <c r="BF271" s="25"/>
      <c r="BG271" s="25"/>
      <c r="BH271" s="25"/>
      <c r="BI271" s="27"/>
    </row>
    <row r="272" spans="1:61" ht="15.6" x14ac:dyDescent="0.25">
      <c r="A272" s="25">
        <v>270</v>
      </c>
      <c r="B272" s="26" t="s">
        <v>5927</v>
      </c>
      <c r="C272" s="26" t="s">
        <v>4002</v>
      </c>
      <c r="D272" s="26" t="s">
        <v>4150</v>
      </c>
      <c r="E272" s="26" t="s">
        <v>4150</v>
      </c>
      <c r="F272" s="25" t="s">
        <v>4150</v>
      </c>
      <c r="G272" s="25" t="s">
        <v>5920</v>
      </c>
      <c r="H272" s="25"/>
      <c r="I272" s="25"/>
      <c r="J272" s="25" t="s">
        <v>1097</v>
      </c>
      <c r="K272" s="25" t="s">
        <v>399</v>
      </c>
      <c r="L272" s="25" t="s">
        <v>1553</v>
      </c>
      <c r="M272" s="25" t="s">
        <v>4029</v>
      </c>
      <c r="N272" s="35" t="s">
        <v>5928</v>
      </c>
      <c r="O272" s="35" t="s">
        <v>4579</v>
      </c>
      <c r="P272" s="36">
        <v>42947</v>
      </c>
      <c r="Q272" s="36">
        <v>50252</v>
      </c>
      <c r="R272" s="25" t="str">
        <f t="shared" si="21"/>
        <v>男</v>
      </c>
      <c r="S272" s="26" t="s">
        <v>3984</v>
      </c>
      <c r="T272" s="28" t="str">
        <f t="shared" si="22"/>
        <v>1990-12-30</v>
      </c>
      <c r="U272" s="25">
        <f t="shared" ca="1" si="23"/>
        <v>35</v>
      </c>
      <c r="V272" s="25">
        <v>15288462754</v>
      </c>
      <c r="W272" s="28">
        <v>43836</v>
      </c>
      <c r="X272" s="36">
        <v>42436</v>
      </c>
      <c r="Y272" s="29" t="str">
        <f t="shared" ca="1" si="24"/>
        <v>10年1个月</v>
      </c>
      <c r="Z272" s="26" t="s">
        <v>4233</v>
      </c>
      <c r="AA272" s="26" t="str">
        <f t="shared" ca="1" si="26"/>
        <v>11年6个月</v>
      </c>
      <c r="AB272" s="25" t="s">
        <v>4034</v>
      </c>
      <c r="AC272" s="25" t="s">
        <v>3985</v>
      </c>
      <c r="AD272" s="26" t="s">
        <v>4035</v>
      </c>
      <c r="AE272" s="25" t="s">
        <v>1654</v>
      </c>
      <c r="AF272" s="25" t="s">
        <v>1012</v>
      </c>
      <c r="AG272" s="27" t="s">
        <v>5929</v>
      </c>
      <c r="AH272" s="25"/>
      <c r="AI272" s="25"/>
      <c r="AJ272" s="25"/>
      <c r="AK272" s="27"/>
      <c r="AL272" s="25" t="s">
        <v>81</v>
      </c>
      <c r="AM272" s="25" t="s">
        <v>3987</v>
      </c>
      <c r="AN272" s="27" t="s">
        <v>5930</v>
      </c>
      <c r="AO272" s="26" t="s">
        <v>5931</v>
      </c>
      <c r="AP272" s="35" t="s">
        <v>5932</v>
      </c>
      <c r="AQ272" s="25"/>
      <c r="AR272" s="35" t="s">
        <v>4892</v>
      </c>
      <c r="AS272" s="26" t="s">
        <v>4011</v>
      </c>
      <c r="AT272" s="26" t="s">
        <v>4419</v>
      </c>
      <c r="AU272" s="25" t="s">
        <v>2118</v>
      </c>
      <c r="AV272" s="26" t="s">
        <v>5933</v>
      </c>
      <c r="AW272" s="39">
        <v>47603</v>
      </c>
      <c r="AX272" s="28">
        <v>43836</v>
      </c>
      <c r="AY272" s="28">
        <v>45662</v>
      </c>
      <c r="AZ272" s="36">
        <v>47603</v>
      </c>
      <c r="BA272" s="36"/>
      <c r="BB272" s="36"/>
      <c r="BC272" s="36"/>
      <c r="BD272" s="26"/>
      <c r="BE272" s="26"/>
      <c r="BF272" s="26"/>
      <c r="BG272" s="26"/>
      <c r="BH272" s="26"/>
      <c r="BI272" s="35"/>
    </row>
    <row r="273" spans="1:61" ht="15.6" x14ac:dyDescent="0.25">
      <c r="A273" s="25">
        <v>271</v>
      </c>
      <c r="B273" s="26" t="s">
        <v>5934</v>
      </c>
      <c r="C273" s="26" t="s">
        <v>4002</v>
      </c>
      <c r="D273" s="26" t="s">
        <v>4150</v>
      </c>
      <c r="E273" s="26" t="s">
        <v>4150</v>
      </c>
      <c r="F273" s="25" t="s">
        <v>4150</v>
      </c>
      <c r="G273" s="25" t="s">
        <v>5920</v>
      </c>
      <c r="H273" s="25"/>
      <c r="I273" s="25"/>
      <c r="J273" s="25" t="s">
        <v>1097</v>
      </c>
      <c r="K273" s="25" t="s">
        <v>399</v>
      </c>
      <c r="L273" s="25" t="s">
        <v>1553</v>
      </c>
      <c r="M273" s="25" t="s">
        <v>4029</v>
      </c>
      <c r="N273" s="35" t="s">
        <v>5935</v>
      </c>
      <c r="O273" s="35" t="s">
        <v>5936</v>
      </c>
      <c r="P273" s="36">
        <v>43355</v>
      </c>
      <c r="Q273" s="36">
        <v>50660</v>
      </c>
      <c r="R273" s="25" t="str">
        <f t="shared" si="21"/>
        <v>男</v>
      </c>
      <c r="S273" s="26" t="s">
        <v>3984</v>
      </c>
      <c r="T273" s="28" t="str">
        <f t="shared" si="22"/>
        <v>1985-03-29</v>
      </c>
      <c r="U273" s="25">
        <f t="shared" ca="1" si="23"/>
        <v>41</v>
      </c>
      <c r="V273" s="25">
        <v>13476428527</v>
      </c>
      <c r="W273" s="28">
        <v>43836</v>
      </c>
      <c r="X273" s="36">
        <v>43647</v>
      </c>
      <c r="Y273" s="29" t="str">
        <f t="shared" ca="1" si="24"/>
        <v>6年9个月</v>
      </c>
      <c r="Z273" s="26" t="s">
        <v>5937</v>
      </c>
      <c r="AA273" s="26" t="str">
        <f t="shared" ca="1" si="26"/>
        <v>15年9个月</v>
      </c>
      <c r="AB273" s="25" t="s">
        <v>4049</v>
      </c>
      <c r="AC273" s="25" t="s">
        <v>3985</v>
      </c>
      <c r="AD273" s="26" t="s">
        <v>3986</v>
      </c>
      <c r="AE273" s="25" t="s">
        <v>1654</v>
      </c>
      <c r="AF273" s="25" t="s">
        <v>1012</v>
      </c>
      <c r="AG273" s="27" t="s">
        <v>5938</v>
      </c>
      <c r="AH273" s="25"/>
      <c r="AI273" s="25"/>
      <c r="AJ273" s="25"/>
      <c r="AK273" s="27"/>
      <c r="AL273" s="25" t="s">
        <v>81</v>
      </c>
      <c r="AM273" s="25" t="s">
        <v>3987</v>
      </c>
      <c r="AN273" s="27" t="s">
        <v>5939</v>
      </c>
      <c r="AO273" s="26" t="s">
        <v>5940</v>
      </c>
      <c r="AP273" s="35" t="s">
        <v>5941</v>
      </c>
      <c r="AQ273" s="25">
        <v>211</v>
      </c>
      <c r="AR273" s="35" t="s">
        <v>4455</v>
      </c>
      <c r="AS273" s="26" t="s">
        <v>4011</v>
      </c>
      <c r="AT273" s="26" t="s">
        <v>5942</v>
      </c>
      <c r="AU273" s="25" t="s">
        <v>5943</v>
      </c>
      <c r="AV273" s="26" t="s">
        <v>5943</v>
      </c>
      <c r="AW273" s="39">
        <v>46873</v>
      </c>
      <c r="AX273" s="28">
        <v>43836</v>
      </c>
      <c r="AY273" s="28">
        <v>44931</v>
      </c>
      <c r="AZ273" s="36">
        <v>46873</v>
      </c>
      <c r="BA273" s="36"/>
      <c r="BB273" s="36"/>
      <c r="BC273" s="36"/>
      <c r="BD273" s="26"/>
      <c r="BE273" s="26"/>
      <c r="BF273" s="26"/>
      <c r="BG273" s="26"/>
      <c r="BH273" s="26"/>
      <c r="BI273" s="35"/>
    </row>
    <row r="274" spans="1:61" ht="15.6" x14ac:dyDescent="0.25">
      <c r="A274" s="25">
        <v>272</v>
      </c>
      <c r="B274" s="25" t="s">
        <v>5944</v>
      </c>
      <c r="C274" s="25" t="s">
        <v>4002</v>
      </c>
      <c r="D274" s="26" t="s">
        <v>4150</v>
      </c>
      <c r="E274" s="26" t="s">
        <v>4150</v>
      </c>
      <c r="F274" s="25" t="s">
        <v>4150</v>
      </c>
      <c r="G274" s="25" t="s">
        <v>5920</v>
      </c>
      <c r="H274" s="25"/>
      <c r="I274" s="25"/>
      <c r="J274" s="25" t="s">
        <v>1097</v>
      </c>
      <c r="K274" s="25" t="s">
        <v>399</v>
      </c>
      <c r="L274" s="25" t="s">
        <v>1553</v>
      </c>
      <c r="M274" s="25" t="s">
        <v>4029</v>
      </c>
      <c r="N274" s="27" t="s">
        <v>5945</v>
      </c>
      <c r="O274" s="27" t="s">
        <v>5946</v>
      </c>
      <c r="P274" s="28">
        <v>42276</v>
      </c>
      <c r="Q274" s="28">
        <v>49581</v>
      </c>
      <c r="R274" s="25" t="str">
        <f t="shared" si="21"/>
        <v>女</v>
      </c>
      <c r="S274" s="25" t="s">
        <v>3984</v>
      </c>
      <c r="T274" s="28" t="str">
        <f t="shared" si="22"/>
        <v>1987-04-10</v>
      </c>
      <c r="U274" s="25">
        <f t="shared" ca="1" si="23"/>
        <v>39</v>
      </c>
      <c r="V274" s="25">
        <v>18088344518</v>
      </c>
      <c r="W274" s="28">
        <v>43836</v>
      </c>
      <c r="X274" s="28">
        <v>41947</v>
      </c>
      <c r="Y274" s="29" t="str">
        <f t="shared" ca="1" si="24"/>
        <v>11年5个月</v>
      </c>
      <c r="Z274" s="25" t="s">
        <v>5542</v>
      </c>
      <c r="AA274" s="26" t="str">
        <f t="shared" ca="1" si="26"/>
        <v>12年7个月</v>
      </c>
      <c r="AB274" s="25" t="s">
        <v>29</v>
      </c>
      <c r="AC274" s="25" t="s">
        <v>28</v>
      </c>
      <c r="AD274" s="25" t="s">
        <v>3986</v>
      </c>
      <c r="AE274" s="25" t="s">
        <v>1654</v>
      </c>
      <c r="AF274" s="25" t="s">
        <v>1012</v>
      </c>
      <c r="AG274" s="27" t="s">
        <v>5947</v>
      </c>
      <c r="AH274" s="25"/>
      <c r="AI274" s="25"/>
      <c r="AJ274" s="25"/>
      <c r="AK274" s="27"/>
      <c r="AL274" s="25" t="s">
        <v>81</v>
      </c>
      <c r="AM274" s="25" t="s">
        <v>3987</v>
      </c>
      <c r="AN274" s="27" t="s">
        <v>5948</v>
      </c>
      <c r="AO274" s="25" t="s">
        <v>4279</v>
      </c>
      <c r="AP274" s="27" t="s">
        <v>5949</v>
      </c>
      <c r="AQ274" s="25"/>
      <c r="AR274" s="25" t="s">
        <v>4892</v>
      </c>
      <c r="AS274" s="26" t="s">
        <v>3990</v>
      </c>
      <c r="AT274" s="25" t="s">
        <v>5950</v>
      </c>
      <c r="AU274" s="25" t="s">
        <v>5951</v>
      </c>
      <c r="AV274" s="25" t="s">
        <v>5952</v>
      </c>
      <c r="AW274" s="30">
        <v>46507</v>
      </c>
      <c r="AX274" s="28">
        <v>44805</v>
      </c>
      <c r="AY274" s="28">
        <v>45504</v>
      </c>
      <c r="AZ274" s="28">
        <v>46507</v>
      </c>
      <c r="BA274" s="28"/>
      <c r="BB274" s="28"/>
      <c r="BC274" s="25"/>
      <c r="BD274" s="25"/>
      <c r="BE274" s="25"/>
      <c r="BF274" s="25"/>
      <c r="BG274" s="25"/>
      <c r="BH274" s="25"/>
      <c r="BI274" s="56"/>
    </row>
    <row r="275" spans="1:61" ht="15.6" x14ac:dyDescent="0.25">
      <c r="A275" s="25">
        <v>273</v>
      </c>
      <c r="B275" s="25" t="s">
        <v>5953</v>
      </c>
      <c r="C275" s="25" t="s">
        <v>4002</v>
      </c>
      <c r="D275" s="26" t="s">
        <v>4150</v>
      </c>
      <c r="E275" s="26" t="s">
        <v>4150</v>
      </c>
      <c r="F275" s="25" t="s">
        <v>4150</v>
      </c>
      <c r="G275" s="25" t="s">
        <v>5920</v>
      </c>
      <c r="H275" s="25"/>
      <c r="I275" s="25"/>
      <c r="J275" s="25" t="s">
        <v>1097</v>
      </c>
      <c r="K275" s="25" t="s">
        <v>399</v>
      </c>
      <c r="L275" s="25" t="s">
        <v>1553</v>
      </c>
      <c r="M275" s="25" t="s">
        <v>4029</v>
      </c>
      <c r="N275" s="27" t="s">
        <v>5954</v>
      </c>
      <c r="O275" s="27" t="s">
        <v>5737</v>
      </c>
      <c r="P275" s="28">
        <v>43285</v>
      </c>
      <c r="Q275" s="28">
        <v>46938</v>
      </c>
      <c r="R275" s="25" t="str">
        <f t="shared" si="21"/>
        <v>男</v>
      </c>
      <c r="S275" s="25" t="s">
        <v>3984</v>
      </c>
      <c r="T275" s="28" t="str">
        <f t="shared" si="22"/>
        <v>1997-02-01</v>
      </c>
      <c r="U275" s="25">
        <f t="shared" ca="1" si="23"/>
        <v>29</v>
      </c>
      <c r="V275" s="25">
        <v>15198875935</v>
      </c>
      <c r="W275" s="28">
        <v>45358</v>
      </c>
      <c r="X275" s="43">
        <v>45358</v>
      </c>
      <c r="Y275" s="29" t="str">
        <f t="shared" ca="1" si="24"/>
        <v>2年1个月</v>
      </c>
      <c r="Z275" s="25" t="s">
        <v>5719</v>
      </c>
      <c r="AA275" s="26" t="str">
        <f t="shared" ca="1" si="26"/>
        <v>4年3个月</v>
      </c>
      <c r="AB275" s="25" t="s">
        <v>29</v>
      </c>
      <c r="AC275" s="25" t="s">
        <v>3985</v>
      </c>
      <c r="AD275" s="25" t="s">
        <v>4035</v>
      </c>
      <c r="AE275" s="25"/>
      <c r="AF275" s="25"/>
      <c r="AG275" s="27"/>
      <c r="AH275" s="25"/>
      <c r="AI275" s="25"/>
      <c r="AJ275" s="25"/>
      <c r="AK275" s="27"/>
      <c r="AL275" s="25" t="s">
        <v>81</v>
      </c>
      <c r="AM275" s="25" t="s">
        <v>3987</v>
      </c>
      <c r="AN275" s="27" t="s">
        <v>5955</v>
      </c>
      <c r="AO275" s="25" t="s">
        <v>4062</v>
      </c>
      <c r="AP275" s="27" t="s">
        <v>5956</v>
      </c>
      <c r="AQ275" s="25"/>
      <c r="AR275" s="25" t="s">
        <v>4993</v>
      </c>
      <c r="AS275" s="26" t="s">
        <v>4011</v>
      </c>
      <c r="AT275" s="25" t="s">
        <v>4527</v>
      </c>
      <c r="AU275" s="25" t="s">
        <v>5957</v>
      </c>
      <c r="AV275" s="25" t="s">
        <v>5957</v>
      </c>
      <c r="AW275" s="30">
        <v>47603</v>
      </c>
      <c r="AX275" s="28">
        <v>45358</v>
      </c>
      <c r="AY275" s="28">
        <v>45722</v>
      </c>
      <c r="AZ275" s="28">
        <v>47603</v>
      </c>
      <c r="BA275" s="28"/>
      <c r="BB275" s="28"/>
      <c r="BC275" s="25"/>
      <c r="BD275" s="25"/>
      <c r="BE275" s="25"/>
      <c r="BF275" s="25"/>
      <c r="BG275" s="25"/>
      <c r="BH275" s="25"/>
      <c r="BI275" s="27"/>
    </row>
    <row r="276" spans="1:61" ht="15.6" x14ac:dyDescent="0.25">
      <c r="A276" s="25">
        <v>274</v>
      </c>
      <c r="B276" s="25" t="s">
        <v>5958</v>
      </c>
      <c r="C276" s="25" t="s">
        <v>4002</v>
      </c>
      <c r="D276" s="26" t="s">
        <v>4150</v>
      </c>
      <c r="E276" s="26" t="s">
        <v>4150</v>
      </c>
      <c r="F276" s="25" t="s">
        <v>4150</v>
      </c>
      <c r="G276" s="25" t="s">
        <v>5920</v>
      </c>
      <c r="H276" s="25"/>
      <c r="I276" s="25"/>
      <c r="J276" s="25" t="s">
        <v>1097</v>
      </c>
      <c r="K276" s="25" t="s">
        <v>399</v>
      </c>
      <c r="L276" s="25" t="s">
        <v>1553</v>
      </c>
      <c r="M276" s="25" t="s">
        <v>4029</v>
      </c>
      <c r="N276" s="27" t="s">
        <v>5959</v>
      </c>
      <c r="O276" s="27" t="s">
        <v>4682</v>
      </c>
      <c r="P276" s="28">
        <v>43336</v>
      </c>
      <c r="Q276" s="28">
        <v>46989</v>
      </c>
      <c r="R276" s="25" t="str">
        <f t="shared" si="21"/>
        <v>男</v>
      </c>
      <c r="S276" s="25" t="s">
        <v>3984</v>
      </c>
      <c r="T276" s="28" t="str">
        <f t="shared" si="22"/>
        <v>1998-10-20</v>
      </c>
      <c r="U276" s="25">
        <f t="shared" ca="1" si="23"/>
        <v>27</v>
      </c>
      <c r="V276" s="25">
        <v>13971649573</v>
      </c>
      <c r="W276" s="28">
        <v>45376</v>
      </c>
      <c r="X276" s="43">
        <v>45376</v>
      </c>
      <c r="Y276" s="29" t="str">
        <f t="shared" ca="1" si="24"/>
        <v>2年0个月</v>
      </c>
      <c r="Z276" s="25" t="s">
        <v>5960</v>
      </c>
      <c r="AA276" s="26" t="str">
        <f t="shared" ca="1" si="26"/>
        <v>4年7个月</v>
      </c>
      <c r="AB276" s="25" t="s">
        <v>4049</v>
      </c>
      <c r="AC276" s="25" t="s">
        <v>4534</v>
      </c>
      <c r="AD276" s="25" t="s">
        <v>4035</v>
      </c>
      <c r="AE276" s="25" t="s">
        <v>1095</v>
      </c>
      <c r="AF276" s="25" t="s">
        <v>4050</v>
      </c>
      <c r="AG276" s="27" t="s">
        <v>4177</v>
      </c>
      <c r="AH276" s="25"/>
      <c r="AI276" s="25"/>
      <c r="AJ276" s="25"/>
      <c r="AK276" s="27"/>
      <c r="AL276" s="25" t="s">
        <v>81</v>
      </c>
      <c r="AM276" s="25" t="s">
        <v>3987</v>
      </c>
      <c r="AN276" s="27" t="s">
        <v>5961</v>
      </c>
      <c r="AO276" s="25" t="s">
        <v>4927</v>
      </c>
      <c r="AP276" s="27" t="s">
        <v>5962</v>
      </c>
      <c r="AQ276" s="25">
        <v>211</v>
      </c>
      <c r="AR276" s="25" t="s">
        <v>4382</v>
      </c>
      <c r="AS276" s="26" t="s">
        <v>4088</v>
      </c>
      <c r="AT276" s="25" t="s">
        <v>4137</v>
      </c>
      <c r="AU276" s="25" t="s">
        <v>5963</v>
      </c>
      <c r="AV276" s="25" t="s">
        <v>5964</v>
      </c>
      <c r="AW276" s="30">
        <v>46873</v>
      </c>
      <c r="AX276" s="28">
        <v>45376</v>
      </c>
      <c r="AY276" s="28">
        <v>45740</v>
      </c>
      <c r="AZ276" s="28">
        <v>46873</v>
      </c>
      <c r="BA276" s="28"/>
      <c r="BB276" s="28"/>
      <c r="BC276" s="25"/>
      <c r="BD276" s="25"/>
      <c r="BE276" s="25"/>
      <c r="BF276" s="25"/>
      <c r="BG276" s="25"/>
      <c r="BH276" s="25"/>
      <c r="BI276" s="27"/>
    </row>
    <row r="277" spans="1:61" ht="15.6" x14ac:dyDescent="0.25">
      <c r="A277" s="25">
        <v>275</v>
      </c>
      <c r="B277" s="25" t="s">
        <v>5965</v>
      </c>
      <c r="C277" s="25" t="s">
        <v>4002</v>
      </c>
      <c r="D277" s="26" t="s">
        <v>4150</v>
      </c>
      <c r="E277" s="26" t="s">
        <v>4150</v>
      </c>
      <c r="F277" s="25" t="s">
        <v>4150</v>
      </c>
      <c r="G277" s="25" t="s">
        <v>5966</v>
      </c>
      <c r="H277" s="25"/>
      <c r="I277" s="25"/>
      <c r="J277" s="25" t="s">
        <v>3538</v>
      </c>
      <c r="K277" s="25" t="s">
        <v>676</v>
      </c>
      <c r="L277" s="25" t="s">
        <v>4016</v>
      </c>
      <c r="M277" s="25" t="s">
        <v>4080</v>
      </c>
      <c r="N277" s="27" t="s">
        <v>5967</v>
      </c>
      <c r="O277" s="27" t="s">
        <v>4031</v>
      </c>
      <c r="P277" s="28">
        <v>41375</v>
      </c>
      <c r="Q277" s="28">
        <v>48680</v>
      </c>
      <c r="R277" s="25" t="str">
        <f t="shared" si="21"/>
        <v>男</v>
      </c>
      <c r="S277" s="25" t="s">
        <v>3984</v>
      </c>
      <c r="T277" s="28" t="str">
        <f t="shared" si="22"/>
        <v>1975-06-25</v>
      </c>
      <c r="U277" s="25">
        <f t="shared" ca="1" si="23"/>
        <v>50</v>
      </c>
      <c r="V277" s="25">
        <v>13577155431</v>
      </c>
      <c r="W277" s="28">
        <v>43836</v>
      </c>
      <c r="X277" s="28">
        <v>37987</v>
      </c>
      <c r="Y277" s="29" t="str">
        <f t="shared" ca="1" si="24"/>
        <v>22年3个月</v>
      </c>
      <c r="Z277" s="25"/>
      <c r="AA277" s="26" t="str">
        <f t="shared" ca="1" si="26"/>
        <v>22年3个月</v>
      </c>
      <c r="AB277" s="25" t="s">
        <v>29</v>
      </c>
      <c r="AC277" s="25" t="s">
        <v>3985</v>
      </c>
      <c r="AD277" s="25" t="s">
        <v>3986</v>
      </c>
      <c r="AE277" s="25"/>
      <c r="AF277" s="25"/>
      <c r="AG277" s="27"/>
      <c r="AH277" s="25"/>
      <c r="AI277" s="25"/>
      <c r="AJ277" s="25"/>
      <c r="AK277" s="27"/>
      <c r="AL277" s="25" t="s">
        <v>4503</v>
      </c>
      <c r="AM277" s="25"/>
      <c r="AN277" s="27" t="s">
        <v>4039</v>
      </c>
      <c r="AO277" s="25" t="s">
        <v>2639</v>
      </c>
      <c r="AP277" s="27" t="s">
        <v>5968</v>
      </c>
      <c r="AQ277" s="25"/>
      <c r="AR277" s="25" t="s">
        <v>5389</v>
      </c>
      <c r="AS277" s="26" t="s">
        <v>4011</v>
      </c>
      <c r="AT277" s="25" t="s">
        <v>4043</v>
      </c>
      <c r="AU277" s="25" t="s">
        <v>5969</v>
      </c>
      <c r="AV277" s="25" t="s">
        <v>5970</v>
      </c>
      <c r="AW277" s="30" t="s">
        <v>4000</v>
      </c>
      <c r="AX277" s="28">
        <v>43836</v>
      </c>
      <c r="AY277" s="28" t="s">
        <v>4000</v>
      </c>
      <c r="AZ277" s="28"/>
      <c r="BA277" s="28"/>
      <c r="BB277" s="28"/>
      <c r="BC277" s="25"/>
      <c r="BD277" s="25"/>
      <c r="BE277" s="25"/>
      <c r="BF277" s="25"/>
      <c r="BG277" s="25"/>
      <c r="BH277" s="25"/>
      <c r="BI277" s="27"/>
    </row>
    <row r="278" spans="1:61" ht="15.6" x14ac:dyDescent="0.25">
      <c r="A278" s="25">
        <v>276</v>
      </c>
      <c r="B278" s="25" t="s">
        <v>5971</v>
      </c>
      <c r="C278" s="25" t="s">
        <v>4002</v>
      </c>
      <c r="D278" s="26" t="s">
        <v>4150</v>
      </c>
      <c r="E278" s="26" t="s">
        <v>4150</v>
      </c>
      <c r="F278" s="25" t="s">
        <v>4150</v>
      </c>
      <c r="G278" s="25" t="s">
        <v>5966</v>
      </c>
      <c r="H278" s="25"/>
      <c r="I278" s="25"/>
      <c r="J278" s="25" t="s">
        <v>2244</v>
      </c>
      <c r="K278" s="25" t="s">
        <v>676</v>
      </c>
      <c r="L278" s="25" t="s">
        <v>4016</v>
      </c>
      <c r="M278" s="25" t="s">
        <v>4080</v>
      </c>
      <c r="N278" s="27" t="s">
        <v>5972</v>
      </c>
      <c r="O278" s="27" t="s">
        <v>5973</v>
      </c>
      <c r="P278" s="28">
        <v>45777</v>
      </c>
      <c r="Q278" s="28">
        <v>53082</v>
      </c>
      <c r="R278" s="25" t="str">
        <f t="shared" si="21"/>
        <v>男</v>
      </c>
      <c r="S278" s="25" t="s">
        <v>3984</v>
      </c>
      <c r="T278" s="28" t="str">
        <f t="shared" si="22"/>
        <v>1992-12-06</v>
      </c>
      <c r="U278" s="25">
        <f t="shared" ca="1" si="23"/>
        <v>33</v>
      </c>
      <c r="V278" s="25">
        <v>15687156826</v>
      </c>
      <c r="W278" s="28">
        <v>43836</v>
      </c>
      <c r="X278" s="28">
        <v>42191</v>
      </c>
      <c r="Y278" s="29" t="str">
        <f t="shared" ca="1" si="24"/>
        <v>10年9个月</v>
      </c>
      <c r="Z278" s="25"/>
      <c r="AA278" s="26" t="str">
        <f t="shared" ca="1" si="26"/>
        <v>10年9个月</v>
      </c>
      <c r="AB278" s="25" t="s">
        <v>4049</v>
      </c>
      <c r="AC278" s="25" t="s">
        <v>3985</v>
      </c>
      <c r="AD278" s="25" t="s">
        <v>4035</v>
      </c>
      <c r="AE278" s="25" t="s">
        <v>5974</v>
      </c>
      <c r="AF278" s="25" t="s">
        <v>1012</v>
      </c>
      <c r="AG278" s="27" t="s">
        <v>5975</v>
      </c>
      <c r="AH278" s="25" t="s">
        <v>4036</v>
      </c>
      <c r="AI278" s="25" t="s">
        <v>2242</v>
      </c>
      <c r="AJ278" s="25" t="s">
        <v>4050</v>
      </c>
      <c r="AK278" s="27" t="s">
        <v>5976</v>
      </c>
      <c r="AL278" s="25" t="s">
        <v>81</v>
      </c>
      <c r="AM278" s="25" t="s">
        <v>4038</v>
      </c>
      <c r="AN278" s="27" t="s">
        <v>4039</v>
      </c>
      <c r="AO278" s="27" t="s">
        <v>5977</v>
      </c>
      <c r="AP278" s="27" t="s">
        <v>5978</v>
      </c>
      <c r="AQ278" s="25"/>
      <c r="AR278" s="25" t="s">
        <v>4408</v>
      </c>
      <c r="AS278" s="26" t="s">
        <v>4011</v>
      </c>
      <c r="AT278" s="25" t="s">
        <v>5979</v>
      </c>
      <c r="AU278" s="25" t="s">
        <v>5980</v>
      </c>
      <c r="AV278" s="25" t="s">
        <v>5980</v>
      </c>
      <c r="AW278" s="30">
        <v>46873</v>
      </c>
      <c r="AX278" s="28">
        <v>43836</v>
      </c>
      <c r="AY278" s="28">
        <v>44931</v>
      </c>
      <c r="AZ278" s="28">
        <v>46873</v>
      </c>
      <c r="BA278" s="28"/>
      <c r="BB278" s="28"/>
      <c r="BC278" s="25"/>
      <c r="BD278" s="25"/>
      <c r="BE278" s="25"/>
      <c r="BF278" s="25"/>
      <c r="BG278" s="25"/>
      <c r="BH278" s="25"/>
      <c r="BI278" s="56"/>
    </row>
    <row r="279" spans="1:61" ht="15.6" x14ac:dyDescent="0.25">
      <c r="A279" s="25">
        <v>277</v>
      </c>
      <c r="B279" s="25" t="s">
        <v>5981</v>
      </c>
      <c r="C279" s="25" t="s">
        <v>4002</v>
      </c>
      <c r="D279" s="26" t="s">
        <v>4150</v>
      </c>
      <c r="E279" s="26" t="s">
        <v>4150</v>
      </c>
      <c r="F279" s="25" t="s">
        <v>4150</v>
      </c>
      <c r="G279" s="25" t="s">
        <v>5966</v>
      </c>
      <c r="H279" s="25"/>
      <c r="I279" s="25"/>
      <c r="J279" s="25" t="s">
        <v>2361</v>
      </c>
      <c r="K279" s="25" t="s">
        <v>361</v>
      </c>
      <c r="L279" s="25" t="s">
        <v>4100</v>
      </c>
      <c r="M279" s="25" t="s">
        <v>4029</v>
      </c>
      <c r="N279" s="27" t="s">
        <v>5982</v>
      </c>
      <c r="O279" s="27" t="s">
        <v>4497</v>
      </c>
      <c r="P279" s="28">
        <v>44729</v>
      </c>
      <c r="Q279" s="28">
        <v>52034</v>
      </c>
      <c r="R279" s="25" t="str">
        <f t="shared" si="21"/>
        <v>女</v>
      </c>
      <c r="S279" s="25" t="s">
        <v>3984</v>
      </c>
      <c r="T279" s="28" t="str">
        <f t="shared" si="22"/>
        <v>1992-11-12</v>
      </c>
      <c r="U279" s="25">
        <f t="shared" ca="1" si="23"/>
        <v>33</v>
      </c>
      <c r="V279" s="25">
        <v>18213432341</v>
      </c>
      <c r="W279" s="28">
        <v>43836</v>
      </c>
      <c r="X279" s="28">
        <v>41834</v>
      </c>
      <c r="Y279" s="29" t="str">
        <f t="shared" ca="1" si="24"/>
        <v>11年8个月</v>
      </c>
      <c r="Z279" s="25"/>
      <c r="AA279" s="26" t="str">
        <f t="shared" ca="1" si="26"/>
        <v>11年8个月</v>
      </c>
      <c r="AB279" s="25" t="s">
        <v>4034</v>
      </c>
      <c r="AC279" s="25" t="s">
        <v>3985</v>
      </c>
      <c r="AD279" s="25" t="s">
        <v>4035</v>
      </c>
      <c r="AE279" s="33"/>
      <c r="AF279" s="33"/>
      <c r="AG279" s="34"/>
      <c r="AH279" s="25" t="s">
        <v>4102</v>
      </c>
      <c r="AI279" s="25" t="s">
        <v>3841</v>
      </c>
      <c r="AJ279" s="25" t="s">
        <v>4050</v>
      </c>
      <c r="AK279" s="27" t="s">
        <v>5983</v>
      </c>
      <c r="AL279" s="25" t="s">
        <v>305</v>
      </c>
      <c r="AM279" s="25"/>
      <c r="AN279" s="27" t="s">
        <v>4039</v>
      </c>
      <c r="AO279" s="25" t="s">
        <v>559</v>
      </c>
      <c r="AP279" s="27" t="s">
        <v>5984</v>
      </c>
      <c r="AQ279" s="25"/>
      <c r="AR279" s="27" t="s">
        <v>1835</v>
      </c>
      <c r="AS279" s="26" t="s">
        <v>4011</v>
      </c>
      <c r="AT279" s="25" t="s">
        <v>4456</v>
      </c>
      <c r="AU279" s="25" t="s">
        <v>5985</v>
      </c>
      <c r="AV279" s="25" t="s">
        <v>4499</v>
      </c>
      <c r="AW279" s="30">
        <v>47603</v>
      </c>
      <c r="AX279" s="28">
        <v>43836</v>
      </c>
      <c r="AY279" s="28">
        <v>45662</v>
      </c>
      <c r="AZ279" s="28">
        <v>47603</v>
      </c>
      <c r="BA279" s="28"/>
      <c r="BB279" s="28"/>
      <c r="BC279" s="25"/>
      <c r="BD279" s="25"/>
      <c r="BE279" s="25"/>
      <c r="BF279" s="25"/>
      <c r="BG279" s="25"/>
      <c r="BH279" s="25"/>
      <c r="BI279" s="27"/>
    </row>
    <row r="280" spans="1:61" ht="15.6" x14ac:dyDescent="0.25">
      <c r="A280" s="25">
        <v>278</v>
      </c>
      <c r="B280" s="25" t="s">
        <v>5986</v>
      </c>
      <c r="C280" s="25" t="s">
        <v>4002</v>
      </c>
      <c r="D280" s="26" t="s">
        <v>4150</v>
      </c>
      <c r="E280" s="26" t="s">
        <v>4150</v>
      </c>
      <c r="F280" s="25" t="s">
        <v>4150</v>
      </c>
      <c r="G280" s="25" t="s">
        <v>5966</v>
      </c>
      <c r="H280" s="25"/>
      <c r="I280" s="25"/>
      <c r="J280" s="25" t="s">
        <v>5987</v>
      </c>
      <c r="K280" s="25" t="s">
        <v>399</v>
      </c>
      <c r="L280" s="25" t="s">
        <v>1553</v>
      </c>
      <c r="M280" s="25" t="s">
        <v>4029</v>
      </c>
      <c r="N280" s="27" t="s">
        <v>5988</v>
      </c>
      <c r="O280" s="27" t="s">
        <v>5403</v>
      </c>
      <c r="P280" s="28">
        <v>42563</v>
      </c>
      <c r="Q280" s="28">
        <v>46215</v>
      </c>
      <c r="R280" s="25" t="s">
        <v>4312</v>
      </c>
      <c r="S280" s="25" t="s">
        <v>3984</v>
      </c>
      <c r="T280" s="28" t="str">
        <f t="shared" si="22"/>
        <v>1997-01-03</v>
      </c>
      <c r="U280" s="25">
        <f t="shared" ca="1" si="23"/>
        <v>29</v>
      </c>
      <c r="V280" s="25">
        <v>18235105613</v>
      </c>
      <c r="W280" s="28">
        <v>45740</v>
      </c>
      <c r="X280" s="28">
        <v>45740</v>
      </c>
      <c r="Y280" s="29" t="str">
        <f t="shared" ca="1" si="24"/>
        <v>1年0个月</v>
      </c>
      <c r="Z280" s="25" t="s">
        <v>4793</v>
      </c>
      <c r="AA280" s="26" t="str">
        <f t="shared" ca="1" si="26"/>
        <v>6年8个月</v>
      </c>
      <c r="AB280" s="25" t="s">
        <v>253</v>
      </c>
      <c r="AC280" s="25" t="s">
        <v>119</v>
      </c>
      <c r="AD280" s="25" t="s">
        <v>4035</v>
      </c>
      <c r="AE280" s="25"/>
      <c r="AF280" s="25"/>
      <c r="AG280" s="27"/>
      <c r="AH280" s="25"/>
      <c r="AI280" s="25"/>
      <c r="AJ280" s="25"/>
      <c r="AK280" s="27"/>
      <c r="AL280" s="25" t="s">
        <v>81</v>
      </c>
      <c r="AM280" s="25" t="s">
        <v>3987</v>
      </c>
      <c r="AN280" s="27" t="s">
        <v>5989</v>
      </c>
      <c r="AO280" s="25" t="s">
        <v>5661</v>
      </c>
      <c r="AP280" s="27" t="s">
        <v>5990</v>
      </c>
      <c r="AQ280" s="25">
        <v>211</v>
      </c>
      <c r="AR280" s="27" t="s">
        <v>4382</v>
      </c>
      <c r="AS280" s="26" t="s">
        <v>4011</v>
      </c>
      <c r="AT280" s="25" t="s">
        <v>4137</v>
      </c>
      <c r="AU280" s="25" t="s">
        <v>5991</v>
      </c>
      <c r="AV280" s="25" t="s">
        <v>5991</v>
      </c>
      <c r="AW280" s="30">
        <v>47208</v>
      </c>
      <c r="AX280" s="28">
        <v>45740</v>
      </c>
      <c r="AY280" s="28">
        <v>46104</v>
      </c>
      <c r="AZ280" s="28">
        <v>47208</v>
      </c>
      <c r="BA280" s="28"/>
      <c r="BB280" s="28"/>
      <c r="BC280" s="25"/>
      <c r="BD280" s="25"/>
      <c r="BE280" s="25"/>
      <c r="BF280" s="25"/>
      <c r="BG280" s="25"/>
      <c r="BH280" s="25"/>
      <c r="BI280" s="27"/>
    </row>
    <row r="281" spans="1:61" ht="15.6" x14ac:dyDescent="0.25">
      <c r="A281" s="25">
        <v>279</v>
      </c>
      <c r="B281" s="25" t="s">
        <v>5992</v>
      </c>
      <c r="C281" s="25" t="s">
        <v>4002</v>
      </c>
      <c r="D281" s="26" t="s">
        <v>4150</v>
      </c>
      <c r="E281" s="26" t="s">
        <v>4150</v>
      </c>
      <c r="F281" s="25" t="s">
        <v>4150</v>
      </c>
      <c r="G281" s="25" t="s">
        <v>5966</v>
      </c>
      <c r="H281" s="25"/>
      <c r="I281" s="25"/>
      <c r="J281" s="25" t="s">
        <v>5993</v>
      </c>
      <c r="K281" s="25" t="s">
        <v>556</v>
      </c>
      <c r="L281" s="25" t="s">
        <v>4543</v>
      </c>
      <c r="M281" s="25" t="s">
        <v>4029</v>
      </c>
      <c r="N281" s="27" t="s">
        <v>5994</v>
      </c>
      <c r="O281" s="27" t="s">
        <v>4019</v>
      </c>
      <c r="P281" s="28">
        <v>39005</v>
      </c>
      <c r="Q281" s="28">
        <v>46310</v>
      </c>
      <c r="R281" s="25" t="str">
        <f>IF(MOD(RIGHT(LEFT(N281,17)),2),"男","女")</f>
        <v>男</v>
      </c>
      <c r="S281" s="25" t="s">
        <v>3984</v>
      </c>
      <c r="T281" s="28" t="str">
        <f>TEXT(MID(N281,7,6+(LEN(N281)=18)*2),"0-00-00")</f>
        <v>1974-06-22</v>
      </c>
      <c r="U281" s="25">
        <f ca="1">DATEDIF(T281,TODAY(),"Y")</f>
        <v>51</v>
      </c>
      <c r="V281" s="25">
        <v>13099919881</v>
      </c>
      <c r="W281" s="28">
        <v>43836</v>
      </c>
      <c r="X281" s="28">
        <v>38292</v>
      </c>
      <c r="Y281" s="29" t="str">
        <f ca="1">DATEDIF(X281,TODAY(),"Y")&amp;"年"&amp;TEXT(DATEDIF(X281,TODAY(),"YM"),"0")&amp;"个月"</f>
        <v>21年5个月</v>
      </c>
      <c r="Z281" s="25" t="s">
        <v>5995</v>
      </c>
      <c r="AA281" s="26"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5" t="s">
        <v>29</v>
      </c>
      <c r="AC281" s="25" t="s">
        <v>3985</v>
      </c>
      <c r="AD281" s="25" t="s">
        <v>3986</v>
      </c>
      <c r="AE281" s="25"/>
      <c r="AF281" s="25"/>
      <c r="AG281" s="27"/>
      <c r="AH281" s="25"/>
      <c r="AI281" s="25"/>
      <c r="AJ281" s="25"/>
      <c r="AK281" s="27"/>
      <c r="AL281" s="25" t="s">
        <v>4503</v>
      </c>
      <c r="AM281" s="25"/>
      <c r="AN281" s="27" t="s">
        <v>4039</v>
      </c>
      <c r="AO281" s="25" t="s">
        <v>5996</v>
      </c>
      <c r="AP281" s="27" t="s">
        <v>5997</v>
      </c>
      <c r="AQ281" s="25"/>
      <c r="AR281" s="25" t="s">
        <v>5389</v>
      </c>
      <c r="AS281" s="26" t="s">
        <v>4011</v>
      </c>
      <c r="AT281" s="25" t="s">
        <v>1314</v>
      </c>
      <c r="AU281" s="25" t="s">
        <v>3514</v>
      </c>
      <c r="AV281" s="25" t="s">
        <v>3514</v>
      </c>
      <c r="AW281" s="30" t="s">
        <v>4000</v>
      </c>
      <c r="AX281" s="28">
        <v>43836</v>
      </c>
      <c r="AY281" s="28" t="s">
        <v>4000</v>
      </c>
      <c r="AZ281" s="28"/>
      <c r="BA281" s="28"/>
      <c r="BB281" s="28"/>
      <c r="BC281" s="25"/>
      <c r="BD281" s="25"/>
      <c r="BE281" s="25"/>
      <c r="BF281" s="25"/>
      <c r="BG281" s="25"/>
      <c r="BH281" s="25"/>
      <c r="BI281" s="27"/>
    </row>
    <row r="282" spans="1:61" ht="15.6" x14ac:dyDescent="0.25">
      <c r="A282" s="25">
        <v>280</v>
      </c>
      <c r="B282" s="25" t="s">
        <v>5998</v>
      </c>
      <c r="C282" s="25" t="s">
        <v>4002</v>
      </c>
      <c r="D282" s="26" t="s">
        <v>4150</v>
      </c>
      <c r="E282" s="26" t="s">
        <v>4150</v>
      </c>
      <c r="F282" s="25" t="s">
        <v>4150</v>
      </c>
      <c r="G282" s="25" t="s">
        <v>5966</v>
      </c>
      <c r="H282" s="25"/>
      <c r="I282" s="25"/>
      <c r="J282" s="25" t="s">
        <v>5999</v>
      </c>
      <c r="K282" s="25" t="s">
        <v>556</v>
      </c>
      <c r="L282" s="25" t="s">
        <v>5725</v>
      </c>
      <c r="M282" s="25" t="s">
        <v>4029</v>
      </c>
      <c r="N282" s="27" t="s">
        <v>6000</v>
      </c>
      <c r="O282" s="27" t="s">
        <v>4031</v>
      </c>
      <c r="P282" s="28">
        <v>44058</v>
      </c>
      <c r="Q282" s="28">
        <v>51363</v>
      </c>
      <c r="R282" s="25" t="str">
        <f t="shared" ref="R282:R325" si="27">IF(MOD(RIGHT(LEFT(N282,17)),2),"男","女")</f>
        <v>男</v>
      </c>
      <c r="S282" s="25" t="s">
        <v>3984</v>
      </c>
      <c r="T282" s="28" t="str">
        <f t="shared" si="22"/>
        <v>1993-09-11</v>
      </c>
      <c r="U282" s="25">
        <f t="shared" ca="1" si="23"/>
        <v>32</v>
      </c>
      <c r="V282" s="25">
        <v>13678738154</v>
      </c>
      <c r="W282" s="28">
        <v>43836</v>
      </c>
      <c r="X282" s="28">
        <v>41091</v>
      </c>
      <c r="Y282" s="29" t="str">
        <f t="shared" ca="1" si="24"/>
        <v>13年9个月</v>
      </c>
      <c r="Z282" s="25"/>
      <c r="AA282" s="26" t="str">
        <f t="shared" ca="1" si="26"/>
        <v>13年9个月</v>
      </c>
      <c r="AB282" s="25" t="s">
        <v>4034</v>
      </c>
      <c r="AC282" s="25" t="s">
        <v>119</v>
      </c>
      <c r="AD282" s="25" t="s">
        <v>4035</v>
      </c>
      <c r="AE282" s="25"/>
      <c r="AF282" s="25"/>
      <c r="AG282" s="27"/>
      <c r="AH282" s="25" t="s">
        <v>4036</v>
      </c>
      <c r="AI282" s="25" t="s">
        <v>2900</v>
      </c>
      <c r="AJ282" s="25" t="s">
        <v>964</v>
      </c>
      <c r="AK282" s="27" t="s">
        <v>6001</v>
      </c>
      <c r="AL282" s="25" t="s">
        <v>305</v>
      </c>
      <c r="AM282" s="25"/>
      <c r="AN282" s="27" t="s">
        <v>4039</v>
      </c>
      <c r="AO282" s="25" t="s">
        <v>4927</v>
      </c>
      <c r="AP282" s="27" t="s">
        <v>6002</v>
      </c>
      <c r="AQ282" s="25">
        <v>211</v>
      </c>
      <c r="AR282" s="25" t="s">
        <v>6003</v>
      </c>
      <c r="AS282" s="26" t="s">
        <v>4011</v>
      </c>
      <c r="AT282" s="25" t="s">
        <v>4043</v>
      </c>
      <c r="AU282" s="25" t="s">
        <v>6004</v>
      </c>
      <c r="AV282" s="25" t="s">
        <v>6005</v>
      </c>
      <c r="AW282" s="30">
        <v>47603</v>
      </c>
      <c r="AX282" s="28">
        <v>43836</v>
      </c>
      <c r="AY282" s="28">
        <v>45662</v>
      </c>
      <c r="AZ282" s="28">
        <v>47603</v>
      </c>
      <c r="BA282" s="28"/>
      <c r="BB282" s="28"/>
      <c r="BC282" s="25"/>
      <c r="BD282" s="25"/>
      <c r="BE282" s="25"/>
      <c r="BF282" s="25"/>
      <c r="BG282" s="25"/>
      <c r="BH282" s="25"/>
      <c r="BI282" s="27"/>
    </row>
    <row r="283" spans="1:61" ht="15.6" x14ac:dyDescent="0.25">
      <c r="A283" s="25">
        <v>281</v>
      </c>
      <c r="B283" s="25" t="s">
        <v>6006</v>
      </c>
      <c r="C283" s="25" t="s">
        <v>4002</v>
      </c>
      <c r="D283" s="26" t="s">
        <v>4150</v>
      </c>
      <c r="E283" s="26" t="s">
        <v>4150</v>
      </c>
      <c r="F283" s="25" t="s">
        <v>4150</v>
      </c>
      <c r="G283" s="25" t="s">
        <v>5966</v>
      </c>
      <c r="H283" s="25"/>
      <c r="I283" s="25"/>
      <c r="J283" s="25" t="s">
        <v>5999</v>
      </c>
      <c r="K283" s="25" t="s">
        <v>556</v>
      </c>
      <c r="L283" s="25" t="s">
        <v>5725</v>
      </c>
      <c r="M283" s="25" t="s">
        <v>4029</v>
      </c>
      <c r="N283" s="27" t="s">
        <v>6007</v>
      </c>
      <c r="O283" s="27" t="s">
        <v>4031</v>
      </c>
      <c r="P283" s="28">
        <v>43172</v>
      </c>
      <c r="Q283" s="28">
        <v>46825</v>
      </c>
      <c r="R283" s="25" t="str">
        <f t="shared" si="27"/>
        <v>男</v>
      </c>
      <c r="S283" s="25" t="s">
        <v>3984</v>
      </c>
      <c r="T283" s="28" t="str">
        <f t="shared" si="22"/>
        <v>1998-03-13</v>
      </c>
      <c r="U283" s="25">
        <f t="shared" ca="1" si="23"/>
        <v>28</v>
      </c>
      <c r="V283" s="25">
        <v>18725121213</v>
      </c>
      <c r="W283" s="28">
        <v>43836</v>
      </c>
      <c r="X283" s="28">
        <v>42552</v>
      </c>
      <c r="Y283" s="29" t="str">
        <f t="shared" ca="1" si="24"/>
        <v>9年9个月</v>
      </c>
      <c r="Z283" s="28"/>
      <c r="AA283" s="26" t="str">
        <f t="shared" ca="1" si="26"/>
        <v>9年9个月</v>
      </c>
      <c r="AB283" s="25" t="s">
        <v>4034</v>
      </c>
      <c r="AC283" s="25" t="s">
        <v>119</v>
      </c>
      <c r="AD283" s="25" t="s">
        <v>4035</v>
      </c>
      <c r="AE283" s="25"/>
      <c r="AF283" s="25"/>
      <c r="AG283" s="27"/>
      <c r="AH283" s="25"/>
      <c r="AI283" s="25"/>
      <c r="AJ283" s="25"/>
      <c r="AK283" s="27"/>
      <c r="AL283" s="25" t="s">
        <v>4503</v>
      </c>
      <c r="AM283" s="25"/>
      <c r="AN283" s="27" t="s">
        <v>4039</v>
      </c>
      <c r="AO283" s="25" t="s">
        <v>4504</v>
      </c>
      <c r="AP283" s="27" t="s">
        <v>6008</v>
      </c>
      <c r="AQ283" s="25"/>
      <c r="AR283" s="25"/>
      <c r="AS283" s="26" t="s">
        <v>3990</v>
      </c>
      <c r="AT283" s="25" t="s">
        <v>4043</v>
      </c>
      <c r="AU283" s="25" t="s">
        <v>6009</v>
      </c>
      <c r="AV283" s="25" t="s">
        <v>6010</v>
      </c>
      <c r="AW283" s="30">
        <v>47603</v>
      </c>
      <c r="AX283" s="28">
        <v>43836</v>
      </c>
      <c r="AY283" s="28">
        <v>45662</v>
      </c>
      <c r="AZ283" s="28">
        <v>47603</v>
      </c>
      <c r="BA283" s="28"/>
      <c r="BB283" s="25"/>
      <c r="BC283" s="25"/>
      <c r="BD283" s="25"/>
      <c r="BE283" s="25"/>
      <c r="BF283" s="25"/>
      <c r="BG283" s="25"/>
      <c r="BH283" s="25"/>
      <c r="BI283" s="25"/>
    </row>
    <row r="284" spans="1:61" ht="15.6" x14ac:dyDescent="0.25">
      <c r="A284" s="25">
        <v>282</v>
      </c>
      <c r="B284" s="25" t="s">
        <v>6011</v>
      </c>
      <c r="C284" s="25" t="s">
        <v>4002</v>
      </c>
      <c r="D284" s="26" t="s">
        <v>4150</v>
      </c>
      <c r="E284" s="26" t="s">
        <v>4150</v>
      </c>
      <c r="F284" s="25" t="s">
        <v>4150</v>
      </c>
      <c r="G284" s="25" t="s">
        <v>5966</v>
      </c>
      <c r="H284" s="25"/>
      <c r="I284" s="25"/>
      <c r="J284" s="25" t="s">
        <v>5999</v>
      </c>
      <c r="K284" s="25" t="s">
        <v>556</v>
      </c>
      <c r="L284" s="25" t="s">
        <v>5725</v>
      </c>
      <c r="M284" s="25" t="s">
        <v>4029</v>
      </c>
      <c r="N284" s="27" t="s">
        <v>6012</v>
      </c>
      <c r="O284" s="27" t="s">
        <v>3981</v>
      </c>
      <c r="P284" s="28">
        <v>38933</v>
      </c>
      <c r="Q284" s="28">
        <v>46238</v>
      </c>
      <c r="R284" s="25" t="str">
        <f t="shared" si="27"/>
        <v>男</v>
      </c>
      <c r="S284" s="25" t="s">
        <v>4032</v>
      </c>
      <c r="T284" s="28" t="str">
        <f t="shared" si="22"/>
        <v>1971-07-14</v>
      </c>
      <c r="U284" s="25">
        <f t="shared" ca="1" si="23"/>
        <v>54</v>
      </c>
      <c r="V284" s="25">
        <v>13354986323</v>
      </c>
      <c r="W284" s="28">
        <v>43836</v>
      </c>
      <c r="X284" s="28">
        <v>38890</v>
      </c>
      <c r="Y284" s="29" t="str">
        <f t="shared" ca="1" si="24"/>
        <v>19年9个月</v>
      </c>
      <c r="Z284" s="25" t="s">
        <v>4999</v>
      </c>
      <c r="AA284" s="26" t="str">
        <f t="shared" ca="1" si="26"/>
        <v>29年7个月</v>
      </c>
      <c r="AB284" s="25" t="s">
        <v>29</v>
      </c>
      <c r="AC284" s="25" t="s">
        <v>3985</v>
      </c>
      <c r="AD284" s="25" t="s">
        <v>3986</v>
      </c>
      <c r="AE284" s="25"/>
      <c r="AF284" s="25"/>
      <c r="AG284" s="27"/>
      <c r="AH284" s="25"/>
      <c r="AI284" s="25"/>
      <c r="AJ284" s="25"/>
      <c r="AK284" s="27"/>
      <c r="AL284" s="25" t="s">
        <v>4246</v>
      </c>
      <c r="AM284" s="25"/>
      <c r="AN284" s="27" t="s">
        <v>4039</v>
      </c>
      <c r="AO284" s="25" t="s">
        <v>6013</v>
      </c>
      <c r="AP284" s="27" t="s">
        <v>6014</v>
      </c>
      <c r="AQ284" s="25"/>
      <c r="AR284" s="25" t="s">
        <v>6015</v>
      </c>
      <c r="AS284" s="26" t="s">
        <v>4011</v>
      </c>
      <c r="AT284" s="25" t="s">
        <v>668</v>
      </c>
      <c r="AU284" s="25" t="s">
        <v>3474</v>
      </c>
      <c r="AV284" s="25" t="s">
        <v>3474</v>
      </c>
      <c r="AW284" s="30" t="s">
        <v>4000</v>
      </c>
      <c r="AX284" s="28">
        <v>43836</v>
      </c>
      <c r="AY284" s="28" t="s">
        <v>4000</v>
      </c>
      <c r="AZ284" s="28"/>
      <c r="BA284" s="28"/>
      <c r="BB284" s="28"/>
      <c r="BC284" s="25"/>
      <c r="BD284" s="25"/>
      <c r="BE284" s="25"/>
      <c r="BF284" s="25"/>
      <c r="BG284" s="25"/>
      <c r="BH284" s="25"/>
      <c r="BI284" s="27"/>
    </row>
    <row r="285" spans="1:61" ht="15.6" x14ac:dyDescent="0.25">
      <c r="A285" s="25">
        <v>283</v>
      </c>
      <c r="B285" s="25" t="s">
        <v>6016</v>
      </c>
      <c r="C285" s="25" t="s">
        <v>4002</v>
      </c>
      <c r="D285" s="26" t="s">
        <v>4150</v>
      </c>
      <c r="E285" s="26" t="s">
        <v>4150</v>
      </c>
      <c r="F285" s="25" t="s">
        <v>4150</v>
      </c>
      <c r="G285" s="25" t="s">
        <v>5966</v>
      </c>
      <c r="H285" s="25"/>
      <c r="I285" s="25"/>
      <c r="J285" s="25" t="s">
        <v>5999</v>
      </c>
      <c r="K285" s="25" t="s">
        <v>556</v>
      </c>
      <c r="L285" s="25" t="s">
        <v>5725</v>
      </c>
      <c r="M285" s="25" t="s">
        <v>4029</v>
      </c>
      <c r="N285" s="27" t="s">
        <v>6017</v>
      </c>
      <c r="O285" s="27" t="s">
        <v>6018</v>
      </c>
      <c r="P285" s="28">
        <v>42982</v>
      </c>
      <c r="Q285" s="28">
        <v>50287</v>
      </c>
      <c r="R285" s="25" t="str">
        <f t="shared" si="27"/>
        <v>男</v>
      </c>
      <c r="S285" s="25" t="s">
        <v>3984</v>
      </c>
      <c r="T285" s="28" t="str">
        <f t="shared" si="22"/>
        <v>1972-09-25</v>
      </c>
      <c r="U285" s="25">
        <f t="shared" ca="1" si="23"/>
        <v>53</v>
      </c>
      <c r="V285" s="25">
        <v>13888426784</v>
      </c>
      <c r="W285" s="28">
        <v>43836</v>
      </c>
      <c r="X285" s="28">
        <v>39234</v>
      </c>
      <c r="Y285" s="29" t="str">
        <f t="shared" ca="1" si="24"/>
        <v>18年10个月</v>
      </c>
      <c r="Z285" s="25"/>
      <c r="AA285" s="26" t="str">
        <f t="shared" ca="1" si="26"/>
        <v>18年10个月</v>
      </c>
      <c r="AB285" s="25" t="s">
        <v>29</v>
      </c>
      <c r="AC285" s="25" t="s">
        <v>3985</v>
      </c>
      <c r="AD285" s="25" t="s">
        <v>3986</v>
      </c>
      <c r="AE285" s="25"/>
      <c r="AF285" s="25"/>
      <c r="AG285" s="27"/>
      <c r="AH285" s="25"/>
      <c r="AI285" s="25"/>
      <c r="AJ285" s="25"/>
      <c r="AK285" s="27"/>
      <c r="AL285" s="25" t="s">
        <v>4503</v>
      </c>
      <c r="AM285" s="25"/>
      <c r="AN285" s="27" t="s">
        <v>4039</v>
      </c>
      <c r="AO285" s="25" t="s">
        <v>6019</v>
      </c>
      <c r="AP285" s="27"/>
      <c r="AQ285" s="25"/>
      <c r="AR285" s="25"/>
      <c r="AS285" s="26" t="s">
        <v>4011</v>
      </c>
      <c r="AT285" s="25" t="s">
        <v>4239</v>
      </c>
      <c r="AU285" s="52" t="s">
        <v>6020</v>
      </c>
      <c r="AV285" s="52" t="s">
        <v>6020</v>
      </c>
      <c r="AW285" s="31" t="s">
        <v>4000</v>
      </c>
      <c r="AX285" s="28">
        <v>43836</v>
      </c>
      <c r="AY285" s="28" t="s">
        <v>4000</v>
      </c>
      <c r="AZ285" s="28"/>
      <c r="BA285" s="25"/>
      <c r="BB285" s="28"/>
      <c r="BC285" s="25"/>
      <c r="BD285" s="25"/>
      <c r="BE285" s="25"/>
      <c r="BF285" s="25"/>
      <c r="BG285" s="25"/>
      <c r="BH285" s="25"/>
      <c r="BI285" s="27"/>
    </row>
    <row r="286" spans="1:61" ht="15.6" x14ac:dyDescent="0.25">
      <c r="A286" s="25">
        <v>284</v>
      </c>
      <c r="B286" s="25" t="s">
        <v>6021</v>
      </c>
      <c r="C286" s="25" t="s">
        <v>4002</v>
      </c>
      <c r="D286" s="26" t="s">
        <v>4150</v>
      </c>
      <c r="E286" s="26" t="s">
        <v>4150</v>
      </c>
      <c r="F286" s="25" t="s">
        <v>4150</v>
      </c>
      <c r="G286" s="25" t="s">
        <v>5966</v>
      </c>
      <c r="H286" s="25"/>
      <c r="I286" s="25"/>
      <c r="J286" s="25" t="s">
        <v>5999</v>
      </c>
      <c r="K286" s="25" t="s">
        <v>556</v>
      </c>
      <c r="L286" s="25" t="s">
        <v>5725</v>
      </c>
      <c r="M286" s="25" t="s">
        <v>4029</v>
      </c>
      <c r="N286" s="27" t="s">
        <v>6022</v>
      </c>
      <c r="O286" s="27" t="s">
        <v>6023</v>
      </c>
      <c r="P286" s="28">
        <v>43153</v>
      </c>
      <c r="Q286" s="28">
        <v>50458</v>
      </c>
      <c r="R286" s="25" t="str">
        <f t="shared" si="27"/>
        <v>男</v>
      </c>
      <c r="S286" s="25" t="s">
        <v>3984</v>
      </c>
      <c r="T286" s="28" t="str">
        <f t="shared" si="22"/>
        <v>1991-12-13</v>
      </c>
      <c r="U286" s="25">
        <f t="shared" ca="1" si="23"/>
        <v>34</v>
      </c>
      <c r="V286" s="25">
        <v>17387336171</v>
      </c>
      <c r="W286" s="28">
        <v>43836</v>
      </c>
      <c r="X286" s="28">
        <v>40508</v>
      </c>
      <c r="Y286" s="29" t="str">
        <f t="shared" ca="1" si="24"/>
        <v>15年4个月</v>
      </c>
      <c r="Z286" s="25"/>
      <c r="AA286" s="26" t="str">
        <f t="shared" ca="1" si="26"/>
        <v>15年4个月</v>
      </c>
      <c r="AB286" s="25" t="s">
        <v>253</v>
      </c>
      <c r="AC286" s="25" t="s">
        <v>3985</v>
      </c>
      <c r="AD286" s="25" t="s">
        <v>3986</v>
      </c>
      <c r="AE286" s="25"/>
      <c r="AF286" s="25"/>
      <c r="AG286" s="27"/>
      <c r="AH286" s="25"/>
      <c r="AI286" s="25"/>
      <c r="AJ286" s="25"/>
      <c r="AK286" s="27"/>
      <c r="AL286" s="25" t="s">
        <v>4503</v>
      </c>
      <c r="AM286" s="25"/>
      <c r="AN286" s="27" t="s">
        <v>4039</v>
      </c>
      <c r="AO286" s="25" t="s">
        <v>6024</v>
      </c>
      <c r="AP286" s="27"/>
      <c r="AQ286" s="25"/>
      <c r="AR286" s="27" t="s">
        <v>6025</v>
      </c>
      <c r="AS286" s="26" t="s">
        <v>3990</v>
      </c>
      <c r="AT286" s="25" t="s">
        <v>1458</v>
      </c>
      <c r="AU286" s="25" t="s">
        <v>3074</v>
      </c>
      <c r="AV286" s="25" t="s">
        <v>3074</v>
      </c>
      <c r="AW286" s="30">
        <v>46873</v>
      </c>
      <c r="AX286" s="28">
        <v>43836</v>
      </c>
      <c r="AY286" s="28">
        <v>45662</v>
      </c>
      <c r="AZ286" s="28">
        <v>46873</v>
      </c>
      <c r="BA286" s="28"/>
      <c r="BB286" s="28"/>
      <c r="BC286" s="25"/>
      <c r="BD286" s="25"/>
      <c r="BE286" s="25"/>
      <c r="BF286" s="25"/>
      <c r="BG286" s="25"/>
      <c r="BH286" s="25"/>
      <c r="BI286" s="27"/>
    </row>
    <row r="287" spans="1:61" ht="15.6" x14ac:dyDescent="0.25">
      <c r="A287" s="25">
        <v>285</v>
      </c>
      <c r="B287" s="25" t="s">
        <v>6026</v>
      </c>
      <c r="C287" s="25" t="s">
        <v>4002</v>
      </c>
      <c r="D287" s="26" t="s">
        <v>4150</v>
      </c>
      <c r="E287" s="26" t="s">
        <v>4150</v>
      </c>
      <c r="F287" s="25" t="s">
        <v>4150</v>
      </c>
      <c r="G287" s="25" t="s">
        <v>5966</v>
      </c>
      <c r="H287" s="25"/>
      <c r="I287" s="25"/>
      <c r="J287" s="25" t="s">
        <v>5999</v>
      </c>
      <c r="K287" s="25" t="s">
        <v>556</v>
      </c>
      <c r="L287" s="25" t="s">
        <v>5725</v>
      </c>
      <c r="M287" s="25" t="s">
        <v>4029</v>
      </c>
      <c r="N287" s="27" t="s">
        <v>6027</v>
      </c>
      <c r="O287" s="27" t="s">
        <v>4615</v>
      </c>
      <c r="P287" s="28">
        <v>44565</v>
      </c>
      <c r="Q287" s="28">
        <v>51870</v>
      </c>
      <c r="R287" s="25" t="str">
        <f t="shared" si="27"/>
        <v>男</v>
      </c>
      <c r="S287" s="25" t="s">
        <v>6028</v>
      </c>
      <c r="T287" s="28" t="str">
        <f t="shared" si="22"/>
        <v>1989-03-05</v>
      </c>
      <c r="U287" s="25">
        <f t="shared" ca="1" si="23"/>
        <v>37</v>
      </c>
      <c r="V287" s="25">
        <v>18183858960</v>
      </c>
      <c r="W287" s="28">
        <v>43836</v>
      </c>
      <c r="X287" s="28">
        <v>41091</v>
      </c>
      <c r="Y287" s="29" t="str">
        <f t="shared" ca="1" si="24"/>
        <v>13年9个月</v>
      </c>
      <c r="Z287" s="25"/>
      <c r="AA287" s="26" t="str">
        <f t="shared" ca="1" si="26"/>
        <v>13年9个月</v>
      </c>
      <c r="AB287" s="25" t="s">
        <v>4034</v>
      </c>
      <c r="AC287" s="25" t="s">
        <v>3985</v>
      </c>
      <c r="AD287" s="25" t="s">
        <v>4035</v>
      </c>
      <c r="AE287" s="25"/>
      <c r="AF287" s="25"/>
      <c r="AG287" s="27"/>
      <c r="AH287" s="25" t="s">
        <v>4036</v>
      </c>
      <c r="AI287" s="25" t="s">
        <v>1934</v>
      </c>
      <c r="AJ287" s="25" t="s">
        <v>4050</v>
      </c>
      <c r="AK287" s="27" t="s">
        <v>6029</v>
      </c>
      <c r="AL287" s="25" t="s">
        <v>305</v>
      </c>
      <c r="AM287" s="25"/>
      <c r="AN287" s="27" t="s">
        <v>4039</v>
      </c>
      <c r="AO287" s="25" t="s">
        <v>4406</v>
      </c>
      <c r="AP287" s="27" t="s">
        <v>6030</v>
      </c>
      <c r="AQ287" s="25"/>
      <c r="AR287" s="25" t="s">
        <v>5325</v>
      </c>
      <c r="AS287" s="26" t="s">
        <v>4011</v>
      </c>
      <c r="AT287" s="25" t="s">
        <v>4239</v>
      </c>
      <c r="AU287" s="25" t="s">
        <v>6031</v>
      </c>
      <c r="AV287" s="25" t="s">
        <v>2891</v>
      </c>
      <c r="AW287" s="30">
        <v>47603</v>
      </c>
      <c r="AX287" s="28">
        <v>43836</v>
      </c>
      <c r="AY287" s="28">
        <v>45662</v>
      </c>
      <c r="AZ287" s="28">
        <v>47603</v>
      </c>
      <c r="BA287" s="28"/>
      <c r="BB287" s="28"/>
      <c r="BC287" s="25"/>
      <c r="BD287" s="25"/>
      <c r="BE287" s="25"/>
      <c r="BF287" s="25"/>
      <c r="BG287" s="25"/>
      <c r="BH287" s="25"/>
      <c r="BI287" s="27"/>
    </row>
    <row r="288" spans="1:61" ht="15.6" x14ac:dyDescent="0.25">
      <c r="A288" s="25">
        <v>286</v>
      </c>
      <c r="B288" s="25" t="s">
        <v>6032</v>
      </c>
      <c r="C288" s="25" t="s">
        <v>4002</v>
      </c>
      <c r="D288" s="26" t="s">
        <v>4150</v>
      </c>
      <c r="E288" s="26" t="s">
        <v>4150</v>
      </c>
      <c r="F288" s="25" t="s">
        <v>4150</v>
      </c>
      <c r="G288" s="25" t="s">
        <v>5966</v>
      </c>
      <c r="H288" s="25"/>
      <c r="I288" s="25"/>
      <c r="J288" s="25" t="s">
        <v>5999</v>
      </c>
      <c r="K288" s="25" t="s">
        <v>556</v>
      </c>
      <c r="L288" s="25" t="s">
        <v>5725</v>
      </c>
      <c r="M288" s="25" t="s">
        <v>4029</v>
      </c>
      <c r="N288" s="27" t="s">
        <v>6033</v>
      </c>
      <c r="O288" s="27" t="s">
        <v>4031</v>
      </c>
      <c r="P288" s="28">
        <v>43011</v>
      </c>
      <c r="Q288" s="28">
        <v>46663</v>
      </c>
      <c r="R288" s="25" t="str">
        <f t="shared" si="27"/>
        <v>男</v>
      </c>
      <c r="S288" s="25" t="s">
        <v>3984</v>
      </c>
      <c r="T288" s="28" t="str">
        <f t="shared" si="22"/>
        <v>1994-07-10</v>
      </c>
      <c r="U288" s="25">
        <f t="shared" ca="1" si="23"/>
        <v>31</v>
      </c>
      <c r="V288" s="25">
        <v>18787138274</v>
      </c>
      <c r="W288" s="28">
        <v>43836</v>
      </c>
      <c r="X288" s="28">
        <v>41456</v>
      </c>
      <c r="Y288" s="29" t="str">
        <f t="shared" ca="1" si="24"/>
        <v>12年9个月</v>
      </c>
      <c r="Z288" s="25"/>
      <c r="AA288" s="26" t="str">
        <f t="shared" ca="1" si="26"/>
        <v>12年9个月</v>
      </c>
      <c r="AB288" s="25" t="s">
        <v>4034</v>
      </c>
      <c r="AC288" s="25" t="s">
        <v>119</v>
      </c>
      <c r="AD288" s="25" t="s">
        <v>4035</v>
      </c>
      <c r="AE288" s="25"/>
      <c r="AF288" s="25"/>
      <c r="AG288" s="27"/>
      <c r="AH288" s="25"/>
      <c r="AI288" s="25"/>
      <c r="AJ288" s="25"/>
      <c r="AK288" s="27"/>
      <c r="AL288" s="25" t="s">
        <v>4246</v>
      </c>
      <c r="AM288" s="25"/>
      <c r="AN288" s="27" t="s">
        <v>4039</v>
      </c>
      <c r="AO288" s="25" t="s">
        <v>5427</v>
      </c>
      <c r="AP288" s="27" t="s">
        <v>6034</v>
      </c>
      <c r="AQ288" s="25"/>
      <c r="AR288" s="25" t="s">
        <v>4569</v>
      </c>
      <c r="AS288" s="26" t="s">
        <v>3990</v>
      </c>
      <c r="AT288" s="25" t="s">
        <v>294</v>
      </c>
      <c r="AU288" s="25" t="s">
        <v>6035</v>
      </c>
      <c r="AV288" s="25" t="s">
        <v>6035</v>
      </c>
      <c r="AW288" s="30">
        <v>46873</v>
      </c>
      <c r="AX288" s="28">
        <v>43836</v>
      </c>
      <c r="AY288" s="28">
        <v>44931</v>
      </c>
      <c r="AZ288" s="28">
        <v>46873</v>
      </c>
      <c r="BA288" s="28"/>
      <c r="BB288" s="28"/>
      <c r="BC288" s="25"/>
      <c r="BD288" s="25"/>
      <c r="BE288" s="25"/>
      <c r="BF288" s="25"/>
      <c r="BG288" s="25"/>
      <c r="BH288" s="25"/>
      <c r="BI288" s="27"/>
    </row>
    <row r="289" spans="1:61" ht="15.6" x14ac:dyDescent="0.25">
      <c r="A289" s="25">
        <v>287</v>
      </c>
      <c r="B289" s="25" t="s">
        <v>6036</v>
      </c>
      <c r="C289" s="25" t="s">
        <v>4002</v>
      </c>
      <c r="D289" s="26" t="s">
        <v>4150</v>
      </c>
      <c r="E289" s="26" t="s">
        <v>4150</v>
      </c>
      <c r="F289" s="25" t="s">
        <v>4150</v>
      </c>
      <c r="G289" s="25" t="s">
        <v>5966</v>
      </c>
      <c r="H289" s="25"/>
      <c r="I289" s="25"/>
      <c r="J289" s="25" t="s">
        <v>5999</v>
      </c>
      <c r="K289" s="25" t="s">
        <v>556</v>
      </c>
      <c r="L289" s="25" t="s">
        <v>5725</v>
      </c>
      <c r="M289" s="25" t="s">
        <v>4029</v>
      </c>
      <c r="N289" s="27" t="s">
        <v>6037</v>
      </c>
      <c r="O289" s="27" t="s">
        <v>4129</v>
      </c>
      <c r="P289" s="28">
        <v>45311</v>
      </c>
      <c r="Q289" s="28">
        <v>52616</v>
      </c>
      <c r="R289" s="25" t="str">
        <f t="shared" si="27"/>
        <v>男</v>
      </c>
      <c r="S289" s="25" t="s">
        <v>3984</v>
      </c>
      <c r="T289" s="28" t="str">
        <f t="shared" si="22"/>
        <v>1991-11-13</v>
      </c>
      <c r="U289" s="25">
        <f t="shared" ca="1" si="23"/>
        <v>34</v>
      </c>
      <c r="V289" s="25">
        <v>18788552324</v>
      </c>
      <c r="W289" s="28">
        <v>43836</v>
      </c>
      <c r="X289" s="28">
        <v>41456</v>
      </c>
      <c r="Y289" s="29" t="str">
        <f t="shared" ca="1" si="24"/>
        <v>12年9个月</v>
      </c>
      <c r="Z289" s="25"/>
      <c r="AA289" s="26" t="str">
        <f t="shared" ca="1" si="26"/>
        <v>12年9个月</v>
      </c>
      <c r="AB289" s="25" t="s">
        <v>253</v>
      </c>
      <c r="AC289" s="25" t="s">
        <v>3985</v>
      </c>
      <c r="AD289" s="25" t="s">
        <v>4035</v>
      </c>
      <c r="AE289" s="25"/>
      <c r="AF289" s="25"/>
      <c r="AG289" s="27"/>
      <c r="AH289" s="25"/>
      <c r="AI289" s="25"/>
      <c r="AJ289" s="25"/>
      <c r="AK289" s="27"/>
      <c r="AL289" s="25" t="s">
        <v>305</v>
      </c>
      <c r="AM289" s="25"/>
      <c r="AN289" s="27" t="s">
        <v>4039</v>
      </c>
      <c r="AO289" s="25" t="s">
        <v>4524</v>
      </c>
      <c r="AP289" s="27" t="s">
        <v>6038</v>
      </c>
      <c r="AQ289" s="25"/>
      <c r="AR289" s="25" t="s">
        <v>4408</v>
      </c>
      <c r="AS289" s="26" t="s">
        <v>4011</v>
      </c>
      <c r="AT289" s="25" t="s">
        <v>4137</v>
      </c>
      <c r="AU289" s="25" t="s">
        <v>2701</v>
      </c>
      <c r="AV289" s="25" t="s">
        <v>6039</v>
      </c>
      <c r="AW289" s="30" t="s">
        <v>4000</v>
      </c>
      <c r="AX289" s="28">
        <v>43836</v>
      </c>
      <c r="AY289" s="28">
        <v>44931</v>
      </c>
      <c r="AZ289" s="28" t="s">
        <v>4000</v>
      </c>
      <c r="BA289" s="28"/>
      <c r="BB289" s="28"/>
      <c r="BC289" s="25"/>
      <c r="BD289" s="25"/>
      <c r="BE289" s="25"/>
      <c r="BF289" s="25"/>
      <c r="BG289" s="25"/>
      <c r="BH289" s="25"/>
      <c r="BI289" s="27"/>
    </row>
    <row r="290" spans="1:61" ht="15.6" x14ac:dyDescent="0.25">
      <c r="A290" s="25">
        <v>288</v>
      </c>
      <c r="B290" s="25" t="s">
        <v>6040</v>
      </c>
      <c r="C290" s="25" t="s">
        <v>4002</v>
      </c>
      <c r="D290" s="26" t="s">
        <v>4150</v>
      </c>
      <c r="E290" s="26" t="s">
        <v>4150</v>
      </c>
      <c r="F290" s="25" t="s">
        <v>4150</v>
      </c>
      <c r="G290" s="25" t="s">
        <v>5966</v>
      </c>
      <c r="H290" s="25"/>
      <c r="I290" s="25"/>
      <c r="J290" s="25" t="s">
        <v>5999</v>
      </c>
      <c r="K290" s="25" t="s">
        <v>556</v>
      </c>
      <c r="L290" s="25" t="s">
        <v>5725</v>
      </c>
      <c r="M290" s="25" t="s">
        <v>4029</v>
      </c>
      <c r="N290" s="27" t="s">
        <v>6041</v>
      </c>
      <c r="O290" s="27" t="s">
        <v>4019</v>
      </c>
      <c r="P290" s="28">
        <v>46100</v>
      </c>
      <c r="Q290" s="28" t="s">
        <v>4244</v>
      </c>
      <c r="R290" s="25" t="str">
        <f t="shared" si="27"/>
        <v>男</v>
      </c>
      <c r="S290" s="25" t="s">
        <v>4082</v>
      </c>
      <c r="T290" s="28" t="str">
        <f t="shared" si="22"/>
        <v>1968-05-14</v>
      </c>
      <c r="U290" s="25">
        <f t="shared" ca="1" si="23"/>
        <v>57</v>
      </c>
      <c r="V290" s="25">
        <v>13888996847</v>
      </c>
      <c r="W290" s="28">
        <v>43836</v>
      </c>
      <c r="X290" s="28">
        <v>41467</v>
      </c>
      <c r="Y290" s="29" t="str">
        <f t="shared" ca="1" si="24"/>
        <v>12年9个月</v>
      </c>
      <c r="Z290" s="25" t="s">
        <v>6042</v>
      </c>
      <c r="AA290" s="26" t="str">
        <f t="shared" ca="1" si="26"/>
        <v>28年1个月</v>
      </c>
      <c r="AB290" s="25" t="s">
        <v>29</v>
      </c>
      <c r="AC290" s="25" t="s">
        <v>3985</v>
      </c>
      <c r="AD290" s="25" t="s">
        <v>3986</v>
      </c>
      <c r="AE290" s="25"/>
      <c r="AF290" s="25"/>
      <c r="AG290" s="27"/>
      <c r="AH290" s="25"/>
      <c r="AI290" s="25"/>
      <c r="AJ290" s="25"/>
      <c r="AK290" s="27"/>
      <c r="AL290" s="25" t="s">
        <v>120</v>
      </c>
      <c r="AM290" s="25"/>
      <c r="AN290" s="27" t="s">
        <v>4039</v>
      </c>
      <c r="AO290" s="25" t="s">
        <v>6043</v>
      </c>
      <c r="AP290" s="27"/>
      <c r="AQ290" s="25"/>
      <c r="AR290" s="25" t="s">
        <v>6044</v>
      </c>
      <c r="AS290" s="26" t="s">
        <v>3990</v>
      </c>
      <c r="AT290" s="25" t="s">
        <v>1314</v>
      </c>
      <c r="AU290" s="25" t="s">
        <v>6045</v>
      </c>
      <c r="AV290" s="25" t="s">
        <v>6046</v>
      </c>
      <c r="AW290" s="30" t="s">
        <v>4000</v>
      </c>
      <c r="AX290" s="28">
        <v>43836</v>
      </c>
      <c r="AY290" s="28" t="s">
        <v>4000</v>
      </c>
      <c r="AZ290" s="28"/>
      <c r="BA290" s="28"/>
      <c r="BB290" s="28"/>
      <c r="BC290" s="25"/>
      <c r="BD290" s="25"/>
      <c r="BE290" s="25"/>
      <c r="BF290" s="25"/>
      <c r="BG290" s="25"/>
      <c r="BH290" s="25"/>
      <c r="BI290" s="27"/>
    </row>
    <row r="291" spans="1:61" ht="15.6" x14ac:dyDescent="0.25">
      <c r="A291" s="25">
        <v>289</v>
      </c>
      <c r="B291" s="25" t="s">
        <v>6047</v>
      </c>
      <c r="C291" s="25" t="s">
        <v>4002</v>
      </c>
      <c r="D291" s="26" t="s">
        <v>4150</v>
      </c>
      <c r="E291" s="26" t="s">
        <v>4150</v>
      </c>
      <c r="F291" s="25" t="s">
        <v>4150</v>
      </c>
      <c r="G291" s="25" t="s">
        <v>5966</v>
      </c>
      <c r="H291" s="25"/>
      <c r="I291" s="25"/>
      <c r="J291" s="25" t="s">
        <v>5999</v>
      </c>
      <c r="K291" s="25" t="s">
        <v>556</v>
      </c>
      <c r="L291" s="25" t="s">
        <v>5725</v>
      </c>
      <c r="M291" s="25" t="s">
        <v>4029</v>
      </c>
      <c r="N291" s="27" t="s">
        <v>6048</v>
      </c>
      <c r="O291" s="27" t="s">
        <v>4129</v>
      </c>
      <c r="P291" s="28">
        <v>44581</v>
      </c>
      <c r="Q291" s="28">
        <v>51886</v>
      </c>
      <c r="R291" s="25" t="str">
        <f t="shared" si="27"/>
        <v>男</v>
      </c>
      <c r="S291" s="25" t="s">
        <v>27</v>
      </c>
      <c r="T291" s="28" t="str">
        <f t="shared" si="22"/>
        <v>1994-03-12</v>
      </c>
      <c r="U291" s="25">
        <f t="shared" ca="1" si="23"/>
        <v>32</v>
      </c>
      <c r="V291" s="25">
        <v>18787156824</v>
      </c>
      <c r="W291" s="28">
        <v>43836</v>
      </c>
      <c r="X291" s="28">
        <v>41821</v>
      </c>
      <c r="Y291" s="29" t="str">
        <f t="shared" ca="1" si="24"/>
        <v>11年9个月</v>
      </c>
      <c r="Z291" s="25"/>
      <c r="AA291" s="26" t="str">
        <f t="shared" ca="1" si="26"/>
        <v>11年9个月</v>
      </c>
      <c r="AB291" s="25" t="s">
        <v>29</v>
      </c>
      <c r="AC291" s="25" t="s">
        <v>119</v>
      </c>
      <c r="AD291" s="25" t="s">
        <v>4234</v>
      </c>
      <c r="AE291" s="25"/>
      <c r="AF291" s="25"/>
      <c r="AG291" s="27"/>
      <c r="AH291" s="25"/>
      <c r="AI291" s="25"/>
      <c r="AJ291" s="25"/>
      <c r="AK291" s="27"/>
      <c r="AL291" s="25" t="s">
        <v>305</v>
      </c>
      <c r="AM291" s="25"/>
      <c r="AN291" s="27" t="s">
        <v>4039</v>
      </c>
      <c r="AO291" s="25" t="s">
        <v>559</v>
      </c>
      <c r="AP291" s="27" t="s">
        <v>6049</v>
      </c>
      <c r="AQ291" s="25"/>
      <c r="AR291" s="27" t="s">
        <v>2067</v>
      </c>
      <c r="AS291" s="26" t="s">
        <v>3990</v>
      </c>
      <c r="AT291" s="25" t="s">
        <v>4137</v>
      </c>
      <c r="AU291" s="25" t="s">
        <v>2425</v>
      </c>
      <c r="AV291" s="25" t="s">
        <v>2425</v>
      </c>
      <c r="AW291" s="30" t="s">
        <v>4000</v>
      </c>
      <c r="AX291" s="28">
        <v>43836</v>
      </c>
      <c r="AY291" s="28" t="s">
        <v>4000</v>
      </c>
      <c r="AZ291" s="28"/>
      <c r="BA291" s="28"/>
      <c r="BB291" s="28"/>
      <c r="BC291" s="25"/>
      <c r="BD291" s="25"/>
      <c r="BE291" s="25"/>
      <c r="BF291" s="25"/>
      <c r="BG291" s="25"/>
      <c r="BH291" s="25"/>
      <c r="BI291" s="27"/>
    </row>
    <row r="292" spans="1:61" ht="15.6" x14ac:dyDescent="0.25">
      <c r="A292" s="25">
        <v>290</v>
      </c>
      <c r="B292" s="25" t="s">
        <v>6050</v>
      </c>
      <c r="C292" s="25" t="s">
        <v>4002</v>
      </c>
      <c r="D292" s="26" t="s">
        <v>4150</v>
      </c>
      <c r="E292" s="26" t="s">
        <v>4150</v>
      </c>
      <c r="F292" s="25" t="s">
        <v>4150</v>
      </c>
      <c r="G292" s="25" t="s">
        <v>5966</v>
      </c>
      <c r="H292" s="25"/>
      <c r="I292" s="25"/>
      <c r="J292" s="25" t="s">
        <v>5999</v>
      </c>
      <c r="K292" s="25" t="s">
        <v>556</v>
      </c>
      <c r="L292" s="25" t="s">
        <v>5725</v>
      </c>
      <c r="M292" s="25" t="s">
        <v>4029</v>
      </c>
      <c r="N292" s="27" t="s">
        <v>2420</v>
      </c>
      <c r="O292" s="27" t="s">
        <v>5403</v>
      </c>
      <c r="P292" s="28">
        <v>45066</v>
      </c>
      <c r="Q292" s="28">
        <v>52371</v>
      </c>
      <c r="R292" s="25" t="str">
        <f t="shared" si="27"/>
        <v>男</v>
      </c>
      <c r="S292" s="25" t="s">
        <v>27</v>
      </c>
      <c r="T292" s="28" t="str">
        <f t="shared" si="22"/>
        <v>1994-08-06</v>
      </c>
      <c r="U292" s="25">
        <f t="shared" ca="1" si="23"/>
        <v>31</v>
      </c>
      <c r="V292" s="25">
        <v>13708874213</v>
      </c>
      <c r="W292" s="28">
        <v>43836</v>
      </c>
      <c r="X292" s="28">
        <v>41821</v>
      </c>
      <c r="Y292" s="29" t="str">
        <f t="shared" ca="1" si="24"/>
        <v>11年9个月</v>
      </c>
      <c r="Z292" s="25"/>
      <c r="AA292" s="26" t="str">
        <f t="shared" ca="1" si="26"/>
        <v>11年9个月</v>
      </c>
      <c r="AB292" s="25" t="s">
        <v>29</v>
      </c>
      <c r="AC292" s="25" t="s">
        <v>119</v>
      </c>
      <c r="AD292" s="25" t="s">
        <v>4234</v>
      </c>
      <c r="AE292" s="25"/>
      <c r="AF292" s="25"/>
      <c r="AG292" s="27"/>
      <c r="AH292" s="25"/>
      <c r="AI292" s="25"/>
      <c r="AJ292" s="25"/>
      <c r="AK292" s="27"/>
      <c r="AL292" s="25" t="s">
        <v>305</v>
      </c>
      <c r="AM292" s="25"/>
      <c r="AN292" s="27" t="s">
        <v>4039</v>
      </c>
      <c r="AO292" s="25" t="s">
        <v>559</v>
      </c>
      <c r="AP292" s="27" t="s">
        <v>6051</v>
      </c>
      <c r="AQ292" s="25"/>
      <c r="AR292" s="27" t="s">
        <v>2067</v>
      </c>
      <c r="AS292" s="26" t="s">
        <v>3990</v>
      </c>
      <c r="AT292" s="25" t="s">
        <v>4137</v>
      </c>
      <c r="AU292" s="25" t="s">
        <v>6052</v>
      </c>
      <c r="AV292" s="25" t="s">
        <v>2417</v>
      </c>
      <c r="AW292" s="30" t="s">
        <v>4000</v>
      </c>
      <c r="AX292" s="28">
        <v>43836</v>
      </c>
      <c r="AY292" s="28">
        <v>44931</v>
      </c>
      <c r="AZ292" s="28" t="s">
        <v>4000</v>
      </c>
      <c r="BA292" s="28"/>
      <c r="BB292" s="28"/>
      <c r="BC292" s="25"/>
      <c r="BD292" s="25"/>
      <c r="BE292" s="25"/>
      <c r="BF292" s="25"/>
      <c r="BG292" s="25"/>
      <c r="BH292" s="25"/>
      <c r="BI292" s="27"/>
    </row>
    <row r="293" spans="1:61" ht="15.6" x14ac:dyDescent="0.25">
      <c r="A293" s="25">
        <v>291</v>
      </c>
      <c r="B293" s="25" t="s">
        <v>6053</v>
      </c>
      <c r="C293" s="25" t="s">
        <v>4002</v>
      </c>
      <c r="D293" s="26" t="s">
        <v>4150</v>
      </c>
      <c r="E293" s="26" t="s">
        <v>4150</v>
      </c>
      <c r="F293" s="25" t="s">
        <v>4150</v>
      </c>
      <c r="G293" s="25" t="s">
        <v>5966</v>
      </c>
      <c r="H293" s="25"/>
      <c r="I293" s="25"/>
      <c r="J293" s="25" t="s">
        <v>5999</v>
      </c>
      <c r="K293" s="25" t="s">
        <v>556</v>
      </c>
      <c r="L293" s="25" t="s">
        <v>5725</v>
      </c>
      <c r="M293" s="25" t="s">
        <v>4029</v>
      </c>
      <c r="N293" s="27" t="s">
        <v>6054</v>
      </c>
      <c r="O293" s="27" t="s">
        <v>4961</v>
      </c>
      <c r="P293" s="28">
        <v>43950</v>
      </c>
      <c r="Q293" s="28">
        <v>51255</v>
      </c>
      <c r="R293" s="25" t="str">
        <f t="shared" si="27"/>
        <v>男</v>
      </c>
      <c r="S293" s="25" t="s">
        <v>3984</v>
      </c>
      <c r="T293" s="28" t="str">
        <f t="shared" si="22"/>
        <v>1993-11-13</v>
      </c>
      <c r="U293" s="25">
        <f t="shared" ca="1" si="23"/>
        <v>32</v>
      </c>
      <c r="V293" s="25">
        <v>18208804757</v>
      </c>
      <c r="W293" s="28">
        <v>43836</v>
      </c>
      <c r="X293" s="28">
        <v>42552</v>
      </c>
      <c r="Y293" s="29" t="str">
        <f t="shared" ca="1" si="24"/>
        <v>9年9个月</v>
      </c>
      <c r="Z293" s="25"/>
      <c r="AA293" s="26" t="str">
        <f t="shared" ca="1" si="26"/>
        <v>9年9个月</v>
      </c>
      <c r="AB293" s="25" t="s">
        <v>29</v>
      </c>
      <c r="AC293" s="25" t="s">
        <v>119</v>
      </c>
      <c r="AD293" s="25" t="s">
        <v>4035</v>
      </c>
      <c r="AE293" s="25"/>
      <c r="AF293" s="25"/>
      <c r="AG293" s="27"/>
      <c r="AH293" s="25"/>
      <c r="AI293" s="25"/>
      <c r="AJ293" s="25"/>
      <c r="AK293" s="27"/>
      <c r="AL293" s="25" t="s">
        <v>305</v>
      </c>
      <c r="AM293" s="25"/>
      <c r="AN293" s="27" t="s">
        <v>4039</v>
      </c>
      <c r="AO293" s="25" t="s">
        <v>4524</v>
      </c>
      <c r="AP293" s="27" t="s">
        <v>6055</v>
      </c>
      <c r="AQ293" s="25"/>
      <c r="AR293" s="25" t="s">
        <v>4408</v>
      </c>
      <c r="AS293" s="26" t="s">
        <v>4011</v>
      </c>
      <c r="AT293" s="25" t="s">
        <v>1458</v>
      </c>
      <c r="AU293" s="25" t="s">
        <v>2062</v>
      </c>
      <c r="AV293" s="25" t="s">
        <v>6056</v>
      </c>
      <c r="AW293" s="30">
        <v>47603</v>
      </c>
      <c r="AX293" s="28">
        <v>43836</v>
      </c>
      <c r="AY293" s="28">
        <v>45662</v>
      </c>
      <c r="AZ293" s="28">
        <v>47603</v>
      </c>
      <c r="BA293" s="28"/>
      <c r="BB293" s="25"/>
      <c r="BC293" s="25"/>
      <c r="BD293" s="25"/>
      <c r="BE293" s="25"/>
      <c r="BF293" s="25"/>
      <c r="BG293" s="25"/>
      <c r="BH293" s="25"/>
      <c r="BI293" s="25"/>
    </row>
    <row r="294" spans="1:61" ht="15.6" x14ac:dyDescent="0.25">
      <c r="A294" s="25">
        <v>292</v>
      </c>
      <c r="B294" s="25" t="s">
        <v>6057</v>
      </c>
      <c r="C294" s="25" t="s">
        <v>4002</v>
      </c>
      <c r="D294" s="26" t="s">
        <v>4150</v>
      </c>
      <c r="E294" s="26" t="s">
        <v>4150</v>
      </c>
      <c r="F294" s="25" t="s">
        <v>4150</v>
      </c>
      <c r="G294" s="25" t="s">
        <v>5966</v>
      </c>
      <c r="H294" s="25"/>
      <c r="I294" s="25"/>
      <c r="J294" s="25" t="s">
        <v>5999</v>
      </c>
      <c r="K294" s="25" t="s">
        <v>556</v>
      </c>
      <c r="L294" s="25" t="s">
        <v>5725</v>
      </c>
      <c r="M294" s="25" t="s">
        <v>4029</v>
      </c>
      <c r="N294" s="27" t="s">
        <v>6058</v>
      </c>
      <c r="O294" s="27" t="s">
        <v>5796</v>
      </c>
      <c r="P294" s="28">
        <v>44033</v>
      </c>
      <c r="Q294" s="28">
        <v>51338</v>
      </c>
      <c r="R294" s="25" t="str">
        <f t="shared" si="27"/>
        <v>男</v>
      </c>
      <c r="S294" s="25" t="s">
        <v>3984</v>
      </c>
      <c r="T294" s="28" t="str">
        <f t="shared" si="22"/>
        <v>1994-06-01</v>
      </c>
      <c r="U294" s="25">
        <f t="shared" ca="1" si="23"/>
        <v>31</v>
      </c>
      <c r="V294" s="25">
        <v>15288496672</v>
      </c>
      <c r="W294" s="28">
        <v>43836</v>
      </c>
      <c r="X294" s="28">
        <v>42552</v>
      </c>
      <c r="Y294" s="29" t="str">
        <f t="shared" ca="1" si="24"/>
        <v>9年9个月</v>
      </c>
      <c r="Z294" s="25"/>
      <c r="AA294" s="26" t="str">
        <f t="shared" ca="1" si="26"/>
        <v>9年9个月</v>
      </c>
      <c r="AB294" s="25" t="s">
        <v>29</v>
      </c>
      <c r="AC294" s="25" t="s">
        <v>119</v>
      </c>
      <c r="AD294" s="25" t="s">
        <v>4035</v>
      </c>
      <c r="AE294" s="25"/>
      <c r="AF294" s="25"/>
      <c r="AG294" s="27"/>
      <c r="AH294" s="25"/>
      <c r="AI294" s="25"/>
      <c r="AJ294" s="25"/>
      <c r="AK294" s="27"/>
      <c r="AL294" s="25" t="s">
        <v>305</v>
      </c>
      <c r="AM294" s="25"/>
      <c r="AN294" s="27" t="s">
        <v>4039</v>
      </c>
      <c r="AO294" s="27" t="s">
        <v>4524</v>
      </c>
      <c r="AP294" s="27" t="s">
        <v>6059</v>
      </c>
      <c r="AQ294" s="25"/>
      <c r="AR294" s="25" t="s">
        <v>6060</v>
      </c>
      <c r="AS294" s="26" t="s">
        <v>3990</v>
      </c>
      <c r="AT294" s="25" t="s">
        <v>4239</v>
      </c>
      <c r="AU294" s="25" t="s">
        <v>2052</v>
      </c>
      <c r="AV294" s="25" t="s">
        <v>2052</v>
      </c>
      <c r="AW294" s="30" t="s">
        <v>4000</v>
      </c>
      <c r="AX294" s="28">
        <v>43836</v>
      </c>
      <c r="AY294" s="28">
        <v>44931</v>
      </c>
      <c r="AZ294" s="28" t="s">
        <v>4000</v>
      </c>
      <c r="BA294" s="28"/>
      <c r="BB294" s="25"/>
      <c r="BC294" s="25"/>
      <c r="BD294" s="25"/>
      <c r="BE294" s="25"/>
      <c r="BF294" s="25"/>
      <c r="BG294" s="25"/>
      <c r="BH294" s="25"/>
      <c r="BI294" s="25"/>
    </row>
    <row r="295" spans="1:61" ht="15.6" x14ac:dyDescent="0.25">
      <c r="A295" s="25">
        <v>293</v>
      </c>
      <c r="B295" s="25" t="s">
        <v>6061</v>
      </c>
      <c r="C295" s="57" t="s">
        <v>4002</v>
      </c>
      <c r="D295" s="26" t="s">
        <v>4150</v>
      </c>
      <c r="E295" s="26" t="s">
        <v>4150</v>
      </c>
      <c r="F295" s="25" t="s">
        <v>4150</v>
      </c>
      <c r="G295" s="57" t="s">
        <v>5966</v>
      </c>
      <c r="H295" s="57"/>
      <c r="I295" s="57"/>
      <c r="J295" s="25" t="s">
        <v>5999</v>
      </c>
      <c r="K295" s="25" t="s">
        <v>556</v>
      </c>
      <c r="L295" s="25" t="s">
        <v>5725</v>
      </c>
      <c r="M295" s="25" t="s">
        <v>4029</v>
      </c>
      <c r="N295" s="58" t="s">
        <v>6062</v>
      </c>
      <c r="O295" s="58" t="s">
        <v>4129</v>
      </c>
      <c r="P295" s="59">
        <v>44795</v>
      </c>
      <c r="Q295" s="59">
        <v>52100</v>
      </c>
      <c r="R295" s="25" t="str">
        <f t="shared" si="27"/>
        <v>男</v>
      </c>
      <c r="S295" s="25" t="s">
        <v>3984</v>
      </c>
      <c r="T295" s="28" t="str">
        <f t="shared" si="22"/>
        <v>1995-01-03</v>
      </c>
      <c r="U295" s="25">
        <f t="shared" ca="1" si="23"/>
        <v>31</v>
      </c>
      <c r="V295" s="25">
        <v>18208700152</v>
      </c>
      <c r="W295" s="28">
        <v>43836</v>
      </c>
      <c r="X295" s="59">
        <v>43510</v>
      </c>
      <c r="Y295" s="29" t="str">
        <f t="shared" ca="1" si="24"/>
        <v>7年1个月</v>
      </c>
      <c r="Z295" s="57" t="s">
        <v>4760</v>
      </c>
      <c r="AA295" s="26" t="str">
        <f t="shared" ca="1" si="26"/>
        <v>9年10个月</v>
      </c>
      <c r="AB295" s="57" t="s">
        <v>4049</v>
      </c>
      <c r="AC295" s="25" t="s">
        <v>119</v>
      </c>
      <c r="AD295" s="57" t="s">
        <v>4035</v>
      </c>
      <c r="AE295" s="25"/>
      <c r="AF295" s="25"/>
      <c r="AG295" s="27"/>
      <c r="AH295" s="25"/>
      <c r="AI295" s="25"/>
      <c r="AJ295" s="25"/>
      <c r="AK295" s="27"/>
      <c r="AL295" s="25" t="s">
        <v>305</v>
      </c>
      <c r="AM295" s="25"/>
      <c r="AN295" s="27" t="s">
        <v>4039</v>
      </c>
      <c r="AO295" s="27" t="s">
        <v>4524</v>
      </c>
      <c r="AP295" s="27" t="s">
        <v>6063</v>
      </c>
      <c r="AQ295" s="25"/>
      <c r="AR295" s="58" t="s">
        <v>4526</v>
      </c>
      <c r="AS295" s="26" t="s">
        <v>3990</v>
      </c>
      <c r="AT295" s="57" t="s">
        <v>4137</v>
      </c>
      <c r="AU295" s="57" t="s">
        <v>6064</v>
      </c>
      <c r="AV295" s="57" t="s">
        <v>6064</v>
      </c>
      <c r="AW295" s="30">
        <v>46142</v>
      </c>
      <c r="AX295" s="59">
        <v>43836</v>
      </c>
      <c r="AY295" s="59">
        <v>44931</v>
      </c>
      <c r="AZ295" s="59">
        <v>46142</v>
      </c>
      <c r="BA295" s="59"/>
      <c r="BB295" s="59"/>
      <c r="BC295" s="57"/>
      <c r="BD295" s="57"/>
      <c r="BE295" s="57"/>
      <c r="BF295" s="57"/>
      <c r="BG295" s="57"/>
      <c r="BH295" s="57"/>
      <c r="BI295" s="73" t="s">
        <v>10018</v>
      </c>
    </row>
    <row r="296" spans="1:61" ht="15.6" x14ac:dyDescent="0.25">
      <c r="A296" s="25">
        <v>294</v>
      </c>
      <c r="B296" s="25" t="s">
        <v>6065</v>
      </c>
      <c r="C296" s="25" t="s">
        <v>4002</v>
      </c>
      <c r="D296" s="26" t="s">
        <v>4150</v>
      </c>
      <c r="E296" s="26" t="s">
        <v>4150</v>
      </c>
      <c r="F296" s="25" t="s">
        <v>4150</v>
      </c>
      <c r="G296" s="25" t="s">
        <v>5966</v>
      </c>
      <c r="H296" s="48"/>
      <c r="I296" s="48"/>
      <c r="J296" s="25" t="s">
        <v>5999</v>
      </c>
      <c r="K296" s="25" t="s">
        <v>556</v>
      </c>
      <c r="L296" s="25" t="s">
        <v>5725</v>
      </c>
      <c r="M296" s="25" t="s">
        <v>4029</v>
      </c>
      <c r="N296" s="27" t="s">
        <v>6066</v>
      </c>
      <c r="O296" s="27" t="s">
        <v>5403</v>
      </c>
      <c r="P296" s="28">
        <v>43133</v>
      </c>
      <c r="Q296" s="28">
        <v>46785</v>
      </c>
      <c r="R296" s="25" t="str">
        <f t="shared" si="27"/>
        <v>男</v>
      </c>
      <c r="S296" s="25" t="s">
        <v>3984</v>
      </c>
      <c r="T296" s="28" t="str">
        <f t="shared" si="22"/>
        <v>1997-12-23</v>
      </c>
      <c r="U296" s="25">
        <f t="shared" ca="1" si="23"/>
        <v>28</v>
      </c>
      <c r="V296" s="25">
        <v>18687468861</v>
      </c>
      <c r="W296" s="28">
        <v>43836</v>
      </c>
      <c r="X296" s="28">
        <v>43647</v>
      </c>
      <c r="Y296" s="29" t="str">
        <f t="shared" ca="1" si="24"/>
        <v>6年9个月</v>
      </c>
      <c r="Z296" s="48"/>
      <c r="AA296" s="26" t="str">
        <f t="shared" ca="1" si="26"/>
        <v>6年9个月</v>
      </c>
      <c r="AB296" s="25" t="s">
        <v>4034</v>
      </c>
      <c r="AC296" s="25" t="s">
        <v>119</v>
      </c>
      <c r="AD296" s="57" t="s">
        <v>4035</v>
      </c>
      <c r="AE296" s="25"/>
      <c r="AF296" s="25"/>
      <c r="AG296" s="27"/>
      <c r="AH296" s="25"/>
      <c r="AI296" s="25"/>
      <c r="AJ296" s="25"/>
      <c r="AK296" s="27"/>
      <c r="AL296" s="25" t="s">
        <v>305</v>
      </c>
      <c r="AM296" s="25"/>
      <c r="AN296" s="27" t="s">
        <v>4039</v>
      </c>
      <c r="AO296" s="27" t="s">
        <v>4524</v>
      </c>
      <c r="AP296" s="27" t="s">
        <v>6067</v>
      </c>
      <c r="AQ296" s="25"/>
      <c r="AR296" s="27" t="s">
        <v>6068</v>
      </c>
      <c r="AS296" s="26" t="s">
        <v>3990</v>
      </c>
      <c r="AT296" s="25" t="s">
        <v>4137</v>
      </c>
      <c r="AU296" s="25" t="s">
        <v>6069</v>
      </c>
      <c r="AV296" s="25" t="s">
        <v>6070</v>
      </c>
      <c r="AW296" s="39">
        <v>46873</v>
      </c>
      <c r="AX296" s="28">
        <v>43836</v>
      </c>
      <c r="AY296" s="28">
        <v>44931</v>
      </c>
      <c r="AZ296" s="59">
        <v>46873</v>
      </c>
      <c r="BA296" s="48"/>
      <c r="BB296" s="48"/>
      <c r="BC296" s="48"/>
      <c r="BD296" s="48"/>
      <c r="BE296" s="48"/>
      <c r="BF296" s="48"/>
      <c r="BG296" s="48"/>
      <c r="BH296" s="48"/>
      <c r="BI296" s="48"/>
    </row>
    <row r="297" spans="1:61" ht="15.6" x14ac:dyDescent="0.25">
      <c r="A297" s="25">
        <v>295</v>
      </c>
      <c r="B297" s="25" t="s">
        <v>6071</v>
      </c>
      <c r="C297" s="25" t="s">
        <v>4002</v>
      </c>
      <c r="D297" s="26" t="s">
        <v>4150</v>
      </c>
      <c r="E297" s="26" t="s">
        <v>4150</v>
      </c>
      <c r="F297" s="25" t="s">
        <v>4150</v>
      </c>
      <c r="G297" s="25" t="s">
        <v>5966</v>
      </c>
      <c r="H297" s="48"/>
      <c r="I297" s="48"/>
      <c r="J297" s="25" t="s">
        <v>5999</v>
      </c>
      <c r="K297" s="25" t="s">
        <v>556</v>
      </c>
      <c r="L297" s="25" t="s">
        <v>5725</v>
      </c>
      <c r="M297" s="25" t="s">
        <v>4029</v>
      </c>
      <c r="N297" s="27" t="s">
        <v>6072</v>
      </c>
      <c r="O297" s="27" t="s">
        <v>5155</v>
      </c>
      <c r="P297" s="28">
        <v>43196</v>
      </c>
      <c r="Q297" s="28">
        <v>46849</v>
      </c>
      <c r="R297" s="25" t="str">
        <f t="shared" si="27"/>
        <v>男</v>
      </c>
      <c r="S297" s="25" t="s">
        <v>3984</v>
      </c>
      <c r="T297" s="28" t="str">
        <f t="shared" si="22"/>
        <v>1998-10-21</v>
      </c>
      <c r="U297" s="25">
        <f t="shared" ca="1" si="23"/>
        <v>27</v>
      </c>
      <c r="V297" s="25">
        <v>18869702746</v>
      </c>
      <c r="W297" s="28">
        <v>44013</v>
      </c>
      <c r="X297" s="28">
        <v>44013</v>
      </c>
      <c r="Y297" s="29" t="str">
        <f t="shared" ca="1" si="24"/>
        <v>5年9个月</v>
      </c>
      <c r="Z297" s="25"/>
      <c r="AA297" s="26" t="str">
        <f t="shared" ca="1" si="26"/>
        <v>5年9个月</v>
      </c>
      <c r="AB297" s="25" t="s">
        <v>253</v>
      </c>
      <c r="AC297" s="25" t="s">
        <v>3985</v>
      </c>
      <c r="AD297" s="57" t="s">
        <v>5055</v>
      </c>
      <c r="AE297" s="25"/>
      <c r="AF297" s="25"/>
      <c r="AG297" s="27"/>
      <c r="AH297" s="25"/>
      <c r="AI297" s="25"/>
      <c r="AJ297" s="25"/>
      <c r="AK297" s="27"/>
      <c r="AL297" s="25" t="s">
        <v>305</v>
      </c>
      <c r="AM297" s="25"/>
      <c r="AN297" s="27" t="s">
        <v>4039</v>
      </c>
      <c r="AO297" s="27" t="s">
        <v>4524</v>
      </c>
      <c r="AP297" s="27" t="s">
        <v>6073</v>
      </c>
      <c r="AQ297" s="25"/>
      <c r="AR297" s="27" t="s">
        <v>4455</v>
      </c>
      <c r="AS297" s="26" t="s">
        <v>3990</v>
      </c>
      <c r="AT297" s="25" t="s">
        <v>4527</v>
      </c>
      <c r="AU297" s="25" t="s">
        <v>6074</v>
      </c>
      <c r="AV297" s="25" t="s">
        <v>6075</v>
      </c>
      <c r="AW297" s="39">
        <v>46142</v>
      </c>
      <c r="AX297" s="28">
        <v>44013</v>
      </c>
      <c r="AY297" s="28">
        <v>44377</v>
      </c>
      <c r="AZ297" s="59">
        <v>46142</v>
      </c>
      <c r="BA297" s="48"/>
      <c r="BB297" s="48"/>
      <c r="BC297" s="48"/>
      <c r="BD297" s="48"/>
      <c r="BE297" s="48"/>
      <c r="BF297" s="48"/>
      <c r="BG297" s="48"/>
      <c r="BH297" s="48"/>
      <c r="BI297" s="48"/>
    </row>
    <row r="298" spans="1:61" ht="15.6" x14ac:dyDescent="0.25">
      <c r="A298" s="25">
        <v>296</v>
      </c>
      <c r="B298" s="25" t="s">
        <v>6076</v>
      </c>
      <c r="C298" s="25" t="s">
        <v>4002</v>
      </c>
      <c r="D298" s="26" t="s">
        <v>4150</v>
      </c>
      <c r="E298" s="26" t="s">
        <v>4150</v>
      </c>
      <c r="F298" s="25" t="s">
        <v>4150</v>
      </c>
      <c r="G298" s="25" t="s">
        <v>5966</v>
      </c>
      <c r="H298" s="48"/>
      <c r="I298" s="48"/>
      <c r="J298" s="25" t="s">
        <v>5999</v>
      </c>
      <c r="K298" s="25" t="s">
        <v>556</v>
      </c>
      <c r="L298" s="25" t="s">
        <v>5725</v>
      </c>
      <c r="M298" s="25" t="s">
        <v>4029</v>
      </c>
      <c r="N298" s="27" t="s">
        <v>6077</v>
      </c>
      <c r="O298" s="27" t="s">
        <v>5403</v>
      </c>
      <c r="P298" s="28">
        <v>42755</v>
      </c>
      <c r="Q298" s="28">
        <v>46407</v>
      </c>
      <c r="R298" s="25" t="str">
        <f t="shared" si="27"/>
        <v>男</v>
      </c>
      <c r="S298" s="25" t="s">
        <v>3984</v>
      </c>
      <c r="T298" s="28" t="str">
        <f t="shared" si="22"/>
        <v>1999-05-20</v>
      </c>
      <c r="U298" s="25">
        <f t="shared" ca="1" si="23"/>
        <v>26</v>
      </c>
      <c r="V298" s="25">
        <v>18213500417</v>
      </c>
      <c r="W298" s="28">
        <v>44013</v>
      </c>
      <c r="X298" s="28">
        <v>44013</v>
      </c>
      <c r="Y298" s="29" t="str">
        <f t="shared" ca="1" si="24"/>
        <v>5年9个月</v>
      </c>
      <c r="Z298" s="25"/>
      <c r="AA298" s="26" t="str">
        <f t="shared" ca="1" si="26"/>
        <v>5年9个月</v>
      </c>
      <c r="AB298" s="25" t="s">
        <v>29</v>
      </c>
      <c r="AC298" s="25" t="s">
        <v>3985</v>
      </c>
      <c r="AD298" s="25" t="s">
        <v>5055</v>
      </c>
      <c r="AE298" s="25"/>
      <c r="AF298" s="25"/>
      <c r="AG298" s="27"/>
      <c r="AH298" s="25"/>
      <c r="AI298" s="25"/>
      <c r="AJ298" s="25"/>
      <c r="AK298" s="27"/>
      <c r="AL298" s="25" t="s">
        <v>305</v>
      </c>
      <c r="AM298" s="25"/>
      <c r="AN298" s="27" t="s">
        <v>4039</v>
      </c>
      <c r="AO298" s="27" t="s">
        <v>4524</v>
      </c>
      <c r="AP298" s="27" t="s">
        <v>6078</v>
      </c>
      <c r="AQ298" s="25"/>
      <c r="AR298" s="27" t="s">
        <v>4455</v>
      </c>
      <c r="AS298" s="26" t="s">
        <v>3990</v>
      </c>
      <c r="AT298" s="25" t="s">
        <v>4137</v>
      </c>
      <c r="AU298" s="25" t="s">
        <v>6079</v>
      </c>
      <c r="AV298" s="25" t="s">
        <v>6080</v>
      </c>
      <c r="AW298" s="39">
        <v>47238</v>
      </c>
      <c r="AX298" s="28">
        <v>44013</v>
      </c>
      <c r="AY298" s="28">
        <v>44377</v>
      </c>
      <c r="AZ298" s="36">
        <v>45412</v>
      </c>
      <c r="BA298" s="36">
        <v>47238</v>
      </c>
      <c r="BB298" s="48"/>
      <c r="BC298" s="48"/>
      <c r="BD298" s="48"/>
      <c r="BE298" s="48"/>
      <c r="BF298" s="48"/>
      <c r="BG298" s="48"/>
      <c r="BH298" s="48"/>
      <c r="BI298" s="48"/>
    </row>
    <row r="299" spans="1:61" ht="15.6" x14ac:dyDescent="0.25">
      <c r="A299" s="25">
        <v>297</v>
      </c>
      <c r="B299" s="25" t="s">
        <v>6081</v>
      </c>
      <c r="C299" s="25" t="s">
        <v>4002</v>
      </c>
      <c r="D299" s="26" t="s">
        <v>4150</v>
      </c>
      <c r="E299" s="26" t="s">
        <v>4150</v>
      </c>
      <c r="F299" s="25" t="s">
        <v>4150</v>
      </c>
      <c r="G299" s="25" t="s">
        <v>5966</v>
      </c>
      <c r="H299" s="48"/>
      <c r="I299" s="48"/>
      <c r="J299" s="25" t="s">
        <v>5999</v>
      </c>
      <c r="K299" s="25" t="s">
        <v>556</v>
      </c>
      <c r="L299" s="25" t="s">
        <v>5725</v>
      </c>
      <c r="M299" s="25" t="s">
        <v>4029</v>
      </c>
      <c r="N299" s="27" t="s">
        <v>6082</v>
      </c>
      <c r="O299" s="27" t="s">
        <v>4031</v>
      </c>
      <c r="P299" s="28">
        <v>44217</v>
      </c>
      <c r="Q299" s="28">
        <v>47869</v>
      </c>
      <c r="R299" s="25" t="str">
        <f t="shared" si="27"/>
        <v>男</v>
      </c>
      <c r="S299" s="25" t="s">
        <v>4032</v>
      </c>
      <c r="T299" s="28" t="str">
        <f t="shared" si="22"/>
        <v>2002-04-03</v>
      </c>
      <c r="U299" s="25">
        <f t="shared" ca="1" si="23"/>
        <v>24</v>
      </c>
      <c r="V299" s="25">
        <v>19987738074</v>
      </c>
      <c r="W299" s="28">
        <v>45102</v>
      </c>
      <c r="X299" s="28">
        <v>45102</v>
      </c>
      <c r="Y299" s="29" t="str">
        <f t="shared" ca="1" si="24"/>
        <v>2年9个月</v>
      </c>
      <c r="Z299" s="25"/>
      <c r="AA299" s="26" t="str">
        <f t="shared" ca="1" si="26"/>
        <v>2年9个月</v>
      </c>
      <c r="AB299" s="25" t="s">
        <v>29</v>
      </c>
      <c r="AC299" s="25" t="s">
        <v>3985</v>
      </c>
      <c r="AD299" s="25" t="s">
        <v>5055</v>
      </c>
      <c r="AE299" s="25"/>
      <c r="AF299" s="25"/>
      <c r="AG299" s="27"/>
      <c r="AH299" s="25"/>
      <c r="AI299" s="25"/>
      <c r="AJ299" s="25"/>
      <c r="AK299" s="27"/>
      <c r="AL299" s="25" t="s">
        <v>305</v>
      </c>
      <c r="AM299" s="25"/>
      <c r="AN299" s="27" t="s">
        <v>4039</v>
      </c>
      <c r="AO299" s="27" t="s">
        <v>5418</v>
      </c>
      <c r="AP299" s="27" t="s">
        <v>6083</v>
      </c>
      <c r="AQ299" s="25"/>
      <c r="AR299" s="27" t="s">
        <v>6084</v>
      </c>
      <c r="AS299" s="26" t="s">
        <v>4088</v>
      </c>
      <c r="AT299" s="25" t="s">
        <v>4043</v>
      </c>
      <c r="AU299" s="25" t="s">
        <v>6085</v>
      </c>
      <c r="AV299" s="25" t="s">
        <v>6085</v>
      </c>
      <c r="AW299" s="39">
        <v>46507</v>
      </c>
      <c r="AX299" s="28">
        <v>45102</v>
      </c>
      <c r="AY299" s="36">
        <v>45467</v>
      </c>
      <c r="AZ299" s="36">
        <v>46507</v>
      </c>
      <c r="BA299" s="48"/>
      <c r="BB299" s="48"/>
      <c r="BC299" s="48"/>
      <c r="BD299" s="48"/>
      <c r="BE299" s="48"/>
      <c r="BF299" s="48"/>
      <c r="BG299" s="48"/>
      <c r="BH299" s="48"/>
      <c r="BI299" s="48"/>
    </row>
    <row r="300" spans="1:61" ht="15.6" x14ac:dyDescent="0.25">
      <c r="A300" s="25">
        <v>298</v>
      </c>
      <c r="B300" s="25" t="s">
        <v>6086</v>
      </c>
      <c r="C300" s="25" t="s">
        <v>4002</v>
      </c>
      <c r="D300" s="26" t="s">
        <v>4150</v>
      </c>
      <c r="E300" s="26" t="s">
        <v>4150</v>
      </c>
      <c r="F300" s="25" t="s">
        <v>4150</v>
      </c>
      <c r="G300" s="25" t="s">
        <v>5966</v>
      </c>
      <c r="H300" s="48"/>
      <c r="I300" s="48"/>
      <c r="J300" s="25" t="s">
        <v>5999</v>
      </c>
      <c r="K300" s="25" t="s">
        <v>556</v>
      </c>
      <c r="L300" s="25" t="s">
        <v>5725</v>
      </c>
      <c r="M300" s="25" t="s">
        <v>4029</v>
      </c>
      <c r="N300" s="27" t="s">
        <v>6087</v>
      </c>
      <c r="O300" s="27" t="s">
        <v>4031</v>
      </c>
      <c r="P300" s="28">
        <v>45208</v>
      </c>
      <c r="Q300" s="28">
        <v>48861</v>
      </c>
      <c r="R300" s="25" t="str">
        <f t="shared" si="27"/>
        <v>男</v>
      </c>
      <c r="S300" s="25" t="s">
        <v>3984</v>
      </c>
      <c r="T300" s="28" t="str">
        <f t="shared" si="22"/>
        <v>2000-04-30</v>
      </c>
      <c r="U300" s="25">
        <f t="shared" ca="1" si="23"/>
        <v>25</v>
      </c>
      <c r="V300" s="25">
        <v>17608926397</v>
      </c>
      <c r="W300" s="28">
        <v>45190</v>
      </c>
      <c r="X300" s="28">
        <v>45190</v>
      </c>
      <c r="Y300" s="29" t="str">
        <f t="shared" ca="1" si="24"/>
        <v>2年6个月</v>
      </c>
      <c r="Z300" s="25" t="s">
        <v>6088</v>
      </c>
      <c r="AA300" s="26" t="str">
        <f t="shared" ca="1" si="26"/>
        <v>7年7个月</v>
      </c>
      <c r="AB300" s="25" t="s">
        <v>253</v>
      </c>
      <c r="AC300" s="25" t="s">
        <v>272</v>
      </c>
      <c r="AD300" s="25" t="s">
        <v>5055</v>
      </c>
      <c r="AE300" s="25"/>
      <c r="AF300" s="25"/>
      <c r="AG300" s="27"/>
      <c r="AH300" s="25"/>
      <c r="AI300" s="25"/>
      <c r="AJ300" s="25"/>
      <c r="AK300" s="27"/>
      <c r="AL300" s="25" t="s">
        <v>305</v>
      </c>
      <c r="AM300" s="25"/>
      <c r="AN300" s="27" t="s">
        <v>4039</v>
      </c>
      <c r="AO300" s="27" t="s">
        <v>5652</v>
      </c>
      <c r="AP300" s="27" t="s">
        <v>6089</v>
      </c>
      <c r="AQ300" s="25"/>
      <c r="AR300" s="27" t="s">
        <v>6090</v>
      </c>
      <c r="AS300" s="26" t="s">
        <v>3990</v>
      </c>
      <c r="AT300" s="25" t="s">
        <v>4043</v>
      </c>
      <c r="AU300" s="25" t="s">
        <v>6091</v>
      </c>
      <c r="AV300" s="25" t="s">
        <v>6092</v>
      </c>
      <c r="AW300" s="39">
        <v>46507</v>
      </c>
      <c r="AX300" s="28">
        <v>45190</v>
      </c>
      <c r="AY300" s="28">
        <v>45555</v>
      </c>
      <c r="AZ300" s="36">
        <v>46507</v>
      </c>
      <c r="BA300" s="48"/>
      <c r="BB300" s="48"/>
      <c r="BC300" s="48"/>
      <c r="BD300" s="48"/>
      <c r="BE300" s="48"/>
      <c r="BF300" s="48"/>
      <c r="BG300" s="48"/>
      <c r="BH300" s="48"/>
      <c r="BI300" s="48"/>
    </row>
    <row r="301" spans="1:61" ht="15.6" x14ac:dyDescent="0.25">
      <c r="A301" s="25">
        <v>299</v>
      </c>
      <c r="B301" s="25" t="s">
        <v>6093</v>
      </c>
      <c r="C301" s="25" t="s">
        <v>4002</v>
      </c>
      <c r="D301" s="26" t="s">
        <v>4150</v>
      </c>
      <c r="E301" s="26" t="s">
        <v>6094</v>
      </c>
      <c r="F301" s="25" t="s">
        <v>4150</v>
      </c>
      <c r="G301" s="25" t="s">
        <v>5966</v>
      </c>
      <c r="H301" s="48"/>
      <c r="I301" s="48"/>
      <c r="J301" s="25" t="s">
        <v>6095</v>
      </c>
      <c r="K301" s="25" t="s">
        <v>556</v>
      </c>
      <c r="L301" s="25" t="s">
        <v>5725</v>
      </c>
      <c r="M301" s="25" t="s">
        <v>4029</v>
      </c>
      <c r="N301" s="27" t="s">
        <v>6096</v>
      </c>
      <c r="O301" s="27" t="s">
        <v>5601</v>
      </c>
      <c r="P301" s="28">
        <v>43379</v>
      </c>
      <c r="Q301" s="28">
        <v>47032</v>
      </c>
      <c r="R301" s="25" t="str">
        <f>IF(MOD(RIGHT(LEFT(N301,17)),2),"男","女")</f>
        <v>男</v>
      </c>
      <c r="S301" s="25" t="s">
        <v>4082</v>
      </c>
      <c r="T301" s="28" t="str">
        <f>TEXT(MID(N301,7,6+(LEN(N301)=18)*2),"0-00-00")</f>
        <v>1998-04-10</v>
      </c>
      <c r="U301" s="25">
        <f ca="1">DATEDIF(T301,TODAY(),"Y")</f>
        <v>28</v>
      </c>
      <c r="V301" s="25">
        <v>18313173437</v>
      </c>
      <c r="W301" s="28">
        <v>45962</v>
      </c>
      <c r="X301" s="28">
        <v>45035</v>
      </c>
      <c r="Y301" s="29" t="str">
        <f t="shared" ca="1" si="24"/>
        <v>2年11个月</v>
      </c>
      <c r="Z301" s="25" t="s">
        <v>4655</v>
      </c>
      <c r="AA301" s="26" t="str">
        <f t="shared" ca="1" si="26"/>
        <v>3年7个月</v>
      </c>
      <c r="AB301" s="25" t="s">
        <v>253</v>
      </c>
      <c r="AC301" s="25" t="s">
        <v>4534</v>
      </c>
      <c r="AD301" s="25" t="s">
        <v>3986</v>
      </c>
      <c r="AE301" s="25" t="s">
        <v>4880</v>
      </c>
      <c r="AF301" s="25" t="s">
        <v>4050</v>
      </c>
      <c r="AG301" s="27" t="s">
        <v>6097</v>
      </c>
      <c r="AH301" s="25"/>
      <c r="AI301" s="25"/>
      <c r="AJ301" s="25"/>
      <c r="AK301" s="27"/>
      <c r="AL301" s="25" t="s">
        <v>81</v>
      </c>
      <c r="AM301" s="25" t="s">
        <v>3987</v>
      </c>
      <c r="AN301" s="27" t="s">
        <v>6098</v>
      </c>
      <c r="AO301" s="27" t="s">
        <v>4236</v>
      </c>
      <c r="AP301" s="27" t="s">
        <v>6099</v>
      </c>
      <c r="AQ301" s="25"/>
      <c r="AR301" s="27" t="s">
        <v>4382</v>
      </c>
      <c r="AS301" s="26" t="s">
        <v>4088</v>
      </c>
      <c r="AT301" s="25" t="s">
        <v>4419</v>
      </c>
      <c r="AU301" s="25" t="s">
        <v>6100</v>
      </c>
      <c r="AV301" s="25" t="s">
        <v>6100</v>
      </c>
      <c r="AW301" s="39">
        <v>46507</v>
      </c>
      <c r="AX301" s="28">
        <v>45962</v>
      </c>
      <c r="AY301" s="28">
        <v>46507</v>
      </c>
      <c r="AZ301" s="36"/>
      <c r="BA301" s="48"/>
      <c r="BB301" s="48"/>
      <c r="BC301" s="48"/>
      <c r="BD301" s="48"/>
      <c r="BE301" s="48"/>
      <c r="BF301" s="48"/>
      <c r="BG301" s="48"/>
      <c r="BH301" s="48"/>
      <c r="BI301" s="48"/>
    </row>
    <row r="302" spans="1:61" ht="15.6" x14ac:dyDescent="0.25">
      <c r="A302" s="25">
        <v>300</v>
      </c>
      <c r="B302" s="25" t="s">
        <v>6101</v>
      </c>
      <c r="C302" s="25" t="s">
        <v>4002</v>
      </c>
      <c r="D302" s="26" t="s">
        <v>4150</v>
      </c>
      <c r="E302" s="26" t="s">
        <v>6094</v>
      </c>
      <c r="F302" s="25" t="s">
        <v>4150</v>
      </c>
      <c r="G302" s="25" t="s">
        <v>5966</v>
      </c>
      <c r="H302" s="48"/>
      <c r="I302" s="48"/>
      <c r="J302" s="25" t="s">
        <v>6095</v>
      </c>
      <c r="K302" s="25" t="s">
        <v>556</v>
      </c>
      <c r="L302" s="25" t="s">
        <v>5725</v>
      </c>
      <c r="M302" s="25" t="s">
        <v>4029</v>
      </c>
      <c r="N302" s="27" t="s">
        <v>6102</v>
      </c>
      <c r="O302" s="27" t="s">
        <v>4552</v>
      </c>
      <c r="P302" s="28">
        <v>42932</v>
      </c>
      <c r="Q302" s="28">
        <v>46584</v>
      </c>
      <c r="R302" s="25" t="str">
        <f>IF(MOD(RIGHT(LEFT(N302,17)),2),"男","女")</f>
        <v>男</v>
      </c>
      <c r="S302" s="25" t="s">
        <v>3984</v>
      </c>
      <c r="T302" s="28" t="str">
        <f>TEXT(MID(N302,7,6+(LEN(N302)=18)*2),"0-00-00")</f>
        <v>1998-07-17</v>
      </c>
      <c r="U302" s="25">
        <f t="shared" ca="1" si="23"/>
        <v>27</v>
      </c>
      <c r="V302" s="25">
        <v>17687006907</v>
      </c>
      <c r="W302" s="28">
        <v>45962</v>
      </c>
      <c r="X302" s="28">
        <v>43647</v>
      </c>
      <c r="Y302" s="29" t="str">
        <f t="shared" ca="1" si="24"/>
        <v>6年9个月</v>
      </c>
      <c r="Z302" s="48"/>
      <c r="AA302" s="26" t="str">
        <f t="shared" ca="1" si="26"/>
        <v>6年9个月</v>
      </c>
      <c r="AB302" s="25" t="s">
        <v>4049</v>
      </c>
      <c r="AC302" s="25" t="s">
        <v>272</v>
      </c>
      <c r="AD302" s="57" t="s">
        <v>4035</v>
      </c>
      <c r="AE302" s="25"/>
      <c r="AF302" s="25"/>
      <c r="AG302" s="27"/>
      <c r="AH302" s="25" t="s">
        <v>4036</v>
      </c>
      <c r="AI302" s="25" t="s">
        <v>965</v>
      </c>
      <c r="AJ302" s="25" t="s">
        <v>4050</v>
      </c>
      <c r="AK302" s="27" t="s">
        <v>6103</v>
      </c>
      <c r="AL302" s="25" t="s">
        <v>305</v>
      </c>
      <c r="AM302" s="25"/>
      <c r="AN302" s="27" t="s">
        <v>4039</v>
      </c>
      <c r="AO302" s="27" t="s">
        <v>4524</v>
      </c>
      <c r="AP302" s="27" t="s">
        <v>6104</v>
      </c>
      <c r="AQ302" s="25"/>
      <c r="AR302" s="27" t="s">
        <v>5672</v>
      </c>
      <c r="AS302" s="26" t="s">
        <v>3990</v>
      </c>
      <c r="AT302" s="25" t="s">
        <v>4137</v>
      </c>
      <c r="AU302" s="25" t="s">
        <v>6105</v>
      </c>
      <c r="AV302" s="25" t="s">
        <v>6106</v>
      </c>
      <c r="AW302" s="30">
        <v>46507</v>
      </c>
      <c r="AX302" s="28">
        <v>45962</v>
      </c>
      <c r="AY302" s="28">
        <v>46507</v>
      </c>
      <c r="AZ302" s="74"/>
      <c r="BA302" s="48"/>
      <c r="BB302" s="48"/>
      <c r="BC302" s="48"/>
      <c r="BD302" s="48"/>
      <c r="BE302" s="48"/>
      <c r="BF302" s="48"/>
      <c r="BG302" s="48"/>
      <c r="BH302" s="48"/>
      <c r="BI302" s="48"/>
    </row>
    <row r="303" spans="1:61" ht="15.6" x14ac:dyDescent="0.25">
      <c r="A303" s="25">
        <v>301</v>
      </c>
      <c r="B303" s="25" t="s">
        <v>6107</v>
      </c>
      <c r="C303" s="25" t="s">
        <v>4002</v>
      </c>
      <c r="D303" s="26" t="s">
        <v>4150</v>
      </c>
      <c r="E303" s="26" t="s">
        <v>6094</v>
      </c>
      <c r="F303" s="25" t="s">
        <v>4150</v>
      </c>
      <c r="G303" s="25" t="s">
        <v>5966</v>
      </c>
      <c r="H303" s="48"/>
      <c r="I303" s="48"/>
      <c r="J303" s="25" t="s">
        <v>551</v>
      </c>
      <c r="K303" s="25" t="s">
        <v>556</v>
      </c>
      <c r="L303" s="25" t="s">
        <v>5725</v>
      </c>
      <c r="M303" s="25" t="s">
        <v>4029</v>
      </c>
      <c r="N303" s="27" t="s">
        <v>6108</v>
      </c>
      <c r="O303" s="27" t="s">
        <v>4031</v>
      </c>
      <c r="P303" s="28">
        <v>44176</v>
      </c>
      <c r="Q303" s="28">
        <v>47828</v>
      </c>
      <c r="R303" s="25" t="str">
        <f t="shared" si="27"/>
        <v>男</v>
      </c>
      <c r="S303" s="25" t="s">
        <v>3984</v>
      </c>
      <c r="T303" s="28" t="str">
        <f t="shared" si="22"/>
        <v>2002-10-19</v>
      </c>
      <c r="U303" s="25">
        <f t="shared" ca="1" si="23"/>
        <v>23</v>
      </c>
      <c r="V303" s="25">
        <v>18083875869</v>
      </c>
      <c r="W303" s="28">
        <v>45962</v>
      </c>
      <c r="X303" s="28">
        <v>45499</v>
      </c>
      <c r="Y303" s="29" t="str">
        <f t="shared" ca="1" si="24"/>
        <v>1年8个月</v>
      </c>
      <c r="Z303" s="25"/>
      <c r="AA303" s="26" t="str">
        <f t="shared" ca="1" si="26"/>
        <v>1年8个月</v>
      </c>
      <c r="AB303" s="25" t="s">
        <v>4034</v>
      </c>
      <c r="AC303" s="25" t="s">
        <v>272</v>
      </c>
      <c r="AD303" s="25" t="s">
        <v>3986</v>
      </c>
      <c r="AE303" s="25"/>
      <c r="AF303" s="25"/>
      <c r="AG303" s="27"/>
      <c r="AH303" s="25"/>
      <c r="AI303" s="25"/>
      <c r="AJ303" s="25"/>
      <c r="AK303" s="27"/>
      <c r="AL303" s="25" t="s">
        <v>305</v>
      </c>
      <c r="AM303" s="25"/>
      <c r="AN303" s="27" t="s">
        <v>4039</v>
      </c>
      <c r="AO303" s="26" t="s">
        <v>4524</v>
      </c>
      <c r="AP303" s="35" t="s">
        <v>6109</v>
      </c>
      <c r="AQ303" s="25"/>
      <c r="AR303" s="27" t="s">
        <v>6110</v>
      </c>
      <c r="AS303" s="26" t="s">
        <v>4088</v>
      </c>
      <c r="AT303" s="25" t="s">
        <v>4043</v>
      </c>
      <c r="AU303" s="25" t="s">
        <v>6111</v>
      </c>
      <c r="AV303" s="25" t="s">
        <v>6111</v>
      </c>
      <c r="AW303" s="39">
        <v>46965</v>
      </c>
      <c r="AX303" s="28">
        <v>45962</v>
      </c>
      <c r="AY303" s="36">
        <v>46965</v>
      </c>
      <c r="AZ303" s="75"/>
      <c r="BA303" s="48"/>
      <c r="BB303" s="48"/>
      <c r="BC303" s="48"/>
      <c r="BD303" s="48"/>
      <c r="BE303" s="48"/>
      <c r="BF303" s="48"/>
      <c r="BG303" s="48"/>
      <c r="BH303" s="48"/>
      <c r="BI303" s="48"/>
    </row>
    <row r="304" spans="1:61" ht="15.6" x14ac:dyDescent="0.25">
      <c r="A304" s="25">
        <v>302</v>
      </c>
      <c r="B304" s="25" t="s">
        <v>6112</v>
      </c>
      <c r="C304" s="25" t="s">
        <v>4002</v>
      </c>
      <c r="D304" s="26" t="s">
        <v>4150</v>
      </c>
      <c r="E304" s="26" t="s">
        <v>6094</v>
      </c>
      <c r="F304" s="25" t="s">
        <v>4150</v>
      </c>
      <c r="G304" s="25" t="s">
        <v>5966</v>
      </c>
      <c r="H304" s="25"/>
      <c r="I304" s="25"/>
      <c r="J304" s="25" t="s">
        <v>551</v>
      </c>
      <c r="K304" s="25" t="s">
        <v>556</v>
      </c>
      <c r="L304" s="25" t="s">
        <v>5725</v>
      </c>
      <c r="M304" s="25" t="s">
        <v>4029</v>
      </c>
      <c r="N304" s="27" t="s">
        <v>6113</v>
      </c>
      <c r="O304" s="27" t="s">
        <v>5054</v>
      </c>
      <c r="P304" s="28">
        <v>44798</v>
      </c>
      <c r="Q304" s="28">
        <v>48451</v>
      </c>
      <c r="R304" s="25" t="s">
        <v>4312</v>
      </c>
      <c r="S304" s="25" t="s">
        <v>4032</v>
      </c>
      <c r="T304" s="25" t="str">
        <f>TEXT(MID(N304,7,6+(LEN(N304)=18)*2),"0-00-00")</f>
        <v>2003-07-03</v>
      </c>
      <c r="U304" s="25">
        <f t="shared" ca="1" si="23"/>
        <v>22</v>
      </c>
      <c r="V304" s="25">
        <v>13013426531</v>
      </c>
      <c r="W304" s="28">
        <v>45962</v>
      </c>
      <c r="X304" s="28">
        <v>45839</v>
      </c>
      <c r="Y304" s="29" t="str">
        <f t="shared" ca="1" si="24"/>
        <v>0年9个月</v>
      </c>
      <c r="Z304" s="25"/>
      <c r="AA304" s="26" t="str">
        <f t="shared" ca="1" si="26"/>
        <v>0年9个月</v>
      </c>
      <c r="AB304" s="25" t="s">
        <v>4049</v>
      </c>
      <c r="AC304" s="25" t="s">
        <v>119</v>
      </c>
      <c r="AD304" s="25" t="s">
        <v>4234</v>
      </c>
      <c r="AE304" s="25"/>
      <c r="AF304" s="25"/>
      <c r="AG304" s="27"/>
      <c r="AH304" s="25"/>
      <c r="AI304" s="25"/>
      <c r="AJ304" s="25"/>
      <c r="AK304" s="27"/>
      <c r="AL304" s="25" t="s">
        <v>305</v>
      </c>
      <c r="AM304" s="25"/>
      <c r="AN304" s="27" t="s">
        <v>4039</v>
      </c>
      <c r="AO304" s="25" t="s">
        <v>4524</v>
      </c>
      <c r="AP304" s="27" t="s">
        <v>6114</v>
      </c>
      <c r="AQ304" s="25"/>
      <c r="AR304" s="25" t="s">
        <v>6115</v>
      </c>
      <c r="AS304" s="25" t="s">
        <v>4088</v>
      </c>
      <c r="AT304" s="25" t="s">
        <v>4239</v>
      </c>
      <c r="AU304" s="25" t="s">
        <v>6116</v>
      </c>
      <c r="AV304" s="25" t="s">
        <v>6116</v>
      </c>
      <c r="AW304" s="30">
        <v>46203</v>
      </c>
      <c r="AX304" s="28">
        <v>45962</v>
      </c>
      <c r="AY304" s="28">
        <v>46203</v>
      </c>
      <c r="AZ304" s="25"/>
      <c r="BA304" s="25"/>
      <c r="BB304" s="25"/>
      <c r="BC304" s="25"/>
      <c r="BD304" s="25"/>
      <c r="BE304" s="25"/>
      <c r="BF304" s="25"/>
      <c r="BG304" s="25"/>
      <c r="BH304" s="25"/>
      <c r="BI304" s="25"/>
    </row>
    <row r="305" spans="1:61" ht="15.6" x14ac:dyDescent="0.25">
      <c r="A305" s="25">
        <v>303</v>
      </c>
      <c r="B305" s="25" t="s">
        <v>6117</v>
      </c>
      <c r="C305" s="25" t="s">
        <v>4002</v>
      </c>
      <c r="D305" s="26" t="s">
        <v>4150</v>
      </c>
      <c r="E305" s="26" t="s">
        <v>6094</v>
      </c>
      <c r="F305" s="25" t="s">
        <v>4150</v>
      </c>
      <c r="G305" s="25" t="s">
        <v>5966</v>
      </c>
      <c r="H305" s="25"/>
      <c r="I305" s="25"/>
      <c r="J305" s="25" t="s">
        <v>551</v>
      </c>
      <c r="K305" s="25" t="s">
        <v>556</v>
      </c>
      <c r="L305" s="25" t="s">
        <v>5725</v>
      </c>
      <c r="M305" s="25" t="s">
        <v>4029</v>
      </c>
      <c r="N305" s="27" t="s">
        <v>6118</v>
      </c>
      <c r="O305" s="27" t="s">
        <v>4717</v>
      </c>
      <c r="P305" s="28">
        <v>45578</v>
      </c>
      <c r="Q305" s="28">
        <v>49230</v>
      </c>
      <c r="R305" s="25" t="s">
        <v>4312</v>
      </c>
      <c r="S305" s="25" t="s">
        <v>3984</v>
      </c>
      <c r="T305" s="28" t="str">
        <f>TEXT(MID(N305,7,6+(LEN(N305)=18)*2),"0-00-00")</f>
        <v>2004-02-02</v>
      </c>
      <c r="U305" s="25">
        <f t="shared" ca="1" si="23"/>
        <v>22</v>
      </c>
      <c r="V305" s="25">
        <v>15087524701</v>
      </c>
      <c r="W305" s="28">
        <v>45962</v>
      </c>
      <c r="X305" s="28">
        <v>45839</v>
      </c>
      <c r="Y305" s="29" t="str">
        <f t="shared" ca="1" si="24"/>
        <v>0年9个月</v>
      </c>
      <c r="Z305" s="25"/>
      <c r="AA305" s="26" t="str">
        <f t="shared" ca="1" si="26"/>
        <v>0年9个月</v>
      </c>
      <c r="AB305" s="25" t="s">
        <v>4049</v>
      </c>
      <c r="AC305" s="25" t="s">
        <v>119</v>
      </c>
      <c r="AD305" s="25" t="s">
        <v>4234</v>
      </c>
      <c r="AE305" s="25"/>
      <c r="AF305" s="25"/>
      <c r="AG305" s="27"/>
      <c r="AH305" s="25"/>
      <c r="AI305" s="25"/>
      <c r="AJ305" s="25"/>
      <c r="AK305" s="27"/>
      <c r="AL305" s="25" t="s">
        <v>305</v>
      </c>
      <c r="AM305" s="25"/>
      <c r="AN305" s="27" t="s">
        <v>4039</v>
      </c>
      <c r="AO305" s="25" t="s">
        <v>5772</v>
      </c>
      <c r="AP305" s="27" t="s">
        <v>6119</v>
      </c>
      <c r="AQ305" s="25"/>
      <c r="AR305" s="27" t="s">
        <v>6120</v>
      </c>
      <c r="AS305" s="27" t="s">
        <v>4088</v>
      </c>
      <c r="AT305" s="25" t="s">
        <v>4722</v>
      </c>
      <c r="AU305" s="25" t="s">
        <v>6121</v>
      </c>
      <c r="AV305" s="25" t="s">
        <v>6121</v>
      </c>
      <c r="AW305" s="30">
        <v>46203</v>
      </c>
      <c r="AX305" s="28">
        <v>45962</v>
      </c>
      <c r="AY305" s="28">
        <v>46203</v>
      </c>
      <c r="AZ305" s="28"/>
      <c r="BA305" s="28"/>
      <c r="BB305" s="28"/>
      <c r="BC305" s="25"/>
      <c r="BD305" s="25"/>
      <c r="BE305" s="25"/>
      <c r="BF305" s="25"/>
      <c r="BG305" s="25"/>
      <c r="BH305" s="25"/>
      <c r="BI305" s="27"/>
    </row>
    <row r="306" spans="1:61" ht="15.6" x14ac:dyDescent="0.25">
      <c r="A306" s="25">
        <v>304</v>
      </c>
      <c r="B306" s="25" t="s">
        <v>6122</v>
      </c>
      <c r="C306" s="25" t="s">
        <v>4002</v>
      </c>
      <c r="D306" s="26" t="s">
        <v>4150</v>
      </c>
      <c r="E306" s="26" t="s">
        <v>4150</v>
      </c>
      <c r="F306" s="25" t="s">
        <v>4150</v>
      </c>
      <c r="G306" s="25" t="s">
        <v>5966</v>
      </c>
      <c r="H306" s="48"/>
      <c r="I306" s="48"/>
      <c r="J306" s="25" t="s">
        <v>6123</v>
      </c>
      <c r="K306" s="25" t="s">
        <v>556</v>
      </c>
      <c r="L306" s="25" t="s">
        <v>5725</v>
      </c>
      <c r="M306" s="25" t="s">
        <v>4029</v>
      </c>
      <c r="N306" s="27" t="s">
        <v>6124</v>
      </c>
      <c r="O306" s="27" t="s">
        <v>4031</v>
      </c>
      <c r="P306" s="28">
        <v>43137</v>
      </c>
      <c r="Q306" s="28">
        <v>46789</v>
      </c>
      <c r="R306" s="25" t="str">
        <f t="shared" si="27"/>
        <v>男</v>
      </c>
      <c r="S306" s="25" t="s">
        <v>3984</v>
      </c>
      <c r="T306" s="28" t="str">
        <f t="shared" si="22"/>
        <v>1997-07-18</v>
      </c>
      <c r="U306" s="25">
        <f t="shared" ca="1" si="23"/>
        <v>28</v>
      </c>
      <c r="V306" s="25">
        <v>18388407640</v>
      </c>
      <c r="W306" s="28">
        <v>43836</v>
      </c>
      <c r="X306" s="28">
        <v>43647</v>
      </c>
      <c r="Y306" s="29" t="str">
        <f t="shared" ca="1" si="24"/>
        <v>6年9个月</v>
      </c>
      <c r="Z306" s="25"/>
      <c r="AA306" s="26" t="str">
        <f t="shared" ca="1" si="26"/>
        <v>6年9个月</v>
      </c>
      <c r="AB306" s="25" t="s">
        <v>4049</v>
      </c>
      <c r="AC306" s="25" t="s">
        <v>119</v>
      </c>
      <c r="AD306" s="25" t="s">
        <v>4234</v>
      </c>
      <c r="AE306" s="25"/>
      <c r="AF306" s="25"/>
      <c r="AG306" s="27"/>
      <c r="AH306" s="25"/>
      <c r="AI306" s="25"/>
      <c r="AJ306" s="25"/>
      <c r="AK306" s="27"/>
      <c r="AL306" s="25" t="s">
        <v>305</v>
      </c>
      <c r="AM306" s="25"/>
      <c r="AN306" s="27" t="s">
        <v>4039</v>
      </c>
      <c r="AO306" s="25" t="s">
        <v>5772</v>
      </c>
      <c r="AP306" s="27" t="s">
        <v>6125</v>
      </c>
      <c r="AQ306" s="25"/>
      <c r="AR306" s="27" t="s">
        <v>4569</v>
      </c>
      <c r="AS306" s="26" t="s">
        <v>3990</v>
      </c>
      <c r="AT306" s="25" t="s">
        <v>4043</v>
      </c>
      <c r="AU306" s="25" t="s">
        <v>6126</v>
      </c>
      <c r="AV306" s="25" t="s">
        <v>6127</v>
      </c>
      <c r="AW306" s="39">
        <v>46142</v>
      </c>
      <c r="AX306" s="28">
        <v>43836</v>
      </c>
      <c r="AY306" s="28">
        <v>44931</v>
      </c>
      <c r="AZ306" s="36">
        <v>46142</v>
      </c>
      <c r="BA306" s="36"/>
      <c r="BB306" s="36"/>
      <c r="BC306" s="36"/>
      <c r="BD306" s="48"/>
      <c r="BE306" s="48"/>
      <c r="BF306" s="48"/>
      <c r="BG306" s="48"/>
      <c r="BH306" s="48"/>
      <c r="BI306" s="48"/>
    </row>
    <row r="307" spans="1:61" ht="15.6" x14ac:dyDescent="0.25">
      <c r="A307" s="25">
        <v>305</v>
      </c>
      <c r="B307" s="25" t="s">
        <v>6128</v>
      </c>
      <c r="C307" s="25" t="s">
        <v>4002</v>
      </c>
      <c r="D307" s="26" t="s">
        <v>4150</v>
      </c>
      <c r="E307" s="26" t="s">
        <v>4150</v>
      </c>
      <c r="F307" s="25" t="s">
        <v>4150</v>
      </c>
      <c r="G307" s="25" t="s">
        <v>5966</v>
      </c>
      <c r="H307" s="25"/>
      <c r="I307" s="25"/>
      <c r="J307" s="25" t="s">
        <v>6123</v>
      </c>
      <c r="K307" s="25" t="s">
        <v>556</v>
      </c>
      <c r="L307" s="25" t="s">
        <v>5725</v>
      </c>
      <c r="M307" s="25" t="s">
        <v>4029</v>
      </c>
      <c r="N307" s="27" t="s">
        <v>6129</v>
      </c>
      <c r="O307" s="27" t="s">
        <v>4566</v>
      </c>
      <c r="P307" s="28">
        <v>42915</v>
      </c>
      <c r="Q307" s="28">
        <v>50220</v>
      </c>
      <c r="R307" s="25" t="str">
        <f t="shared" si="27"/>
        <v>男</v>
      </c>
      <c r="S307" s="25" t="s">
        <v>3984</v>
      </c>
      <c r="T307" s="28" t="str">
        <f t="shared" si="22"/>
        <v>1987-03-17</v>
      </c>
      <c r="U307" s="25">
        <f t="shared" ca="1" si="23"/>
        <v>39</v>
      </c>
      <c r="V307" s="25">
        <v>15208702687</v>
      </c>
      <c r="W307" s="28">
        <v>43836</v>
      </c>
      <c r="X307" s="45">
        <v>42431</v>
      </c>
      <c r="Y307" s="29" t="str">
        <f t="shared" ca="1" si="24"/>
        <v>10年1个月</v>
      </c>
      <c r="Z307" s="25"/>
      <c r="AA307" s="26" t="str">
        <f t="shared" ca="1" si="26"/>
        <v>10年1个月</v>
      </c>
      <c r="AB307" s="25" t="s">
        <v>4049</v>
      </c>
      <c r="AC307" s="25" t="s">
        <v>119</v>
      </c>
      <c r="AD307" s="25" t="s">
        <v>4234</v>
      </c>
      <c r="AE307" s="25"/>
      <c r="AF307" s="25"/>
      <c r="AG307" s="27"/>
      <c r="AH307" s="25"/>
      <c r="AI307" s="25"/>
      <c r="AJ307" s="25"/>
      <c r="AK307" s="27"/>
      <c r="AL307" s="25" t="s">
        <v>81</v>
      </c>
      <c r="AM307" s="25" t="s">
        <v>3987</v>
      </c>
      <c r="AN307" s="27" t="s">
        <v>6130</v>
      </c>
      <c r="AO307" s="25" t="s">
        <v>4062</v>
      </c>
      <c r="AP307" s="27" t="s">
        <v>6131</v>
      </c>
      <c r="AQ307" s="25"/>
      <c r="AR307" s="25" t="s">
        <v>6132</v>
      </c>
      <c r="AS307" s="26" t="s">
        <v>3990</v>
      </c>
      <c r="AT307" s="25" t="s">
        <v>4456</v>
      </c>
      <c r="AU307" s="25" t="s">
        <v>6133</v>
      </c>
      <c r="AV307" s="25" t="s">
        <v>6134</v>
      </c>
      <c r="AW307" s="30" t="s">
        <v>3991</v>
      </c>
      <c r="AX307" s="28">
        <v>43836</v>
      </c>
      <c r="AY307" s="28">
        <v>45662</v>
      </c>
      <c r="AZ307" s="36" t="s">
        <v>3991</v>
      </c>
      <c r="BA307" s="36"/>
      <c r="BB307" s="36"/>
      <c r="BC307" s="36"/>
      <c r="BD307" s="33"/>
      <c r="BE307" s="33"/>
      <c r="BF307" s="33"/>
      <c r="BG307" s="33"/>
      <c r="BH307" s="33"/>
      <c r="BI307" s="54" t="s">
        <v>6135</v>
      </c>
    </row>
    <row r="308" spans="1:61" ht="15.6" x14ac:dyDescent="0.25">
      <c r="A308" s="25">
        <v>306</v>
      </c>
      <c r="B308" s="25" t="s">
        <v>6136</v>
      </c>
      <c r="C308" s="25" t="s">
        <v>4002</v>
      </c>
      <c r="D308" s="26" t="s">
        <v>4150</v>
      </c>
      <c r="E308" s="26" t="s">
        <v>4150</v>
      </c>
      <c r="F308" s="25" t="s">
        <v>4150</v>
      </c>
      <c r="G308" s="25" t="s">
        <v>5966</v>
      </c>
      <c r="H308" s="25"/>
      <c r="I308" s="25"/>
      <c r="J308" s="25" t="s">
        <v>6123</v>
      </c>
      <c r="K308" s="25" t="s">
        <v>556</v>
      </c>
      <c r="L308" s="25" t="s">
        <v>5725</v>
      </c>
      <c r="M308" s="25" t="s">
        <v>4029</v>
      </c>
      <c r="N308" s="35" t="s">
        <v>6137</v>
      </c>
      <c r="O308" s="35" t="s">
        <v>6138</v>
      </c>
      <c r="P308" s="36">
        <v>43679</v>
      </c>
      <c r="Q308" s="36">
        <v>47332</v>
      </c>
      <c r="R308" s="25" t="str">
        <f t="shared" si="27"/>
        <v>男</v>
      </c>
      <c r="S308" s="26" t="s">
        <v>3984</v>
      </c>
      <c r="T308" s="28" t="str">
        <f t="shared" si="22"/>
        <v>1995-12-25</v>
      </c>
      <c r="U308" s="25">
        <f t="shared" ca="1" si="23"/>
        <v>30</v>
      </c>
      <c r="V308" s="25">
        <v>18725447139</v>
      </c>
      <c r="W308" s="28">
        <v>43836</v>
      </c>
      <c r="X308" s="36">
        <v>43282</v>
      </c>
      <c r="Y308" s="29" t="str">
        <f t="shared" ca="1" si="24"/>
        <v>7年9个月</v>
      </c>
      <c r="Z308" s="25"/>
      <c r="AA308" s="26" t="str">
        <f t="shared" ca="1" si="26"/>
        <v>7年9个月</v>
      </c>
      <c r="AB308" s="25" t="s">
        <v>4049</v>
      </c>
      <c r="AC308" s="25" t="s">
        <v>119</v>
      </c>
      <c r="AD308" s="25" t="s">
        <v>4234</v>
      </c>
      <c r="AE308" s="25"/>
      <c r="AF308" s="25"/>
      <c r="AG308" s="27"/>
      <c r="AH308" s="25"/>
      <c r="AI308" s="25"/>
      <c r="AJ308" s="25"/>
      <c r="AK308" s="27"/>
      <c r="AL308" s="25" t="s">
        <v>305</v>
      </c>
      <c r="AM308" s="25"/>
      <c r="AN308" s="27" t="s">
        <v>4039</v>
      </c>
      <c r="AO308" s="26" t="s">
        <v>4524</v>
      </c>
      <c r="AP308" s="27" t="s">
        <v>6139</v>
      </c>
      <c r="AQ308" s="25"/>
      <c r="AR308" s="35" t="s">
        <v>6068</v>
      </c>
      <c r="AS308" s="26" t="s">
        <v>3990</v>
      </c>
      <c r="AT308" s="25" t="s">
        <v>4137</v>
      </c>
      <c r="AU308" s="25" t="s">
        <v>6140</v>
      </c>
      <c r="AV308" s="26" t="s">
        <v>6140</v>
      </c>
      <c r="AW308" s="39">
        <v>47603</v>
      </c>
      <c r="AX308" s="28">
        <v>43836</v>
      </c>
      <c r="AY308" s="28">
        <v>44201</v>
      </c>
      <c r="AZ308" s="36">
        <v>44681</v>
      </c>
      <c r="BA308" s="36">
        <v>45777</v>
      </c>
      <c r="BB308" s="36">
        <v>47603</v>
      </c>
      <c r="BC308" s="36"/>
      <c r="BD308" s="26"/>
      <c r="BE308" s="26"/>
      <c r="BF308" s="26"/>
      <c r="BG308" s="26"/>
      <c r="BH308" s="26"/>
      <c r="BI308" s="35"/>
    </row>
    <row r="309" spans="1:61" ht="15.6" x14ac:dyDescent="0.25">
      <c r="A309" s="25">
        <v>307</v>
      </c>
      <c r="B309" s="26" t="s">
        <v>6141</v>
      </c>
      <c r="C309" s="25" t="s">
        <v>4002</v>
      </c>
      <c r="D309" s="26" t="s">
        <v>4150</v>
      </c>
      <c r="E309" s="26" t="s">
        <v>4150</v>
      </c>
      <c r="F309" s="25" t="s">
        <v>4150</v>
      </c>
      <c r="G309" s="25" t="s">
        <v>5966</v>
      </c>
      <c r="H309" s="26"/>
      <c r="I309" s="26"/>
      <c r="J309" s="25" t="s">
        <v>6123</v>
      </c>
      <c r="K309" s="25" t="s">
        <v>556</v>
      </c>
      <c r="L309" s="25" t="s">
        <v>5725</v>
      </c>
      <c r="M309" s="25" t="s">
        <v>4029</v>
      </c>
      <c r="N309" s="27" t="s">
        <v>6142</v>
      </c>
      <c r="O309" s="27" t="s">
        <v>6143</v>
      </c>
      <c r="P309" s="28">
        <v>44588</v>
      </c>
      <c r="Q309" s="28">
        <v>48240</v>
      </c>
      <c r="R309" s="25" t="str">
        <f t="shared" si="27"/>
        <v>男</v>
      </c>
      <c r="S309" s="26" t="s">
        <v>27</v>
      </c>
      <c r="T309" s="28" t="str">
        <f t="shared" si="22"/>
        <v>1996-05-18</v>
      </c>
      <c r="U309" s="25">
        <f t="shared" ca="1" si="23"/>
        <v>29</v>
      </c>
      <c r="V309" s="25">
        <v>18687826937</v>
      </c>
      <c r="W309" s="28">
        <v>43836</v>
      </c>
      <c r="X309" s="28">
        <v>43647</v>
      </c>
      <c r="Y309" s="29" t="str">
        <f t="shared" ca="1" si="24"/>
        <v>6年9个月</v>
      </c>
      <c r="Z309" s="25"/>
      <c r="AA309" s="26" t="str">
        <f t="shared" ca="1" si="26"/>
        <v>6年9个月</v>
      </c>
      <c r="AB309" s="25" t="s">
        <v>4049</v>
      </c>
      <c r="AC309" s="25" t="s">
        <v>119</v>
      </c>
      <c r="AD309" s="25" t="s">
        <v>4234</v>
      </c>
      <c r="AE309" s="25"/>
      <c r="AF309" s="25"/>
      <c r="AG309" s="27"/>
      <c r="AH309" s="25"/>
      <c r="AI309" s="25"/>
      <c r="AJ309" s="25"/>
      <c r="AK309" s="27"/>
      <c r="AL309" s="25" t="s">
        <v>305</v>
      </c>
      <c r="AM309" s="25"/>
      <c r="AN309" s="27" t="s">
        <v>4039</v>
      </c>
      <c r="AO309" s="25" t="s">
        <v>3988</v>
      </c>
      <c r="AP309" s="27" t="s">
        <v>6144</v>
      </c>
      <c r="AQ309" s="25"/>
      <c r="AR309" s="26" t="s">
        <v>5778</v>
      </c>
      <c r="AS309" s="26" t="s">
        <v>3990</v>
      </c>
      <c r="AT309" s="26" t="s">
        <v>6145</v>
      </c>
      <c r="AU309" s="26" t="s">
        <v>6146</v>
      </c>
      <c r="AV309" s="26" t="s">
        <v>6147</v>
      </c>
      <c r="AW309" s="39">
        <v>46142</v>
      </c>
      <c r="AX309" s="28">
        <v>43836</v>
      </c>
      <c r="AY309" s="28">
        <v>44931</v>
      </c>
      <c r="AZ309" s="36">
        <v>46142</v>
      </c>
      <c r="BA309" s="36"/>
      <c r="BB309" s="36"/>
      <c r="BC309" s="36"/>
      <c r="BD309" s="26"/>
      <c r="BE309" s="26"/>
      <c r="BF309" s="26"/>
      <c r="BG309" s="26"/>
      <c r="BH309" s="26"/>
      <c r="BI309" s="26"/>
    </row>
    <row r="310" spans="1:61" ht="15.6" x14ac:dyDescent="0.25">
      <c r="A310" s="25">
        <v>308</v>
      </c>
      <c r="B310" s="25" t="s">
        <v>6148</v>
      </c>
      <c r="C310" s="25" t="s">
        <v>4002</v>
      </c>
      <c r="D310" s="26" t="s">
        <v>4150</v>
      </c>
      <c r="E310" s="26" t="s">
        <v>4150</v>
      </c>
      <c r="F310" s="25" t="s">
        <v>4150</v>
      </c>
      <c r="G310" s="25" t="s">
        <v>5966</v>
      </c>
      <c r="H310" s="25"/>
      <c r="I310" s="25"/>
      <c r="J310" s="25" t="s">
        <v>6149</v>
      </c>
      <c r="K310" s="25" t="s">
        <v>556</v>
      </c>
      <c r="L310" s="25" t="s">
        <v>5725</v>
      </c>
      <c r="M310" s="25" t="s">
        <v>4029</v>
      </c>
      <c r="N310" s="27" t="s">
        <v>6150</v>
      </c>
      <c r="O310" s="27" t="s">
        <v>4961</v>
      </c>
      <c r="P310" s="28">
        <v>44568</v>
      </c>
      <c r="Q310" s="28">
        <v>51873</v>
      </c>
      <c r="R310" s="25" t="str">
        <f t="shared" si="27"/>
        <v>男</v>
      </c>
      <c r="S310" s="25" t="s">
        <v>3984</v>
      </c>
      <c r="T310" s="28" t="str">
        <f t="shared" si="22"/>
        <v>1995-05-30</v>
      </c>
      <c r="U310" s="25">
        <f t="shared" ca="1" si="23"/>
        <v>30</v>
      </c>
      <c r="V310" s="25">
        <v>15752012996</v>
      </c>
      <c r="W310" s="28">
        <v>43836</v>
      </c>
      <c r="X310" s="28">
        <v>42186</v>
      </c>
      <c r="Y310" s="29" t="str">
        <f t="shared" ca="1" si="24"/>
        <v>10年9个月</v>
      </c>
      <c r="Z310" s="25"/>
      <c r="AA310" s="26" t="str">
        <f t="shared" ca="1" si="26"/>
        <v>10年9个月</v>
      </c>
      <c r="AB310" s="25" t="s">
        <v>4049</v>
      </c>
      <c r="AC310" s="25" t="s">
        <v>119</v>
      </c>
      <c r="AD310" s="25" t="s">
        <v>4234</v>
      </c>
      <c r="AE310" s="25"/>
      <c r="AF310" s="25"/>
      <c r="AG310" s="27"/>
      <c r="AH310" s="25"/>
      <c r="AI310" s="25"/>
      <c r="AJ310" s="25"/>
      <c r="AK310" s="27"/>
      <c r="AL310" s="25" t="s">
        <v>305</v>
      </c>
      <c r="AM310" s="25"/>
      <c r="AN310" s="27" t="s">
        <v>4039</v>
      </c>
      <c r="AO310" s="25" t="s">
        <v>4927</v>
      </c>
      <c r="AP310" s="27" t="s">
        <v>6151</v>
      </c>
      <c r="AQ310" s="25">
        <v>211</v>
      </c>
      <c r="AR310" s="25" t="s">
        <v>4546</v>
      </c>
      <c r="AS310" s="26" t="s">
        <v>3990</v>
      </c>
      <c r="AT310" s="25" t="s">
        <v>6152</v>
      </c>
      <c r="AU310" s="25" t="s">
        <v>2262</v>
      </c>
      <c r="AV310" s="25" t="s">
        <v>2262</v>
      </c>
      <c r="AW310" s="39">
        <v>46873</v>
      </c>
      <c r="AX310" s="28">
        <v>43836</v>
      </c>
      <c r="AY310" s="28">
        <v>44931</v>
      </c>
      <c r="AZ310" s="36">
        <v>46873</v>
      </c>
      <c r="BA310" s="36"/>
      <c r="BB310" s="36"/>
      <c r="BC310" s="36"/>
      <c r="BD310" s="25"/>
      <c r="BE310" s="25"/>
      <c r="BF310" s="25"/>
      <c r="BG310" s="25"/>
      <c r="BH310" s="25"/>
      <c r="BI310" s="25"/>
    </row>
    <row r="311" spans="1:61" ht="15.6" x14ac:dyDescent="0.25">
      <c r="A311" s="25">
        <v>309</v>
      </c>
      <c r="B311" s="25" t="s">
        <v>6153</v>
      </c>
      <c r="C311" s="25" t="s">
        <v>4002</v>
      </c>
      <c r="D311" s="26" t="s">
        <v>4150</v>
      </c>
      <c r="E311" s="26" t="s">
        <v>4150</v>
      </c>
      <c r="F311" s="25" t="s">
        <v>4150</v>
      </c>
      <c r="G311" s="25" t="s">
        <v>5966</v>
      </c>
      <c r="H311" s="25"/>
      <c r="I311" s="25"/>
      <c r="J311" s="25" t="s">
        <v>6149</v>
      </c>
      <c r="K311" s="25" t="s">
        <v>556</v>
      </c>
      <c r="L311" s="25" t="s">
        <v>5725</v>
      </c>
      <c r="M311" s="25" t="s">
        <v>4029</v>
      </c>
      <c r="N311" s="27" t="s">
        <v>6154</v>
      </c>
      <c r="O311" s="27" t="s">
        <v>4851</v>
      </c>
      <c r="P311" s="28">
        <v>46094</v>
      </c>
      <c r="Q311" s="28">
        <v>53399</v>
      </c>
      <c r="R311" s="25" t="str">
        <f t="shared" si="27"/>
        <v>男</v>
      </c>
      <c r="S311" s="25" t="s">
        <v>3984</v>
      </c>
      <c r="T311" s="28" t="str">
        <f t="shared" si="22"/>
        <v>1994-11-29</v>
      </c>
      <c r="U311" s="25">
        <f t="shared" ca="1" si="23"/>
        <v>31</v>
      </c>
      <c r="V311" s="25">
        <v>18314447997</v>
      </c>
      <c r="W311" s="28">
        <v>43836</v>
      </c>
      <c r="X311" s="28">
        <v>41821</v>
      </c>
      <c r="Y311" s="29" t="str">
        <f t="shared" ca="1" si="24"/>
        <v>11年9个月</v>
      </c>
      <c r="Z311" s="25"/>
      <c r="AA311" s="26" t="str">
        <f t="shared" ca="1" si="26"/>
        <v>11年9个月</v>
      </c>
      <c r="AB311" s="25" t="s">
        <v>4049</v>
      </c>
      <c r="AC311" s="25" t="s">
        <v>119</v>
      </c>
      <c r="AD311" s="25" t="s">
        <v>4234</v>
      </c>
      <c r="AE311" s="25"/>
      <c r="AF311" s="25"/>
      <c r="AG311" s="27"/>
      <c r="AH311" s="25"/>
      <c r="AI311" s="25"/>
      <c r="AJ311" s="25"/>
      <c r="AK311" s="27"/>
      <c r="AL311" s="25" t="s">
        <v>305</v>
      </c>
      <c r="AM311" s="25"/>
      <c r="AN311" s="27" t="s">
        <v>4039</v>
      </c>
      <c r="AO311" s="25" t="s">
        <v>4927</v>
      </c>
      <c r="AP311" s="27" t="s">
        <v>6155</v>
      </c>
      <c r="AQ311" s="25">
        <v>211</v>
      </c>
      <c r="AR311" s="25" t="s">
        <v>4546</v>
      </c>
      <c r="AS311" s="26" t="s">
        <v>3990</v>
      </c>
      <c r="AT311" s="25" t="s">
        <v>4137</v>
      </c>
      <c r="AU311" s="25" t="s">
        <v>2409</v>
      </c>
      <c r="AV311" s="25" t="s">
        <v>2409</v>
      </c>
      <c r="AW311" s="39">
        <v>46873</v>
      </c>
      <c r="AX311" s="28">
        <v>43836</v>
      </c>
      <c r="AY311" s="28">
        <v>44931</v>
      </c>
      <c r="AZ311" s="28">
        <v>46873</v>
      </c>
      <c r="BA311" s="36"/>
      <c r="BB311" s="28"/>
      <c r="BC311" s="25"/>
      <c r="BD311" s="25"/>
      <c r="BE311" s="25"/>
      <c r="BF311" s="25"/>
      <c r="BG311" s="25"/>
      <c r="BH311" s="25"/>
      <c r="BI311" s="25"/>
    </row>
    <row r="312" spans="1:61" ht="15.6" x14ac:dyDescent="0.25">
      <c r="A312" s="25">
        <v>310</v>
      </c>
      <c r="B312" s="25" t="s">
        <v>6156</v>
      </c>
      <c r="C312" s="25" t="s">
        <v>4002</v>
      </c>
      <c r="D312" s="26" t="s">
        <v>4150</v>
      </c>
      <c r="E312" s="26" t="s">
        <v>4150</v>
      </c>
      <c r="F312" s="25" t="s">
        <v>4150</v>
      </c>
      <c r="G312" s="25" t="s">
        <v>5966</v>
      </c>
      <c r="H312" s="25"/>
      <c r="I312" s="25"/>
      <c r="J312" s="25" t="s">
        <v>6149</v>
      </c>
      <c r="K312" s="25" t="s">
        <v>556</v>
      </c>
      <c r="L312" s="25" t="s">
        <v>5725</v>
      </c>
      <c r="M312" s="25" t="s">
        <v>4029</v>
      </c>
      <c r="N312" s="27" t="s">
        <v>6157</v>
      </c>
      <c r="O312" s="27" t="s">
        <v>5054</v>
      </c>
      <c r="P312" s="28">
        <v>43870</v>
      </c>
      <c r="Q312" s="28">
        <v>51175</v>
      </c>
      <c r="R312" s="25" t="str">
        <f t="shared" si="27"/>
        <v>女</v>
      </c>
      <c r="S312" s="25" t="s">
        <v>3984</v>
      </c>
      <c r="T312" s="28" t="str">
        <f t="shared" si="22"/>
        <v>1993-12-29</v>
      </c>
      <c r="U312" s="25">
        <f t="shared" ca="1" si="23"/>
        <v>32</v>
      </c>
      <c r="V312" s="25">
        <v>18314438990</v>
      </c>
      <c r="W312" s="28">
        <v>43836</v>
      </c>
      <c r="X312" s="28">
        <v>42186</v>
      </c>
      <c r="Y312" s="29" t="str">
        <f t="shared" ca="1" si="24"/>
        <v>10年9个月</v>
      </c>
      <c r="Z312" s="25"/>
      <c r="AA312" s="26" t="str">
        <f t="shared" ca="1" si="26"/>
        <v>10年9个月</v>
      </c>
      <c r="AB312" s="25" t="s">
        <v>4049</v>
      </c>
      <c r="AC312" s="25" t="s">
        <v>119</v>
      </c>
      <c r="AD312" s="25" t="s">
        <v>4234</v>
      </c>
      <c r="AE312" s="25"/>
      <c r="AF312" s="25"/>
      <c r="AG312" s="27"/>
      <c r="AH312" s="25"/>
      <c r="AI312" s="25"/>
      <c r="AJ312" s="25"/>
      <c r="AK312" s="27"/>
      <c r="AL312" s="25" t="s">
        <v>305</v>
      </c>
      <c r="AM312" s="25"/>
      <c r="AN312" s="27" t="s">
        <v>4039</v>
      </c>
      <c r="AO312" s="25" t="s">
        <v>4406</v>
      </c>
      <c r="AP312" s="27" t="s">
        <v>6158</v>
      </c>
      <c r="AQ312" s="25"/>
      <c r="AR312" s="25" t="s">
        <v>5778</v>
      </c>
      <c r="AS312" s="26" t="s">
        <v>3990</v>
      </c>
      <c r="AT312" s="25" t="s">
        <v>4239</v>
      </c>
      <c r="AU312" s="25" t="s">
        <v>2254</v>
      </c>
      <c r="AV312" s="25" t="s">
        <v>2254</v>
      </c>
      <c r="AW312" s="30">
        <v>46873</v>
      </c>
      <c r="AX312" s="28">
        <v>43836</v>
      </c>
      <c r="AY312" s="28">
        <v>44931</v>
      </c>
      <c r="AZ312" s="28">
        <v>46873</v>
      </c>
      <c r="BA312" s="28"/>
      <c r="BB312" s="28"/>
      <c r="BC312" s="25"/>
      <c r="BD312" s="25"/>
      <c r="BE312" s="25"/>
      <c r="BF312" s="25"/>
      <c r="BG312" s="25"/>
      <c r="BH312" s="25"/>
      <c r="BI312" s="25"/>
    </row>
    <row r="313" spans="1:61" ht="15.6" x14ac:dyDescent="0.25">
      <c r="A313" s="25">
        <v>311</v>
      </c>
      <c r="B313" s="26" t="s">
        <v>6159</v>
      </c>
      <c r="C313" s="25" t="s">
        <v>4002</v>
      </c>
      <c r="D313" s="26" t="s">
        <v>4150</v>
      </c>
      <c r="E313" s="26" t="s">
        <v>4150</v>
      </c>
      <c r="F313" s="25" t="s">
        <v>4150</v>
      </c>
      <c r="G313" s="25" t="s">
        <v>5966</v>
      </c>
      <c r="H313" s="26"/>
      <c r="I313" s="26"/>
      <c r="J313" s="25" t="s">
        <v>6149</v>
      </c>
      <c r="K313" s="25" t="s">
        <v>556</v>
      </c>
      <c r="L313" s="25" t="s">
        <v>5725</v>
      </c>
      <c r="M313" s="25" t="s">
        <v>4029</v>
      </c>
      <c r="N313" s="27" t="s">
        <v>6160</v>
      </c>
      <c r="O313" s="27" t="s">
        <v>4031</v>
      </c>
      <c r="P313" s="28">
        <v>43883</v>
      </c>
      <c r="Q313" s="28">
        <v>47536</v>
      </c>
      <c r="R313" s="25" t="str">
        <f t="shared" si="27"/>
        <v>男</v>
      </c>
      <c r="S313" s="26" t="s">
        <v>6161</v>
      </c>
      <c r="T313" s="28" t="str">
        <f t="shared" si="22"/>
        <v>2000-07-05</v>
      </c>
      <c r="U313" s="25">
        <f t="shared" ca="1" si="23"/>
        <v>25</v>
      </c>
      <c r="V313" s="25">
        <v>18214608082</v>
      </c>
      <c r="W313" s="28">
        <v>43836</v>
      </c>
      <c r="X313" s="28">
        <v>43647</v>
      </c>
      <c r="Y313" s="29" t="str">
        <f t="shared" ca="1" si="24"/>
        <v>6年9个月</v>
      </c>
      <c r="Z313" s="25"/>
      <c r="AA313" s="26" t="str">
        <f t="shared" ca="1" si="26"/>
        <v>6年9个月</v>
      </c>
      <c r="AB313" s="25" t="s">
        <v>4049</v>
      </c>
      <c r="AC313" s="25" t="s">
        <v>119</v>
      </c>
      <c r="AD313" s="25" t="s">
        <v>4234</v>
      </c>
      <c r="AE313" s="25"/>
      <c r="AF313" s="25"/>
      <c r="AG313" s="27"/>
      <c r="AH313" s="25"/>
      <c r="AI313" s="25"/>
      <c r="AJ313" s="25"/>
      <c r="AK313" s="27"/>
      <c r="AL313" s="25" t="s">
        <v>305</v>
      </c>
      <c r="AM313" s="25"/>
      <c r="AN313" s="27" t="s">
        <v>4039</v>
      </c>
      <c r="AO313" s="25" t="s">
        <v>5427</v>
      </c>
      <c r="AP313" s="27" t="s">
        <v>6162</v>
      </c>
      <c r="AQ313" s="25"/>
      <c r="AR313" s="26" t="s">
        <v>5429</v>
      </c>
      <c r="AS313" s="26" t="s">
        <v>3990</v>
      </c>
      <c r="AT313" s="26" t="s">
        <v>6163</v>
      </c>
      <c r="AU313" s="26" t="s">
        <v>6164</v>
      </c>
      <c r="AV313" s="26" t="s">
        <v>6165</v>
      </c>
      <c r="AW313" s="39">
        <v>46142</v>
      </c>
      <c r="AX313" s="28">
        <v>43836</v>
      </c>
      <c r="AY313" s="28">
        <v>44931</v>
      </c>
      <c r="AZ313" s="36">
        <v>46142</v>
      </c>
      <c r="BA313" s="26"/>
      <c r="BB313" s="26"/>
      <c r="BC313" s="26"/>
      <c r="BD313" s="26"/>
      <c r="BE313" s="26"/>
      <c r="BF313" s="26"/>
      <c r="BG313" s="26"/>
      <c r="BH313" s="26"/>
      <c r="BI313" s="26"/>
    </row>
    <row r="314" spans="1:61" ht="15.6" x14ac:dyDescent="0.25">
      <c r="A314" s="25">
        <v>312</v>
      </c>
      <c r="B314" s="26" t="s">
        <v>6166</v>
      </c>
      <c r="C314" s="25" t="s">
        <v>4002</v>
      </c>
      <c r="D314" s="26" t="s">
        <v>4150</v>
      </c>
      <c r="E314" s="26" t="s">
        <v>4150</v>
      </c>
      <c r="F314" s="25" t="s">
        <v>4150</v>
      </c>
      <c r="G314" s="25" t="s">
        <v>5966</v>
      </c>
      <c r="H314" s="26"/>
      <c r="I314" s="26"/>
      <c r="J314" s="25" t="s">
        <v>6149</v>
      </c>
      <c r="K314" s="25" t="s">
        <v>556</v>
      </c>
      <c r="L314" s="25" t="s">
        <v>5725</v>
      </c>
      <c r="M314" s="25" t="s">
        <v>4029</v>
      </c>
      <c r="N314" s="27" t="s">
        <v>6167</v>
      </c>
      <c r="O314" s="27" t="s">
        <v>4031</v>
      </c>
      <c r="P314" s="28">
        <v>43011</v>
      </c>
      <c r="Q314" s="28">
        <v>46663</v>
      </c>
      <c r="R314" s="25" t="str">
        <f t="shared" si="27"/>
        <v>男</v>
      </c>
      <c r="S314" s="26" t="s">
        <v>3984</v>
      </c>
      <c r="T314" s="28" t="str">
        <f t="shared" si="22"/>
        <v>1998-05-10</v>
      </c>
      <c r="U314" s="25">
        <f t="shared" ca="1" si="23"/>
        <v>27</v>
      </c>
      <c r="V314" s="25">
        <v>18213427417</v>
      </c>
      <c r="W314" s="28">
        <v>44013</v>
      </c>
      <c r="X314" s="28">
        <v>44013</v>
      </c>
      <c r="Y314" s="29" t="str">
        <f t="shared" ca="1" si="24"/>
        <v>5年9个月</v>
      </c>
      <c r="Z314" s="25"/>
      <c r="AA314" s="26" t="str">
        <f t="shared" ca="1" si="26"/>
        <v>5年9个月</v>
      </c>
      <c r="AB314" s="25" t="s">
        <v>4049</v>
      </c>
      <c r="AC314" s="25" t="s">
        <v>119</v>
      </c>
      <c r="AD314" s="25" t="s">
        <v>4234</v>
      </c>
      <c r="AE314" s="25"/>
      <c r="AF314" s="25"/>
      <c r="AG314" s="27"/>
      <c r="AH314" s="25"/>
      <c r="AI314" s="25"/>
      <c r="AJ314" s="25"/>
      <c r="AK314" s="27"/>
      <c r="AL314" s="25" t="s">
        <v>305</v>
      </c>
      <c r="AM314" s="25"/>
      <c r="AN314" s="27" t="s">
        <v>4039</v>
      </c>
      <c r="AO314" s="25" t="s">
        <v>6168</v>
      </c>
      <c r="AP314" s="27" t="s">
        <v>6169</v>
      </c>
      <c r="AQ314" s="25"/>
      <c r="AR314" s="26" t="s">
        <v>6170</v>
      </c>
      <c r="AS314" s="26" t="s">
        <v>3990</v>
      </c>
      <c r="AT314" s="26" t="s">
        <v>6163</v>
      </c>
      <c r="AU314" s="26" t="s">
        <v>6171</v>
      </c>
      <c r="AV314" s="26" t="s">
        <v>6171</v>
      </c>
      <c r="AW314" s="39">
        <v>46873</v>
      </c>
      <c r="AX314" s="28">
        <v>44013</v>
      </c>
      <c r="AY314" s="28">
        <v>44377</v>
      </c>
      <c r="AZ314" s="36">
        <v>45046</v>
      </c>
      <c r="BA314" s="36">
        <v>46873</v>
      </c>
      <c r="BB314" s="26"/>
      <c r="BC314" s="26"/>
      <c r="BD314" s="26"/>
      <c r="BE314" s="26"/>
      <c r="BF314" s="26"/>
      <c r="BG314" s="26"/>
      <c r="BH314" s="26"/>
      <c r="BI314" s="26"/>
    </row>
    <row r="315" spans="1:61" ht="15.6" x14ac:dyDescent="0.25">
      <c r="A315" s="25">
        <v>313</v>
      </c>
      <c r="B315" s="26" t="s">
        <v>6172</v>
      </c>
      <c r="C315" s="25" t="s">
        <v>4002</v>
      </c>
      <c r="D315" s="26" t="s">
        <v>4150</v>
      </c>
      <c r="E315" s="26" t="s">
        <v>4150</v>
      </c>
      <c r="F315" s="25" t="s">
        <v>4150</v>
      </c>
      <c r="G315" s="25" t="s">
        <v>5966</v>
      </c>
      <c r="H315" s="26"/>
      <c r="I315" s="26"/>
      <c r="J315" s="25" t="s">
        <v>6123</v>
      </c>
      <c r="K315" s="25" t="s">
        <v>556</v>
      </c>
      <c r="L315" s="25" t="s">
        <v>5725</v>
      </c>
      <c r="M315" s="25" t="s">
        <v>4029</v>
      </c>
      <c r="N315" s="27" t="s">
        <v>6173</v>
      </c>
      <c r="O315" s="27" t="s">
        <v>6174</v>
      </c>
      <c r="P315" s="28">
        <v>42755</v>
      </c>
      <c r="Q315" s="28">
        <v>46407</v>
      </c>
      <c r="R315" s="25" t="str">
        <f t="shared" si="27"/>
        <v>男</v>
      </c>
      <c r="S315" s="26" t="s">
        <v>3984</v>
      </c>
      <c r="T315" s="28" t="str">
        <f t="shared" si="22"/>
        <v>1999-02-09</v>
      </c>
      <c r="U315" s="25">
        <f t="shared" ca="1" si="23"/>
        <v>27</v>
      </c>
      <c r="V315" s="25">
        <v>18314402873</v>
      </c>
      <c r="W315" s="28">
        <v>45035</v>
      </c>
      <c r="X315" s="28">
        <v>45035</v>
      </c>
      <c r="Y315" s="29" t="str">
        <f t="shared" ca="1" si="24"/>
        <v>2年11个月</v>
      </c>
      <c r="Z315" s="25" t="s">
        <v>4511</v>
      </c>
      <c r="AA315" s="26" t="str">
        <f t="shared" ca="1" si="26"/>
        <v>4年8个月</v>
      </c>
      <c r="AB315" s="25" t="s">
        <v>4034</v>
      </c>
      <c r="AC315" s="25" t="s">
        <v>119</v>
      </c>
      <c r="AD315" s="25" t="s">
        <v>4234</v>
      </c>
      <c r="AE315" s="25"/>
      <c r="AF315" s="25"/>
      <c r="AG315" s="27"/>
      <c r="AH315" s="25" t="s">
        <v>4036</v>
      </c>
      <c r="AI315" s="25" t="s">
        <v>1326</v>
      </c>
      <c r="AJ315" s="25" t="s">
        <v>4050</v>
      </c>
      <c r="AK315" s="27" t="s">
        <v>6175</v>
      </c>
      <c r="AL315" s="25" t="s">
        <v>305</v>
      </c>
      <c r="AM315" s="25" t="s">
        <v>3987</v>
      </c>
      <c r="AN315" s="27" t="s">
        <v>6176</v>
      </c>
      <c r="AO315" s="25" t="s">
        <v>3988</v>
      </c>
      <c r="AP315" s="27" t="s">
        <v>6177</v>
      </c>
      <c r="AQ315" s="25"/>
      <c r="AR315" s="26" t="s">
        <v>4621</v>
      </c>
      <c r="AS315" s="26" t="s">
        <v>4088</v>
      </c>
      <c r="AT315" s="26" t="s">
        <v>6178</v>
      </c>
      <c r="AU315" s="26" t="s">
        <v>6179</v>
      </c>
      <c r="AV315" s="26" t="s">
        <v>6179</v>
      </c>
      <c r="AW315" s="39">
        <v>46507</v>
      </c>
      <c r="AX315" s="28">
        <v>45035</v>
      </c>
      <c r="AY315" s="28">
        <v>45400</v>
      </c>
      <c r="AZ315" s="36">
        <v>46507</v>
      </c>
      <c r="BA315" s="26"/>
      <c r="BB315" s="26"/>
      <c r="BC315" s="26"/>
      <c r="BD315" s="26"/>
      <c r="BE315" s="26"/>
      <c r="BF315" s="26"/>
      <c r="BG315" s="26"/>
      <c r="BH315" s="26"/>
      <c r="BI315" s="26"/>
    </row>
    <row r="316" spans="1:61" ht="15.6" x14ac:dyDescent="0.25">
      <c r="A316" s="25">
        <v>314</v>
      </c>
      <c r="B316" s="25" t="s">
        <v>6180</v>
      </c>
      <c r="C316" s="25" t="s">
        <v>4002</v>
      </c>
      <c r="D316" s="25" t="s">
        <v>6181</v>
      </c>
      <c r="E316" s="26" t="s">
        <v>6094</v>
      </c>
      <c r="F316" s="25" t="s">
        <v>6181</v>
      </c>
      <c r="G316" s="25" t="s">
        <v>5966</v>
      </c>
      <c r="H316" s="25"/>
      <c r="I316" s="25"/>
      <c r="J316" s="25" t="s">
        <v>5060</v>
      </c>
      <c r="K316" s="25" t="s">
        <v>556</v>
      </c>
      <c r="L316" s="25" t="s">
        <v>5725</v>
      </c>
      <c r="M316" s="25" t="s">
        <v>4029</v>
      </c>
      <c r="N316" s="27" t="s">
        <v>6182</v>
      </c>
      <c r="O316" s="27" t="s">
        <v>4031</v>
      </c>
      <c r="P316" s="28">
        <v>44565</v>
      </c>
      <c r="Q316" s="28">
        <v>48217</v>
      </c>
      <c r="R316" s="25" t="s">
        <v>4312</v>
      </c>
      <c r="S316" s="25" t="s">
        <v>4082</v>
      </c>
      <c r="T316" s="28" t="str">
        <f t="shared" si="22"/>
        <v>2003-11-01</v>
      </c>
      <c r="U316" s="25">
        <f t="shared" ca="1" si="23"/>
        <v>22</v>
      </c>
      <c r="V316" s="25">
        <v>18213479894</v>
      </c>
      <c r="W316" s="28">
        <v>45962</v>
      </c>
      <c r="X316" s="28">
        <v>45839</v>
      </c>
      <c r="Y316" s="29" t="str">
        <f t="shared" ca="1" si="24"/>
        <v>0年9个月</v>
      </c>
      <c r="Z316" s="25"/>
      <c r="AA316" s="26" t="str">
        <f t="shared" ca="1" si="26"/>
        <v>0年9个月</v>
      </c>
      <c r="AB316" s="25" t="s">
        <v>4049</v>
      </c>
      <c r="AC316" s="25" t="s">
        <v>119</v>
      </c>
      <c r="AD316" s="25" t="s">
        <v>4234</v>
      </c>
      <c r="AE316" s="25"/>
      <c r="AF316" s="25"/>
      <c r="AG316" s="27"/>
      <c r="AH316" s="25"/>
      <c r="AI316" s="25"/>
      <c r="AJ316" s="25"/>
      <c r="AK316" s="27"/>
      <c r="AL316" s="25" t="s">
        <v>305</v>
      </c>
      <c r="AM316" s="25"/>
      <c r="AN316" s="27" t="s">
        <v>4039</v>
      </c>
      <c r="AO316" s="25" t="s">
        <v>5772</v>
      </c>
      <c r="AP316" s="27" t="s">
        <v>6183</v>
      </c>
      <c r="AQ316" s="25"/>
      <c r="AR316" s="25" t="s">
        <v>5063</v>
      </c>
      <c r="AS316" s="26" t="s">
        <v>4088</v>
      </c>
      <c r="AT316" s="25" t="s">
        <v>4043</v>
      </c>
      <c r="AU316" s="25" t="s">
        <v>6184</v>
      </c>
      <c r="AV316" s="25" t="s">
        <v>6184</v>
      </c>
      <c r="AW316" s="30">
        <v>46203</v>
      </c>
      <c r="AX316" s="28">
        <v>45962</v>
      </c>
      <c r="AY316" s="28">
        <v>46203</v>
      </c>
      <c r="AZ316" s="25"/>
      <c r="BA316" s="25"/>
      <c r="BB316" s="25"/>
      <c r="BC316" s="25"/>
      <c r="BD316" s="25"/>
      <c r="BE316" s="25"/>
      <c r="BF316" s="25"/>
      <c r="BG316" s="25"/>
      <c r="BH316" s="25"/>
      <c r="BI316" s="25"/>
    </row>
    <row r="317" spans="1:61" ht="15.6" x14ac:dyDescent="0.25">
      <c r="A317" s="25">
        <v>315</v>
      </c>
      <c r="B317" s="25" t="s">
        <v>6185</v>
      </c>
      <c r="C317" s="25" t="s">
        <v>4002</v>
      </c>
      <c r="D317" s="25" t="s">
        <v>6181</v>
      </c>
      <c r="E317" s="26" t="s">
        <v>6094</v>
      </c>
      <c r="F317" s="25" t="s">
        <v>6181</v>
      </c>
      <c r="G317" s="25" t="s">
        <v>5966</v>
      </c>
      <c r="H317" s="25"/>
      <c r="I317" s="25"/>
      <c r="J317" s="25" t="s">
        <v>6186</v>
      </c>
      <c r="K317" s="25" t="s">
        <v>556</v>
      </c>
      <c r="L317" s="25" t="s">
        <v>5725</v>
      </c>
      <c r="M317" s="25" t="s">
        <v>4029</v>
      </c>
      <c r="N317" s="27" t="s">
        <v>6187</v>
      </c>
      <c r="O317" s="27" t="s">
        <v>5356</v>
      </c>
      <c r="P317" s="28">
        <v>44389</v>
      </c>
      <c r="Q317" s="28">
        <v>48041</v>
      </c>
      <c r="R317" s="25" t="s">
        <v>4312</v>
      </c>
      <c r="S317" s="25" t="s">
        <v>27</v>
      </c>
      <c r="T317" s="28" t="str">
        <f t="shared" si="22"/>
        <v>2003-10-14</v>
      </c>
      <c r="U317" s="25">
        <f t="shared" ca="1" si="23"/>
        <v>22</v>
      </c>
      <c r="V317" s="25">
        <v>17787192081</v>
      </c>
      <c r="W317" s="28">
        <v>45962</v>
      </c>
      <c r="X317" s="28">
        <v>45839</v>
      </c>
      <c r="Y317" s="29" t="str">
        <f t="shared" ca="1" si="24"/>
        <v>0年9个月</v>
      </c>
      <c r="Z317" s="25"/>
      <c r="AA317" s="26" t="str">
        <f t="shared" ca="1" si="26"/>
        <v>0年9个月</v>
      </c>
      <c r="AB317" s="25" t="s">
        <v>4049</v>
      </c>
      <c r="AC317" s="25" t="s">
        <v>119</v>
      </c>
      <c r="AD317" s="25" t="s">
        <v>4234</v>
      </c>
      <c r="AE317" s="25"/>
      <c r="AF317" s="25"/>
      <c r="AG317" s="27"/>
      <c r="AH317" s="25"/>
      <c r="AI317" s="25"/>
      <c r="AJ317" s="25"/>
      <c r="AK317" s="27"/>
      <c r="AL317" s="25" t="s">
        <v>305</v>
      </c>
      <c r="AM317" s="25"/>
      <c r="AN317" s="27" t="s">
        <v>4039</v>
      </c>
      <c r="AO317" s="25" t="s">
        <v>5772</v>
      </c>
      <c r="AP317" s="27" t="s">
        <v>6188</v>
      </c>
      <c r="AQ317" s="25"/>
      <c r="AR317" s="27" t="s">
        <v>5778</v>
      </c>
      <c r="AS317" s="26" t="s">
        <v>4088</v>
      </c>
      <c r="AT317" s="25" t="s">
        <v>6189</v>
      </c>
      <c r="AU317" s="25" t="s">
        <v>6190</v>
      </c>
      <c r="AV317" s="25" t="s">
        <v>6190</v>
      </c>
      <c r="AW317" s="30">
        <v>46203</v>
      </c>
      <c r="AX317" s="28">
        <v>45962</v>
      </c>
      <c r="AY317" s="28">
        <v>46203</v>
      </c>
      <c r="AZ317" s="28"/>
      <c r="BA317" s="28"/>
      <c r="BB317" s="28"/>
      <c r="BC317" s="25"/>
      <c r="BD317" s="25"/>
      <c r="BE317" s="25"/>
      <c r="BF317" s="25"/>
      <c r="BG317" s="25"/>
      <c r="BH317" s="25"/>
      <c r="BI317" s="27"/>
    </row>
    <row r="318" spans="1:61" ht="15.6" x14ac:dyDescent="0.25">
      <c r="A318" s="25">
        <v>316</v>
      </c>
      <c r="B318" s="25" t="s">
        <v>6191</v>
      </c>
      <c r="C318" s="25" t="s">
        <v>4002</v>
      </c>
      <c r="D318" s="25" t="s">
        <v>6181</v>
      </c>
      <c r="E318" s="26" t="s">
        <v>6094</v>
      </c>
      <c r="F318" s="25" t="s">
        <v>6181</v>
      </c>
      <c r="G318" s="25" t="s">
        <v>5966</v>
      </c>
      <c r="H318" s="25"/>
      <c r="I318" s="25"/>
      <c r="J318" s="25" t="s">
        <v>6186</v>
      </c>
      <c r="K318" s="25" t="s">
        <v>556</v>
      </c>
      <c r="L318" s="25" t="s">
        <v>5725</v>
      </c>
      <c r="M318" s="25" t="s">
        <v>4029</v>
      </c>
      <c r="N318" s="27" t="s">
        <v>6192</v>
      </c>
      <c r="O318" s="27" t="s">
        <v>4682</v>
      </c>
      <c r="P318" s="28">
        <v>44925</v>
      </c>
      <c r="Q318" s="28">
        <v>48578</v>
      </c>
      <c r="R318" s="25" t="s">
        <v>6193</v>
      </c>
      <c r="S318" s="25" t="s">
        <v>27</v>
      </c>
      <c r="T318" s="28" t="str">
        <f t="shared" si="22"/>
        <v>2004-01-25</v>
      </c>
      <c r="U318" s="25">
        <f t="shared" ca="1" si="23"/>
        <v>22</v>
      </c>
      <c r="V318" s="25">
        <v>17869826436</v>
      </c>
      <c r="W318" s="28">
        <v>45962</v>
      </c>
      <c r="X318" s="28">
        <v>45839</v>
      </c>
      <c r="Y318" s="29" t="str">
        <f t="shared" ca="1" si="24"/>
        <v>0年9个月</v>
      </c>
      <c r="Z318" s="25"/>
      <c r="AA318" s="26" t="str">
        <f t="shared" ca="1" si="26"/>
        <v>0年9个月</v>
      </c>
      <c r="AB318" s="25" t="s">
        <v>4049</v>
      </c>
      <c r="AC318" s="25" t="s">
        <v>272</v>
      </c>
      <c r="AD318" s="25" t="s">
        <v>4234</v>
      </c>
      <c r="AE318" s="25"/>
      <c r="AF318" s="25"/>
      <c r="AG318" s="27"/>
      <c r="AH318" s="25"/>
      <c r="AI318" s="25"/>
      <c r="AJ318" s="25"/>
      <c r="AK318" s="27"/>
      <c r="AL318" s="25" t="s">
        <v>305</v>
      </c>
      <c r="AM318" s="25"/>
      <c r="AN318" s="27" t="s">
        <v>4039</v>
      </c>
      <c r="AO318" s="25" t="s">
        <v>5772</v>
      </c>
      <c r="AP318" s="27" t="s">
        <v>6194</v>
      </c>
      <c r="AQ318" s="25"/>
      <c r="AR318" s="27" t="s">
        <v>5778</v>
      </c>
      <c r="AS318" s="26" t="s">
        <v>4088</v>
      </c>
      <c r="AT318" s="25" t="s">
        <v>4137</v>
      </c>
      <c r="AU318" s="25" t="s">
        <v>6195</v>
      </c>
      <c r="AV318" s="25" t="s">
        <v>6195</v>
      </c>
      <c r="AW318" s="30">
        <v>46203</v>
      </c>
      <c r="AX318" s="28">
        <v>45962</v>
      </c>
      <c r="AY318" s="28">
        <v>46203</v>
      </c>
      <c r="AZ318" s="28"/>
      <c r="BA318" s="28"/>
      <c r="BB318" s="28"/>
      <c r="BC318" s="25"/>
      <c r="BD318" s="25"/>
      <c r="BE318" s="25"/>
      <c r="BF318" s="25"/>
      <c r="BG318" s="25"/>
      <c r="BH318" s="25"/>
      <c r="BI318" s="27"/>
    </row>
    <row r="319" spans="1:61" ht="15.6" x14ac:dyDescent="0.25">
      <c r="A319" s="25">
        <v>317</v>
      </c>
      <c r="B319" s="25" t="s">
        <v>6196</v>
      </c>
      <c r="C319" s="25" t="s">
        <v>4002</v>
      </c>
      <c r="D319" s="25" t="s">
        <v>6181</v>
      </c>
      <c r="E319" s="26" t="s">
        <v>6094</v>
      </c>
      <c r="F319" s="25" t="s">
        <v>6181</v>
      </c>
      <c r="G319" s="25" t="s">
        <v>5966</v>
      </c>
      <c r="H319" s="25"/>
      <c r="I319" s="25"/>
      <c r="J319" s="25" t="s">
        <v>6186</v>
      </c>
      <c r="K319" s="25" t="s">
        <v>556</v>
      </c>
      <c r="L319" s="25" t="s">
        <v>5725</v>
      </c>
      <c r="M319" s="25" t="s">
        <v>4029</v>
      </c>
      <c r="N319" s="27" t="s">
        <v>6197</v>
      </c>
      <c r="O319" s="27" t="s">
        <v>4031</v>
      </c>
      <c r="P319" s="28">
        <v>44056</v>
      </c>
      <c r="Q319" s="28">
        <v>47708</v>
      </c>
      <c r="R319" s="25" t="s">
        <v>4312</v>
      </c>
      <c r="S319" s="25" t="s">
        <v>27</v>
      </c>
      <c r="T319" s="28" t="str">
        <f t="shared" si="22"/>
        <v>2004-04-21</v>
      </c>
      <c r="U319" s="25">
        <f t="shared" ca="1" si="23"/>
        <v>21</v>
      </c>
      <c r="V319" s="25">
        <v>18213858731</v>
      </c>
      <c r="W319" s="28">
        <v>45962</v>
      </c>
      <c r="X319" s="28">
        <v>45839</v>
      </c>
      <c r="Y319" s="29" t="str">
        <f t="shared" ca="1" si="24"/>
        <v>0年9个月</v>
      </c>
      <c r="Z319" s="25"/>
      <c r="AA319" s="26" t="str">
        <f t="shared" ca="1" si="26"/>
        <v>0年9个月</v>
      </c>
      <c r="AB319" s="25" t="s">
        <v>4049</v>
      </c>
      <c r="AC319" s="25" t="s">
        <v>272</v>
      </c>
      <c r="AD319" s="25" t="s">
        <v>4234</v>
      </c>
      <c r="AE319" s="25"/>
      <c r="AF319" s="25"/>
      <c r="AG319" s="27"/>
      <c r="AH319" s="25"/>
      <c r="AI319" s="25"/>
      <c r="AJ319" s="25"/>
      <c r="AK319" s="27"/>
      <c r="AL319" s="25" t="s">
        <v>305</v>
      </c>
      <c r="AM319" s="25"/>
      <c r="AN319" s="27" t="s">
        <v>4039</v>
      </c>
      <c r="AO319" s="25" t="s">
        <v>6168</v>
      </c>
      <c r="AP319" s="27" t="s">
        <v>6198</v>
      </c>
      <c r="AQ319" s="25"/>
      <c r="AR319" s="27" t="s">
        <v>6199</v>
      </c>
      <c r="AS319" s="26" t="s">
        <v>4088</v>
      </c>
      <c r="AT319" s="25" t="s">
        <v>4043</v>
      </c>
      <c r="AU319" s="25" t="s">
        <v>6200</v>
      </c>
      <c r="AV319" s="25" t="s">
        <v>6200</v>
      </c>
      <c r="AW319" s="30">
        <v>46203</v>
      </c>
      <c r="AX319" s="28">
        <v>45962</v>
      </c>
      <c r="AY319" s="28">
        <v>46203</v>
      </c>
      <c r="AZ319" s="28"/>
      <c r="BA319" s="28"/>
      <c r="BB319" s="28"/>
      <c r="BC319" s="25"/>
      <c r="BD319" s="25"/>
      <c r="BE319" s="25"/>
      <c r="BF319" s="25"/>
      <c r="BG319" s="25"/>
      <c r="BH319" s="25"/>
      <c r="BI319" s="27"/>
    </row>
    <row r="320" spans="1:61" ht="15.6" x14ac:dyDescent="0.25">
      <c r="A320" s="25">
        <v>318</v>
      </c>
      <c r="B320" s="26" t="s">
        <v>6201</v>
      </c>
      <c r="C320" s="25" t="s">
        <v>4002</v>
      </c>
      <c r="D320" s="26" t="s">
        <v>4150</v>
      </c>
      <c r="E320" s="26" t="s">
        <v>6094</v>
      </c>
      <c r="F320" s="25" t="s">
        <v>4150</v>
      </c>
      <c r="G320" s="25" t="s">
        <v>5966</v>
      </c>
      <c r="H320" s="26"/>
      <c r="I320" s="26"/>
      <c r="J320" s="25" t="s">
        <v>733</v>
      </c>
      <c r="K320" s="25" t="s">
        <v>556</v>
      </c>
      <c r="L320" s="25" t="s">
        <v>5725</v>
      </c>
      <c r="M320" s="25" t="s">
        <v>4029</v>
      </c>
      <c r="N320" s="27" t="s">
        <v>6202</v>
      </c>
      <c r="O320" s="27" t="s">
        <v>4682</v>
      </c>
      <c r="P320" s="28">
        <v>45014</v>
      </c>
      <c r="Q320" s="28">
        <v>48667</v>
      </c>
      <c r="R320" s="25" t="str">
        <f t="shared" si="27"/>
        <v>男</v>
      </c>
      <c r="S320" s="26" t="s">
        <v>4112</v>
      </c>
      <c r="T320" s="28" t="str">
        <f t="shared" ref="T320:T325" si="28">TEXT(MID(N320,7,6+(LEN(N320)=18)*2),"0-00-00")</f>
        <v>2002-06-13</v>
      </c>
      <c r="U320" s="25">
        <f t="shared" ref="U320:U325" ca="1" si="29">DATEDIF(T320,TODAY(),"Y")</f>
        <v>23</v>
      </c>
      <c r="V320" s="25">
        <v>13033353220</v>
      </c>
      <c r="W320" s="28">
        <v>45962</v>
      </c>
      <c r="X320" s="28">
        <v>45474</v>
      </c>
      <c r="Y320" s="29" t="str">
        <f t="shared" ca="1" si="24"/>
        <v>1年9个月</v>
      </c>
      <c r="Z320" s="26"/>
      <c r="AA320" s="26" t="str">
        <f t="shared" ca="1" si="26"/>
        <v>1年9个月</v>
      </c>
      <c r="AB320" s="26" t="s">
        <v>5452</v>
      </c>
      <c r="AC320" s="25" t="s">
        <v>119</v>
      </c>
      <c r="AD320" s="25" t="s">
        <v>4035</v>
      </c>
      <c r="AE320" s="25"/>
      <c r="AF320" s="25"/>
      <c r="AG320" s="27"/>
      <c r="AH320" s="25"/>
      <c r="AI320" s="25"/>
      <c r="AJ320" s="25"/>
      <c r="AK320" s="27"/>
      <c r="AL320" s="25" t="s">
        <v>305</v>
      </c>
      <c r="AM320" s="25"/>
      <c r="AN320" s="27" t="s">
        <v>4039</v>
      </c>
      <c r="AO320" s="26" t="s">
        <v>5772</v>
      </c>
      <c r="AP320" s="35" t="s">
        <v>6203</v>
      </c>
      <c r="AQ320" s="25"/>
      <c r="AR320" s="26" t="s">
        <v>5778</v>
      </c>
      <c r="AS320" s="26" t="s">
        <v>3990</v>
      </c>
      <c r="AT320" s="26" t="s">
        <v>4137</v>
      </c>
      <c r="AU320" s="26" t="s">
        <v>6204</v>
      </c>
      <c r="AV320" s="26" t="s">
        <v>6204</v>
      </c>
      <c r="AW320" s="39">
        <v>47664</v>
      </c>
      <c r="AX320" s="28">
        <v>45962</v>
      </c>
      <c r="AY320" s="36">
        <v>47664</v>
      </c>
      <c r="AZ320" s="76"/>
      <c r="BA320" s="26"/>
      <c r="BB320" s="26"/>
      <c r="BC320" s="26"/>
      <c r="BD320" s="26"/>
      <c r="BE320" s="26"/>
      <c r="BF320" s="26"/>
      <c r="BG320" s="26"/>
      <c r="BH320" s="26"/>
      <c r="BI320" s="26"/>
    </row>
    <row r="321" spans="1:61" ht="15.6" x14ac:dyDescent="0.25">
      <c r="A321" s="25">
        <v>319</v>
      </c>
      <c r="B321" s="26" t="s">
        <v>6205</v>
      </c>
      <c r="C321" s="25" t="s">
        <v>4002</v>
      </c>
      <c r="D321" s="26" t="s">
        <v>4150</v>
      </c>
      <c r="E321" s="26" t="s">
        <v>6094</v>
      </c>
      <c r="F321" s="25" t="s">
        <v>4150</v>
      </c>
      <c r="G321" s="25" t="s">
        <v>5966</v>
      </c>
      <c r="H321" s="26"/>
      <c r="I321" s="26"/>
      <c r="J321" s="25" t="s">
        <v>733</v>
      </c>
      <c r="K321" s="25" t="s">
        <v>556</v>
      </c>
      <c r="L321" s="25" t="s">
        <v>5725</v>
      </c>
      <c r="M321" s="25" t="s">
        <v>4029</v>
      </c>
      <c r="N321" s="27" t="s">
        <v>6206</v>
      </c>
      <c r="O321" s="27" t="s">
        <v>4989</v>
      </c>
      <c r="P321" s="28">
        <v>44427</v>
      </c>
      <c r="Q321" s="28">
        <v>48079</v>
      </c>
      <c r="R321" s="25" t="str">
        <f t="shared" si="27"/>
        <v>男</v>
      </c>
      <c r="S321" s="26" t="s">
        <v>3984</v>
      </c>
      <c r="T321" s="28" t="str">
        <f t="shared" si="28"/>
        <v>2001-04-13</v>
      </c>
      <c r="U321" s="25">
        <f t="shared" ca="1" si="29"/>
        <v>25</v>
      </c>
      <c r="V321" s="25">
        <v>16687349278</v>
      </c>
      <c r="W321" s="28">
        <v>45962</v>
      </c>
      <c r="X321" s="28">
        <v>45474</v>
      </c>
      <c r="Y321" s="29" t="str">
        <f t="shared" ca="1" si="24"/>
        <v>1年9个月</v>
      </c>
      <c r="Z321" s="26"/>
      <c r="AA321" s="26" t="str">
        <f t="shared" ca="1" si="26"/>
        <v>1年9个月</v>
      </c>
      <c r="AB321" s="26" t="s">
        <v>5452</v>
      </c>
      <c r="AC321" s="25" t="s">
        <v>119</v>
      </c>
      <c r="AD321" s="25" t="s">
        <v>4035</v>
      </c>
      <c r="AE321" s="25"/>
      <c r="AF321" s="25"/>
      <c r="AG321" s="27"/>
      <c r="AH321" s="25"/>
      <c r="AI321" s="25"/>
      <c r="AJ321" s="25"/>
      <c r="AK321" s="27"/>
      <c r="AL321" s="25" t="s">
        <v>305</v>
      </c>
      <c r="AM321" s="25"/>
      <c r="AN321" s="27" t="s">
        <v>4039</v>
      </c>
      <c r="AO321" s="26" t="s">
        <v>5772</v>
      </c>
      <c r="AP321" s="35" t="s">
        <v>6207</v>
      </c>
      <c r="AQ321" s="25"/>
      <c r="AR321" s="26" t="s">
        <v>5778</v>
      </c>
      <c r="AS321" s="26" t="s">
        <v>3990</v>
      </c>
      <c r="AT321" s="26" t="s">
        <v>4137</v>
      </c>
      <c r="AU321" s="26" t="s">
        <v>6208</v>
      </c>
      <c r="AV321" s="26" t="s">
        <v>6208</v>
      </c>
      <c r="AW321" s="39">
        <v>46934</v>
      </c>
      <c r="AX321" s="28">
        <v>45962</v>
      </c>
      <c r="AY321" s="36">
        <v>46934</v>
      </c>
      <c r="AZ321" s="76"/>
      <c r="BA321" s="26"/>
      <c r="BB321" s="26"/>
      <c r="BC321" s="26"/>
      <c r="BD321" s="26"/>
      <c r="BE321" s="26"/>
      <c r="BF321" s="26"/>
      <c r="BG321" s="26"/>
      <c r="BH321" s="26"/>
      <c r="BI321" s="26"/>
    </row>
    <row r="322" spans="1:61" ht="15.6" x14ac:dyDescent="0.25">
      <c r="A322" s="25">
        <v>320</v>
      </c>
      <c r="B322" s="26" t="s">
        <v>6209</v>
      </c>
      <c r="C322" s="25" t="s">
        <v>4002</v>
      </c>
      <c r="D322" s="26" t="s">
        <v>4150</v>
      </c>
      <c r="E322" s="26" t="s">
        <v>6094</v>
      </c>
      <c r="F322" s="25" t="s">
        <v>4150</v>
      </c>
      <c r="G322" s="25" t="s">
        <v>5966</v>
      </c>
      <c r="H322" s="26"/>
      <c r="I322" s="26"/>
      <c r="J322" s="25" t="s">
        <v>733</v>
      </c>
      <c r="K322" s="25" t="s">
        <v>556</v>
      </c>
      <c r="L322" s="25" t="s">
        <v>5725</v>
      </c>
      <c r="M322" s="25" t="s">
        <v>4029</v>
      </c>
      <c r="N322" s="27" t="s">
        <v>6210</v>
      </c>
      <c r="O322" s="27" t="s">
        <v>5356</v>
      </c>
      <c r="P322" s="28">
        <v>44158</v>
      </c>
      <c r="Q322" s="28">
        <v>47810</v>
      </c>
      <c r="R322" s="25" t="str">
        <f>IF(MOD(RIGHT(LEFT(N322,17)),2),"男","女")</f>
        <v>男</v>
      </c>
      <c r="S322" s="26" t="s">
        <v>4032</v>
      </c>
      <c r="T322" s="28" t="str">
        <f>TEXT(MID(N322,7,6+(LEN(N322)=18)*2),"0-00-00")</f>
        <v>2002-02-04</v>
      </c>
      <c r="U322" s="25">
        <f ca="1">DATEDIF(T322,TODAY(),"Y")</f>
        <v>24</v>
      </c>
      <c r="V322" s="25">
        <v>13529124326</v>
      </c>
      <c r="W322" s="28">
        <v>45962</v>
      </c>
      <c r="X322" s="28">
        <v>45474</v>
      </c>
      <c r="Y322" s="29" t="str">
        <f t="shared" ca="1" si="24"/>
        <v>1年9个月</v>
      </c>
      <c r="Z322" s="26"/>
      <c r="AA322" s="26" t="str">
        <f t="shared" ca="1" si="26"/>
        <v>1年9个月</v>
      </c>
      <c r="AB322" s="26" t="s">
        <v>5452</v>
      </c>
      <c r="AC322" s="25" t="s">
        <v>272</v>
      </c>
      <c r="AD322" s="25" t="s">
        <v>4035</v>
      </c>
      <c r="AE322" s="25"/>
      <c r="AF322" s="25"/>
      <c r="AG322" s="27"/>
      <c r="AH322" s="25"/>
      <c r="AI322" s="25"/>
      <c r="AJ322" s="25"/>
      <c r="AK322" s="27"/>
      <c r="AL322" s="25" t="s">
        <v>305</v>
      </c>
      <c r="AM322" s="25"/>
      <c r="AN322" s="27" t="s">
        <v>4039</v>
      </c>
      <c r="AO322" s="26" t="s">
        <v>4524</v>
      </c>
      <c r="AP322" s="35" t="s">
        <v>6211</v>
      </c>
      <c r="AQ322" s="25"/>
      <c r="AR322" s="26" t="s">
        <v>6212</v>
      </c>
      <c r="AS322" s="26" t="s">
        <v>3990</v>
      </c>
      <c r="AT322" s="26" t="s">
        <v>6213</v>
      </c>
      <c r="AU322" s="26" t="s">
        <v>6214</v>
      </c>
      <c r="AV322" s="26" t="s">
        <v>6214</v>
      </c>
      <c r="AW322" s="39">
        <v>47664</v>
      </c>
      <c r="AX322" s="28">
        <v>45962</v>
      </c>
      <c r="AY322" s="36">
        <v>47664</v>
      </c>
      <c r="AZ322" s="76"/>
      <c r="BA322" s="26"/>
      <c r="BB322" s="26"/>
      <c r="BC322" s="26"/>
      <c r="BD322" s="26"/>
      <c r="BE322" s="26"/>
      <c r="BF322" s="26"/>
      <c r="BG322" s="26"/>
      <c r="BH322" s="26"/>
      <c r="BI322" s="26"/>
    </row>
    <row r="323" spans="1:61" ht="15.6" x14ac:dyDescent="0.25">
      <c r="A323" s="25">
        <v>321</v>
      </c>
      <c r="B323" s="26" t="s">
        <v>6215</v>
      </c>
      <c r="C323" s="25" t="s">
        <v>4002</v>
      </c>
      <c r="D323" s="26" t="s">
        <v>4150</v>
      </c>
      <c r="E323" s="26" t="s">
        <v>4150</v>
      </c>
      <c r="F323" s="25" t="s">
        <v>4150</v>
      </c>
      <c r="G323" s="25" t="s">
        <v>5966</v>
      </c>
      <c r="H323" s="26"/>
      <c r="I323" s="26"/>
      <c r="J323" s="25" t="s">
        <v>733</v>
      </c>
      <c r="K323" s="25" t="s">
        <v>556</v>
      </c>
      <c r="L323" s="25" t="s">
        <v>5725</v>
      </c>
      <c r="M323" s="25" t="s">
        <v>4029</v>
      </c>
      <c r="N323" s="27" t="s">
        <v>6216</v>
      </c>
      <c r="O323" s="27" t="s">
        <v>5403</v>
      </c>
      <c r="P323" s="28">
        <v>44039</v>
      </c>
      <c r="Q323" s="28">
        <v>47691</v>
      </c>
      <c r="R323" s="25" t="str">
        <f t="shared" si="27"/>
        <v>男</v>
      </c>
      <c r="S323" s="26" t="s">
        <v>3984</v>
      </c>
      <c r="T323" s="28" t="str">
        <f t="shared" si="28"/>
        <v>2004-02-18</v>
      </c>
      <c r="U323" s="25">
        <f t="shared" ca="1" si="29"/>
        <v>22</v>
      </c>
      <c r="V323" s="25">
        <v>18221309063</v>
      </c>
      <c r="W323" s="28">
        <v>45474</v>
      </c>
      <c r="X323" s="28">
        <v>45474</v>
      </c>
      <c r="Y323" s="29" t="str">
        <f t="shared" ca="1" si="24"/>
        <v>1年9个月</v>
      </c>
      <c r="Z323" s="26"/>
      <c r="AA323" s="26" t="str">
        <f t="shared" ca="1" si="26"/>
        <v>1年9个月</v>
      </c>
      <c r="AB323" s="26" t="s">
        <v>5452</v>
      </c>
      <c r="AC323" s="25" t="s">
        <v>272</v>
      </c>
      <c r="AD323" s="25" t="s">
        <v>4035</v>
      </c>
      <c r="AE323" s="25"/>
      <c r="AF323" s="25"/>
      <c r="AG323" s="27"/>
      <c r="AH323" s="25" t="s">
        <v>4036</v>
      </c>
      <c r="AI323" s="25" t="s">
        <v>965</v>
      </c>
      <c r="AJ323" s="25" t="s">
        <v>964</v>
      </c>
      <c r="AK323" s="27" t="s">
        <v>6217</v>
      </c>
      <c r="AL323" s="25" t="s">
        <v>305</v>
      </c>
      <c r="AM323" s="25"/>
      <c r="AN323" s="27" t="s">
        <v>4039</v>
      </c>
      <c r="AO323" s="25" t="s">
        <v>4524</v>
      </c>
      <c r="AP323" s="27" t="s">
        <v>6218</v>
      </c>
      <c r="AQ323" s="25"/>
      <c r="AR323" s="26" t="s">
        <v>6219</v>
      </c>
      <c r="AS323" s="26" t="s">
        <v>3990</v>
      </c>
      <c r="AT323" s="26" t="s">
        <v>4137</v>
      </c>
      <c r="AU323" s="26" t="s">
        <v>6220</v>
      </c>
      <c r="AV323" s="26" t="s">
        <v>6220</v>
      </c>
      <c r="AW323" s="39">
        <v>47664</v>
      </c>
      <c r="AX323" s="28">
        <v>45474</v>
      </c>
      <c r="AY323" s="36">
        <v>45838</v>
      </c>
      <c r="AZ323" s="36">
        <v>47664</v>
      </c>
      <c r="BA323" s="26"/>
      <c r="BB323" s="26"/>
      <c r="BC323" s="26"/>
      <c r="BD323" s="26"/>
      <c r="BE323" s="26"/>
      <c r="BF323" s="26"/>
      <c r="BG323" s="26"/>
      <c r="BH323" s="26"/>
      <c r="BI323" s="26"/>
    </row>
    <row r="324" spans="1:61" ht="15.6" x14ac:dyDescent="0.25">
      <c r="A324" s="25">
        <v>322</v>
      </c>
      <c r="B324" s="25" t="s">
        <v>6221</v>
      </c>
      <c r="C324" s="25" t="s">
        <v>4002</v>
      </c>
      <c r="D324" s="26" t="s">
        <v>4150</v>
      </c>
      <c r="E324" s="26" t="s">
        <v>4150</v>
      </c>
      <c r="F324" s="25" t="s">
        <v>4150</v>
      </c>
      <c r="G324" s="25" t="s">
        <v>5966</v>
      </c>
      <c r="H324" s="26"/>
      <c r="I324" s="26"/>
      <c r="J324" s="25" t="s">
        <v>6222</v>
      </c>
      <c r="K324" s="25" t="s">
        <v>556</v>
      </c>
      <c r="L324" s="25" t="s">
        <v>5725</v>
      </c>
      <c r="M324" s="25" t="s">
        <v>4029</v>
      </c>
      <c r="N324" s="27" t="s">
        <v>6223</v>
      </c>
      <c r="O324" s="27" t="s">
        <v>4031</v>
      </c>
      <c r="P324" s="28">
        <v>39035</v>
      </c>
      <c r="Q324" s="28">
        <v>46340</v>
      </c>
      <c r="R324" s="25" t="str">
        <f t="shared" si="27"/>
        <v>男</v>
      </c>
      <c r="S324" s="25" t="s">
        <v>3984</v>
      </c>
      <c r="T324" s="28" t="str">
        <f t="shared" si="28"/>
        <v>1976-09-23</v>
      </c>
      <c r="U324" s="25">
        <f t="shared" ca="1" si="29"/>
        <v>49</v>
      </c>
      <c r="V324" s="25">
        <v>15025106499</v>
      </c>
      <c r="W324" s="28">
        <v>43836</v>
      </c>
      <c r="X324" s="43">
        <v>39944</v>
      </c>
      <c r="Y324" s="29" t="str">
        <f t="shared" ca="1" si="24"/>
        <v>16年11个月</v>
      </c>
      <c r="Z324" s="25"/>
      <c r="AA324" s="26" t="str">
        <f t="shared" ca="1" si="26"/>
        <v>16年11个月</v>
      </c>
      <c r="AB324" s="25" t="s">
        <v>29</v>
      </c>
      <c r="AC324" s="25" t="s">
        <v>3985</v>
      </c>
      <c r="AD324" s="25" t="s">
        <v>4035</v>
      </c>
      <c r="AE324" s="25"/>
      <c r="AF324" s="25"/>
      <c r="AG324" s="27"/>
      <c r="AH324" s="25"/>
      <c r="AI324" s="25"/>
      <c r="AJ324" s="25"/>
      <c r="AK324" s="27"/>
      <c r="AL324" s="25" t="s">
        <v>1705</v>
      </c>
      <c r="AM324" s="25"/>
      <c r="AN324" s="27" t="s">
        <v>4039</v>
      </c>
      <c r="AO324" s="25" t="s">
        <v>3215</v>
      </c>
      <c r="AP324" s="27"/>
      <c r="AQ324" s="25"/>
      <c r="AR324" s="25"/>
      <c r="AS324" s="26" t="s">
        <v>3990</v>
      </c>
      <c r="AT324" s="25" t="s">
        <v>294</v>
      </c>
      <c r="AU324" s="25" t="s">
        <v>6224</v>
      </c>
      <c r="AV324" s="25" t="s">
        <v>6225</v>
      </c>
      <c r="AW324" s="30" t="s">
        <v>4000</v>
      </c>
      <c r="AX324" s="28">
        <v>43836</v>
      </c>
      <c r="AY324" s="28">
        <v>44931</v>
      </c>
      <c r="AZ324" s="28" t="s">
        <v>4000</v>
      </c>
      <c r="BA324" s="28"/>
      <c r="BB324" s="28"/>
      <c r="BC324" s="25"/>
      <c r="BD324" s="25"/>
      <c r="BE324" s="25"/>
      <c r="BF324" s="25"/>
      <c r="BG324" s="25"/>
      <c r="BH324" s="25"/>
      <c r="BI324" s="27"/>
    </row>
    <row r="325" spans="1:61" ht="15.6" x14ac:dyDescent="0.25">
      <c r="A325" s="25">
        <v>323</v>
      </c>
      <c r="B325" s="25" t="s">
        <v>6226</v>
      </c>
      <c r="C325" s="25" t="s">
        <v>4002</v>
      </c>
      <c r="D325" s="26" t="s">
        <v>4150</v>
      </c>
      <c r="E325" s="26" t="s">
        <v>4150</v>
      </c>
      <c r="F325" s="25" t="s">
        <v>4150</v>
      </c>
      <c r="G325" s="25" t="s">
        <v>5966</v>
      </c>
      <c r="H325" s="25"/>
      <c r="I325" s="25"/>
      <c r="J325" s="25" t="s">
        <v>6227</v>
      </c>
      <c r="K325" s="25" t="s">
        <v>556</v>
      </c>
      <c r="L325" s="25" t="s">
        <v>5282</v>
      </c>
      <c r="M325" s="25" t="s">
        <v>4029</v>
      </c>
      <c r="N325" s="27" t="s">
        <v>6228</v>
      </c>
      <c r="O325" s="27" t="s">
        <v>4073</v>
      </c>
      <c r="P325" s="28">
        <v>46041</v>
      </c>
      <c r="Q325" s="28" t="s">
        <v>4244</v>
      </c>
      <c r="R325" s="25" t="str">
        <f t="shared" si="27"/>
        <v>男</v>
      </c>
      <c r="S325" s="25" t="s">
        <v>3984</v>
      </c>
      <c r="T325" s="28" t="str">
        <f t="shared" si="28"/>
        <v>1971-09-28</v>
      </c>
      <c r="U325" s="25">
        <f t="shared" ca="1" si="29"/>
        <v>54</v>
      </c>
      <c r="V325" s="25">
        <v>13888614515</v>
      </c>
      <c r="W325" s="28">
        <v>43836</v>
      </c>
      <c r="X325" s="28">
        <v>39234</v>
      </c>
      <c r="Y325" s="29" t="str">
        <f t="shared" ca="1" si="24"/>
        <v>18年10个月</v>
      </c>
      <c r="Z325" s="25" t="s">
        <v>5305</v>
      </c>
      <c r="AA325" s="26" t="str">
        <f t="shared" ca="1" si="26"/>
        <v>31年1个月</v>
      </c>
      <c r="AB325" s="25" t="s">
        <v>29</v>
      </c>
      <c r="AC325" s="25" t="s">
        <v>3985</v>
      </c>
      <c r="AD325" s="25" t="s">
        <v>3986</v>
      </c>
      <c r="AE325" s="25"/>
      <c r="AF325" s="25"/>
      <c r="AG325" s="27"/>
      <c r="AH325" s="25"/>
      <c r="AI325" s="25"/>
      <c r="AJ325" s="25"/>
      <c r="AK325" s="27"/>
      <c r="AL325" s="25" t="s">
        <v>4503</v>
      </c>
      <c r="AM325" s="25"/>
      <c r="AN325" s="27" t="s">
        <v>4039</v>
      </c>
      <c r="AO325" s="25" t="s">
        <v>6229</v>
      </c>
      <c r="AP325" s="27" t="s">
        <v>6230</v>
      </c>
      <c r="AQ325" s="25"/>
      <c r="AR325" s="25" t="s">
        <v>6231</v>
      </c>
      <c r="AS325" s="26" t="s">
        <v>3990</v>
      </c>
      <c r="AT325" s="25" t="s">
        <v>415</v>
      </c>
      <c r="AU325" s="25" t="s">
        <v>3388</v>
      </c>
      <c r="AV325" s="25" t="s">
        <v>3388</v>
      </c>
      <c r="AW325" s="30" t="s">
        <v>4000</v>
      </c>
      <c r="AX325" s="28">
        <v>43836</v>
      </c>
      <c r="AY325" s="28" t="s">
        <v>4000</v>
      </c>
      <c r="AZ325" s="36"/>
      <c r="BA325" s="25"/>
      <c r="BB325" s="28"/>
      <c r="BC325" s="25"/>
      <c r="BD325" s="25"/>
      <c r="BE325" s="25"/>
      <c r="BF325" s="25"/>
      <c r="BG325" s="25"/>
      <c r="BH325" s="25"/>
      <c r="BI325" s="27"/>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23"/>
  <sheetViews>
    <sheetView topLeftCell="D1" workbookViewId="0">
      <pane ySplit="3" topLeftCell="A259" activePane="bottomLeft" state="frozen"/>
      <selection pane="bottomLeft" activeCell="Q289" sqref="Q289"/>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style="5" bestFit="1" customWidth="1"/>
    <col min="6" max="6" width="27.10937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40.21875" bestFit="1" customWidth="1"/>
    <col min="19" max="19" width="26" bestFit="1" customWidth="1"/>
    <col min="20" max="20" width="21.77734375" bestFit="1" customWidth="1"/>
    <col min="21" max="21" width="35" bestFit="1" customWidth="1"/>
    <col min="22" max="22" width="33.77734375" style="5" bestFit="1" customWidth="1"/>
    <col min="23" max="23" width="35.88671875" bestFit="1" customWidth="1"/>
    <col min="24" max="24" width="36.109375" bestFit="1" customWidth="1"/>
    <col min="25" max="25" width="36" bestFit="1" customWidth="1"/>
  </cols>
  <sheetData>
    <row r="1" spans="1:25" ht="28.05" customHeight="1" x14ac:dyDescent="0.25">
      <c r="A1" s="87" t="s">
        <v>35</v>
      </c>
      <c r="B1" s="88"/>
      <c r="C1" s="88"/>
      <c r="D1" s="88"/>
      <c r="E1" s="88"/>
      <c r="F1" s="88"/>
      <c r="G1" s="88"/>
      <c r="H1" s="88"/>
      <c r="I1" s="88"/>
      <c r="J1" s="88"/>
      <c r="K1" s="88"/>
      <c r="L1" s="88"/>
      <c r="M1" s="88"/>
      <c r="N1" s="88"/>
      <c r="O1" s="88"/>
      <c r="P1" s="88"/>
      <c r="Q1" s="88"/>
      <c r="R1" s="88"/>
      <c r="S1" s="88"/>
      <c r="T1" s="88"/>
      <c r="U1" s="88"/>
      <c r="V1" s="88"/>
      <c r="W1" s="88"/>
      <c r="X1" s="88"/>
      <c r="Y1" s="88"/>
    </row>
    <row r="2" spans="1:25" ht="18" customHeight="1" x14ac:dyDescent="0.25">
      <c r="A2" s="86" t="s">
        <v>36</v>
      </c>
      <c r="B2" s="86"/>
      <c r="C2" s="86"/>
      <c r="D2" s="86"/>
      <c r="E2" s="86"/>
      <c r="F2" s="86"/>
      <c r="G2" s="86"/>
      <c r="H2" s="86"/>
      <c r="I2" s="86"/>
      <c r="J2" s="86"/>
      <c r="K2" s="86"/>
      <c r="L2" s="86"/>
      <c r="M2" s="86"/>
      <c r="N2" s="86"/>
      <c r="O2" s="86"/>
      <c r="P2" s="86"/>
      <c r="Q2" s="86"/>
      <c r="R2" s="86"/>
      <c r="S2" s="86"/>
      <c r="T2" s="86"/>
      <c r="U2" s="86"/>
      <c r="V2" s="86"/>
      <c r="W2" s="86"/>
      <c r="X2" s="86"/>
      <c r="Y2" s="86"/>
    </row>
    <row r="3" spans="1:25" ht="21.6" customHeight="1" x14ac:dyDescent="0.25">
      <c r="A3" s="3" t="s">
        <v>37</v>
      </c>
      <c r="B3" s="6" t="s">
        <v>3</v>
      </c>
      <c r="C3" s="7" t="s">
        <v>50</v>
      </c>
      <c r="D3" s="1" t="s">
        <v>51</v>
      </c>
      <c r="E3" s="4" t="s">
        <v>10010</v>
      </c>
      <c r="F3" s="1" t="s">
        <v>38</v>
      </c>
      <c r="G3" s="1" t="s">
        <v>39</v>
      </c>
      <c r="H3" s="1" t="s">
        <v>40</v>
      </c>
      <c r="I3" s="1" t="s">
        <v>41</v>
      </c>
      <c r="J3" s="1" t="s">
        <v>42</v>
      </c>
      <c r="K3" s="1" t="s">
        <v>43</v>
      </c>
      <c r="L3" s="1" t="s">
        <v>44</v>
      </c>
      <c r="M3" s="1" t="s">
        <v>45</v>
      </c>
      <c r="N3" s="1" t="s">
        <v>46</v>
      </c>
      <c r="O3" s="1" t="s">
        <v>47</v>
      </c>
      <c r="P3" s="1" t="s">
        <v>48</v>
      </c>
      <c r="Q3" s="1" t="s">
        <v>49</v>
      </c>
      <c r="R3" s="1" t="s">
        <v>10007</v>
      </c>
      <c r="S3" s="1" t="s">
        <v>52</v>
      </c>
      <c r="T3" s="1" t="s">
        <v>10009</v>
      </c>
      <c r="U3" s="1" t="s">
        <v>10008</v>
      </c>
      <c r="V3" s="4" t="s">
        <v>53</v>
      </c>
      <c r="W3" s="1" t="s">
        <v>54</v>
      </c>
      <c r="X3" s="1" t="s">
        <v>55</v>
      </c>
      <c r="Y3" s="1" t="s">
        <v>56</v>
      </c>
    </row>
    <row r="4" spans="1:25" ht="15.6" x14ac:dyDescent="0.25">
      <c r="A4" s="8" t="s">
        <v>2202</v>
      </c>
      <c r="B4" s="8" t="s">
        <v>2208</v>
      </c>
      <c r="C4" s="5" t="s">
        <v>8773</v>
      </c>
      <c r="E4" s="5" t="s">
        <v>243</v>
      </c>
      <c r="F4" s="5" t="s">
        <v>242</v>
      </c>
      <c r="G4" s="5" t="s">
        <v>256</v>
      </c>
      <c r="H4" t="s">
        <v>1353</v>
      </c>
      <c r="I4" t="s">
        <v>244</v>
      </c>
      <c r="J4" t="s">
        <v>244</v>
      </c>
      <c r="L4" t="s">
        <v>2206</v>
      </c>
      <c r="M4" t="s">
        <v>9104</v>
      </c>
      <c r="N4" t="s">
        <v>9205</v>
      </c>
      <c r="O4" t="s">
        <v>9095</v>
      </c>
      <c r="U4" t="str">
        <f>_xlfn.LET(_xlpm.x, _xlfn.XLOOKUP(B4,Sheet3!N:N,Sheet3!C:C,""), IF(_xlpm.x=0,"",_xlpm.x))</f>
        <v>劳动合同</v>
      </c>
      <c r="V4" s="5" t="s">
        <v>4000</v>
      </c>
      <c r="X4" t="s">
        <v>4011</v>
      </c>
    </row>
    <row r="5" spans="1:25" ht="15.6" x14ac:dyDescent="0.25">
      <c r="A5" s="8" t="s">
        <v>1569</v>
      </c>
      <c r="B5" s="8" t="s">
        <v>1578</v>
      </c>
      <c r="C5" s="5" t="s">
        <v>8774</v>
      </c>
      <c r="E5" s="5" t="s">
        <v>243</v>
      </c>
      <c r="F5" s="5" t="s">
        <v>242</v>
      </c>
      <c r="G5" s="5" t="s">
        <v>242</v>
      </c>
      <c r="H5" t="s">
        <v>459</v>
      </c>
      <c r="I5" t="s">
        <v>244</v>
      </c>
      <c r="J5" t="s">
        <v>244</v>
      </c>
      <c r="L5" t="s">
        <v>1575</v>
      </c>
      <c r="M5" t="s">
        <v>9102</v>
      </c>
      <c r="N5" t="s">
        <v>9206</v>
      </c>
      <c r="O5" t="s">
        <v>9149</v>
      </c>
      <c r="U5" t="str">
        <f>_xlfn.LET(_xlpm.x, _xlfn.XLOOKUP(B5,Sheet3!N:N,Sheet3!C:C,""), IF(_xlpm.x=0,"",_xlpm.x))</f>
        <v>劳动合同</v>
      </c>
      <c r="V5" s="5" t="s">
        <v>4000</v>
      </c>
      <c r="X5" t="s">
        <v>4011</v>
      </c>
    </row>
    <row r="6" spans="1:25" ht="15.6" x14ac:dyDescent="0.25">
      <c r="A6" s="8" t="s">
        <v>2780</v>
      </c>
      <c r="B6" s="8" t="s">
        <v>2784</v>
      </c>
      <c r="C6" s="5" t="s">
        <v>8775</v>
      </c>
      <c r="E6" s="5" t="s">
        <v>243</v>
      </c>
      <c r="F6" s="5" t="s">
        <v>256</v>
      </c>
      <c r="G6" s="5" t="s">
        <v>256</v>
      </c>
      <c r="H6" t="s">
        <v>255</v>
      </c>
      <c r="I6" t="s">
        <v>244</v>
      </c>
      <c r="J6" t="s">
        <v>244</v>
      </c>
      <c r="L6" t="s">
        <v>506</v>
      </c>
      <c r="M6" t="s">
        <v>9104</v>
      </c>
      <c r="N6" t="s">
        <v>9206</v>
      </c>
      <c r="O6" t="s">
        <v>9148</v>
      </c>
      <c r="U6" t="str">
        <f>_xlfn.LET(_xlpm.x, _xlfn.XLOOKUP(B6,Sheet3!N:N,Sheet3!C:C,""), IF(_xlpm.x=0,"",_xlpm.x))</f>
        <v>劳动合同</v>
      </c>
      <c r="V6" s="5" t="s">
        <v>4000</v>
      </c>
      <c r="X6" t="s">
        <v>4011</v>
      </c>
    </row>
    <row r="7" spans="1:25" ht="15.6" x14ac:dyDescent="0.25">
      <c r="A7" s="8" t="s">
        <v>1763</v>
      </c>
      <c r="B7" s="8" t="s">
        <v>1768</v>
      </c>
      <c r="C7" s="5" t="s">
        <v>8776</v>
      </c>
      <c r="E7" s="5" t="s">
        <v>243</v>
      </c>
      <c r="F7" s="5" t="s">
        <v>492</v>
      </c>
      <c r="G7" s="5" t="s">
        <v>492</v>
      </c>
      <c r="H7" t="s">
        <v>553</v>
      </c>
      <c r="I7" t="s">
        <v>244</v>
      </c>
      <c r="J7" t="s">
        <v>244</v>
      </c>
      <c r="L7" t="s">
        <v>616</v>
      </c>
      <c r="M7" t="s">
        <v>58</v>
      </c>
      <c r="N7" t="s">
        <v>9207</v>
      </c>
      <c r="O7" t="s">
        <v>9159</v>
      </c>
      <c r="U7" t="str">
        <f>_xlfn.LET(_xlpm.x, _xlfn.XLOOKUP(B7,Sheet3!N:N,Sheet3!C:C,""), IF(_xlpm.x=0,"",_xlpm.x))</f>
        <v>劳动合同</v>
      </c>
      <c r="V7" s="5" t="s">
        <v>663</v>
      </c>
      <c r="X7" t="s">
        <v>3990</v>
      </c>
    </row>
    <row r="8" spans="1:25" ht="15.6" x14ac:dyDescent="0.25">
      <c r="A8" s="8" t="s">
        <v>3595</v>
      </c>
      <c r="B8" s="8" t="s">
        <v>3601</v>
      </c>
      <c r="C8" s="5" t="s">
        <v>8777</v>
      </c>
      <c r="E8" s="5" t="s">
        <v>243</v>
      </c>
      <c r="F8" s="5" t="s">
        <v>242</v>
      </c>
      <c r="G8" s="5" t="s">
        <v>242</v>
      </c>
      <c r="H8" t="s">
        <v>298</v>
      </c>
      <c r="I8" t="s">
        <v>244</v>
      </c>
      <c r="J8" t="s">
        <v>244</v>
      </c>
      <c r="L8" t="s">
        <v>3599</v>
      </c>
      <c r="M8" t="s">
        <v>9113</v>
      </c>
      <c r="N8" t="s">
        <v>9208</v>
      </c>
      <c r="O8" t="s">
        <v>9094</v>
      </c>
      <c r="U8" t="str">
        <f>_xlfn.LET(_xlpm.x, _xlfn.XLOOKUP(B8,Sheet3!N:N,Sheet3!C:C,""), IF(_xlpm.x=0,"",_xlpm.x))</f>
        <v>劳动合同</v>
      </c>
      <c r="V8" s="5" t="s">
        <v>4000</v>
      </c>
      <c r="X8" t="s">
        <v>4011</v>
      </c>
    </row>
    <row r="9" spans="1:25" ht="15.6" x14ac:dyDescent="0.25">
      <c r="A9" s="8" t="s">
        <v>2645</v>
      </c>
      <c r="B9" s="8" t="s">
        <v>2651</v>
      </c>
      <c r="C9" s="5" t="s">
        <v>8778</v>
      </c>
      <c r="E9" s="5" t="s">
        <v>243</v>
      </c>
      <c r="F9" s="5" t="s">
        <v>256</v>
      </c>
      <c r="G9" s="5" t="s">
        <v>256</v>
      </c>
      <c r="H9" t="s">
        <v>244</v>
      </c>
      <c r="I9" t="s">
        <v>244</v>
      </c>
      <c r="J9" t="s">
        <v>244</v>
      </c>
      <c r="L9" t="s">
        <v>2649</v>
      </c>
      <c r="M9" t="s">
        <v>9117</v>
      </c>
      <c r="N9" t="s">
        <v>9208</v>
      </c>
      <c r="O9" t="s">
        <v>9129</v>
      </c>
      <c r="U9" t="str">
        <f>_xlfn.LET(_xlpm.x, _xlfn.XLOOKUP(B9,Sheet3!N:N,Sheet3!C:C,""), IF(_xlpm.x=0,"",_xlpm.x))</f>
        <v>劳动合同</v>
      </c>
      <c r="V9" s="5" t="s">
        <v>4000</v>
      </c>
      <c r="X9" t="s">
        <v>4011</v>
      </c>
    </row>
    <row r="10" spans="1:25" ht="15.6" x14ac:dyDescent="0.25">
      <c r="A10" s="8" t="s">
        <v>1714</v>
      </c>
      <c r="B10" s="8" t="s">
        <v>1721</v>
      </c>
      <c r="C10" s="5" t="s">
        <v>8779</v>
      </c>
      <c r="E10" s="5" t="s">
        <v>243</v>
      </c>
      <c r="F10" s="5" t="s">
        <v>242</v>
      </c>
      <c r="G10" s="5" t="s">
        <v>242</v>
      </c>
      <c r="H10" t="s">
        <v>298</v>
      </c>
      <c r="J10" t="s">
        <v>244</v>
      </c>
      <c r="K10" t="s">
        <v>320</v>
      </c>
      <c r="L10" t="s">
        <v>1444</v>
      </c>
      <c r="M10" t="s">
        <v>9098</v>
      </c>
      <c r="N10" t="s">
        <v>9209</v>
      </c>
      <c r="O10" t="s">
        <v>9105</v>
      </c>
      <c r="U10" t="str">
        <f>_xlfn.LET(_xlpm.x, _xlfn.XLOOKUP(B10,Sheet3!N:N,Sheet3!C:C,""), IF(_xlpm.x=0,"",_xlpm.x))</f>
        <v>劳动合同</v>
      </c>
      <c r="V10" s="5" t="s">
        <v>1281</v>
      </c>
      <c r="X10" t="s">
        <v>3990</v>
      </c>
    </row>
    <row r="11" spans="1:25" ht="15.6" x14ac:dyDescent="0.25">
      <c r="A11" s="8" t="s">
        <v>2215</v>
      </c>
      <c r="B11" s="8" t="s">
        <v>2219</v>
      </c>
      <c r="C11" s="5" t="s">
        <v>8780</v>
      </c>
      <c r="E11" s="5" t="s">
        <v>243</v>
      </c>
      <c r="F11" s="5" t="s">
        <v>242</v>
      </c>
      <c r="G11" s="5" t="s">
        <v>242</v>
      </c>
      <c r="H11" t="s">
        <v>241</v>
      </c>
      <c r="I11" t="s">
        <v>244</v>
      </c>
      <c r="J11" t="s">
        <v>244</v>
      </c>
      <c r="L11" t="s">
        <v>506</v>
      </c>
      <c r="M11" t="s">
        <v>9098</v>
      </c>
      <c r="N11" t="s">
        <v>9206</v>
      </c>
      <c r="O11" t="s">
        <v>9139</v>
      </c>
      <c r="U11" t="str">
        <f>_xlfn.LET(_xlpm.x, _xlfn.XLOOKUP(B11,Sheet3!N:N,Sheet3!C:C,""), IF(_xlpm.x=0,"",_xlpm.x))</f>
        <v>劳动合同</v>
      </c>
      <c r="V11" s="5" t="s">
        <v>4000</v>
      </c>
      <c r="X11" t="s">
        <v>4011</v>
      </c>
    </row>
    <row r="12" spans="1:25" ht="15.6" x14ac:dyDescent="0.25">
      <c r="A12" s="8" t="s">
        <v>1205</v>
      </c>
      <c r="B12" s="8" t="s">
        <v>1212</v>
      </c>
      <c r="C12" s="5" t="s">
        <v>8781</v>
      </c>
      <c r="E12" s="5" t="s">
        <v>243</v>
      </c>
      <c r="F12" s="5" t="s">
        <v>242</v>
      </c>
      <c r="G12" s="5" t="s">
        <v>242</v>
      </c>
      <c r="H12" t="s">
        <v>533</v>
      </c>
      <c r="I12" t="s">
        <v>244</v>
      </c>
      <c r="J12" t="s">
        <v>244</v>
      </c>
      <c r="L12" t="s">
        <v>1209</v>
      </c>
      <c r="M12" t="s">
        <v>9101</v>
      </c>
      <c r="N12" t="s">
        <v>9210</v>
      </c>
      <c r="O12" t="s">
        <v>9122</v>
      </c>
      <c r="U12" t="str">
        <f>_xlfn.LET(_xlpm.x, _xlfn.XLOOKUP(B12,Sheet3!N:N,Sheet3!C:C,""), IF(_xlpm.x=0,"",_xlpm.x))</f>
        <v>劳动合同</v>
      </c>
      <c r="V12" s="5" t="s">
        <v>1204</v>
      </c>
      <c r="X12" t="s">
        <v>4011</v>
      </c>
    </row>
    <row r="13" spans="1:25" ht="15.6" x14ac:dyDescent="0.25">
      <c r="A13" s="8" t="s">
        <v>2972</v>
      </c>
      <c r="B13" s="8" t="s">
        <v>2979</v>
      </c>
      <c r="C13" s="5" t="s">
        <v>8782</v>
      </c>
      <c r="E13" s="5" t="s">
        <v>243</v>
      </c>
      <c r="F13" s="5" t="s">
        <v>242</v>
      </c>
      <c r="G13" s="5" t="s">
        <v>242</v>
      </c>
      <c r="H13" t="s">
        <v>1380</v>
      </c>
      <c r="I13" t="s">
        <v>244</v>
      </c>
      <c r="J13" t="s">
        <v>244</v>
      </c>
      <c r="L13" t="s">
        <v>2976</v>
      </c>
      <c r="M13" t="s">
        <v>9104</v>
      </c>
      <c r="N13" t="s">
        <v>9211</v>
      </c>
      <c r="O13" t="s">
        <v>9147</v>
      </c>
      <c r="U13" t="str">
        <f>_xlfn.LET(_xlpm.x, _xlfn.XLOOKUP(B13,Sheet3!N:N,Sheet3!C:C,""), IF(_xlpm.x=0,"",_xlpm.x))</f>
        <v>劳动合同</v>
      </c>
      <c r="V13" s="5" t="s">
        <v>4000</v>
      </c>
      <c r="X13" t="s">
        <v>4011</v>
      </c>
    </row>
    <row r="14" spans="1:25" ht="15.6" x14ac:dyDescent="0.25">
      <c r="A14" s="8" t="s">
        <v>1167</v>
      </c>
      <c r="B14" s="8" t="s">
        <v>1176</v>
      </c>
      <c r="C14" s="5" t="s">
        <v>8783</v>
      </c>
      <c r="E14" s="5" t="s">
        <v>243</v>
      </c>
      <c r="F14" s="5" t="s">
        <v>242</v>
      </c>
      <c r="G14" s="5" t="s">
        <v>242</v>
      </c>
      <c r="H14" t="s">
        <v>655</v>
      </c>
      <c r="I14" t="s">
        <v>244</v>
      </c>
      <c r="J14" t="s">
        <v>244</v>
      </c>
      <c r="L14" t="s">
        <v>240</v>
      </c>
      <c r="M14" t="s">
        <v>9101</v>
      </c>
      <c r="N14" t="s">
        <v>9206</v>
      </c>
      <c r="O14" t="s">
        <v>9127</v>
      </c>
      <c r="U14" t="str">
        <f>_xlfn.LET(_xlpm.x, _xlfn.XLOOKUP(B14,Sheet3!N:N,Sheet3!C:C,""), IF(_xlpm.x=0,"",_xlpm.x))</f>
        <v>劳动合同</v>
      </c>
      <c r="V14" s="5" t="s">
        <v>659</v>
      </c>
      <c r="X14" t="s">
        <v>4011</v>
      </c>
    </row>
    <row r="15" spans="1:25" ht="15.6" x14ac:dyDescent="0.25">
      <c r="A15" s="8" t="s">
        <v>2915</v>
      </c>
      <c r="B15" s="8" t="s">
        <v>2921</v>
      </c>
      <c r="C15" s="5" t="s">
        <v>8784</v>
      </c>
      <c r="E15" s="5" t="s">
        <v>243</v>
      </c>
      <c r="F15" s="5" t="s">
        <v>492</v>
      </c>
      <c r="G15" s="5" t="s">
        <v>242</v>
      </c>
      <c r="H15" t="s">
        <v>345</v>
      </c>
      <c r="I15" t="s">
        <v>346</v>
      </c>
      <c r="J15" t="s">
        <v>2184</v>
      </c>
      <c r="L15" t="s">
        <v>2919</v>
      </c>
      <c r="M15" t="s">
        <v>9098</v>
      </c>
      <c r="N15" t="s">
        <v>9211</v>
      </c>
      <c r="O15" t="s">
        <v>9135</v>
      </c>
      <c r="U15" t="str">
        <f>_xlfn.LET(_xlpm.x, _xlfn.XLOOKUP(B15,Sheet3!N:N,Sheet3!C:C,""), IF(_xlpm.x=0,"",_xlpm.x))</f>
        <v>劳动合同</v>
      </c>
      <c r="V15" s="5" t="s">
        <v>1090</v>
      </c>
      <c r="X15" t="s">
        <v>4011</v>
      </c>
    </row>
    <row r="16" spans="1:25" ht="15.6" x14ac:dyDescent="0.25">
      <c r="A16" s="8" t="s">
        <v>3346</v>
      </c>
      <c r="B16" s="8" t="s">
        <v>3351</v>
      </c>
      <c r="C16" s="5" t="s">
        <v>8785</v>
      </c>
      <c r="E16" s="5" t="s">
        <v>243</v>
      </c>
      <c r="F16" s="5" t="s">
        <v>492</v>
      </c>
      <c r="G16" s="5" t="s">
        <v>492</v>
      </c>
      <c r="H16" t="s">
        <v>244</v>
      </c>
      <c r="I16" t="s">
        <v>244</v>
      </c>
      <c r="J16" t="s">
        <v>244</v>
      </c>
      <c r="L16" t="s">
        <v>3349</v>
      </c>
      <c r="M16" t="s">
        <v>9117</v>
      </c>
      <c r="N16" t="s">
        <v>9208</v>
      </c>
      <c r="O16" t="s">
        <v>9129</v>
      </c>
      <c r="U16" t="str">
        <f>_xlfn.LET(_xlpm.x, _xlfn.XLOOKUP(B16,Sheet3!N:N,Sheet3!C:C,""), IF(_xlpm.x=0,"",_xlpm.x))</f>
        <v>劳动合同</v>
      </c>
      <c r="V16" s="5" t="s">
        <v>4000</v>
      </c>
      <c r="X16" t="s">
        <v>4011</v>
      </c>
    </row>
    <row r="17" spans="1:24" ht="15.6" x14ac:dyDescent="0.25">
      <c r="A17" s="8" t="s">
        <v>1439</v>
      </c>
      <c r="B17" s="8" t="s">
        <v>1447</v>
      </c>
      <c r="C17" s="5" t="s">
        <v>8786</v>
      </c>
      <c r="E17" s="5" t="s">
        <v>243</v>
      </c>
      <c r="F17" s="5" t="s">
        <v>242</v>
      </c>
      <c r="G17" s="5" t="s">
        <v>242</v>
      </c>
      <c r="H17" t="s">
        <v>298</v>
      </c>
      <c r="J17" t="s">
        <v>244</v>
      </c>
      <c r="K17" t="s">
        <v>320</v>
      </c>
      <c r="L17" t="s">
        <v>1444</v>
      </c>
      <c r="M17" t="s">
        <v>58</v>
      </c>
      <c r="N17" t="s">
        <v>9209</v>
      </c>
      <c r="O17" t="s">
        <v>9114</v>
      </c>
      <c r="U17" t="str">
        <f>_xlfn.LET(_xlpm.x, _xlfn.XLOOKUP(B17,Sheet3!N:N,Sheet3!C:C,""), IF(_xlpm.x=0,"",_xlpm.x))</f>
        <v>劳动合同</v>
      </c>
      <c r="V17" s="5" t="s">
        <v>1455</v>
      </c>
      <c r="X17" t="s">
        <v>4011</v>
      </c>
    </row>
    <row r="18" spans="1:24" ht="15.6" x14ac:dyDescent="0.25">
      <c r="A18" s="8" t="s">
        <v>3276</v>
      </c>
      <c r="B18" s="8" t="s">
        <v>3281</v>
      </c>
      <c r="C18" s="5" t="s">
        <v>8787</v>
      </c>
      <c r="E18" s="5" t="s">
        <v>243</v>
      </c>
      <c r="F18" s="5" t="s">
        <v>242</v>
      </c>
      <c r="G18" s="5" t="s">
        <v>242</v>
      </c>
      <c r="H18" t="s">
        <v>376</v>
      </c>
      <c r="I18" t="s">
        <v>244</v>
      </c>
      <c r="J18" t="s">
        <v>244</v>
      </c>
      <c r="L18" t="s">
        <v>997</v>
      </c>
      <c r="M18" t="s">
        <v>9098</v>
      </c>
      <c r="N18" t="s">
        <v>9212</v>
      </c>
      <c r="O18" t="s">
        <v>9109</v>
      </c>
      <c r="U18" t="str">
        <f>_xlfn.LET(_xlpm.x, _xlfn.XLOOKUP(B18,Sheet3!N:N,Sheet3!C:C,""), IF(_xlpm.x=0,"",_xlpm.x))</f>
        <v>劳动合同</v>
      </c>
      <c r="V18" s="5" t="s">
        <v>4000</v>
      </c>
      <c r="X18" t="s">
        <v>4011</v>
      </c>
    </row>
    <row r="19" spans="1:24" ht="15.6" x14ac:dyDescent="0.25">
      <c r="A19" s="8" t="s">
        <v>3176</v>
      </c>
      <c r="B19" s="8" t="s">
        <v>3181</v>
      </c>
      <c r="C19" s="5" t="s">
        <v>8788</v>
      </c>
      <c r="E19" s="5" t="s">
        <v>243</v>
      </c>
      <c r="F19" s="5" t="s">
        <v>242</v>
      </c>
      <c r="G19" s="5" t="s">
        <v>242</v>
      </c>
      <c r="H19" t="s">
        <v>655</v>
      </c>
      <c r="I19" t="s">
        <v>244</v>
      </c>
      <c r="J19" t="s">
        <v>244</v>
      </c>
      <c r="L19" t="s">
        <v>1526</v>
      </c>
      <c r="M19" t="s">
        <v>9098</v>
      </c>
      <c r="N19" t="s">
        <v>9210</v>
      </c>
      <c r="O19" t="s">
        <v>9123</v>
      </c>
      <c r="U19" t="str">
        <f>_xlfn.LET(_xlpm.x, _xlfn.XLOOKUP(B19,Sheet3!N:N,Sheet3!C:C,""), IF(_xlpm.x=0,"",_xlpm.x))</f>
        <v>劳动合同</v>
      </c>
      <c r="V19" s="5" t="s">
        <v>4000</v>
      </c>
      <c r="X19" t="s">
        <v>4011</v>
      </c>
    </row>
    <row r="20" spans="1:24" ht="15.6" x14ac:dyDescent="0.25">
      <c r="A20" s="8" t="s">
        <v>1745</v>
      </c>
      <c r="B20" s="8" t="s">
        <v>1751</v>
      </c>
      <c r="C20" s="5" t="s">
        <v>8789</v>
      </c>
      <c r="E20" s="5" t="s">
        <v>243</v>
      </c>
      <c r="F20" s="5" t="s">
        <v>492</v>
      </c>
      <c r="G20" s="5" t="s">
        <v>492</v>
      </c>
      <c r="H20" t="s">
        <v>861</v>
      </c>
      <c r="I20" t="s">
        <v>244</v>
      </c>
      <c r="J20" t="s">
        <v>244</v>
      </c>
      <c r="L20" t="s">
        <v>1097</v>
      </c>
      <c r="M20" t="s">
        <v>2152</v>
      </c>
      <c r="N20" t="s">
        <v>9210</v>
      </c>
      <c r="O20" t="s">
        <v>9143</v>
      </c>
      <c r="U20" t="str">
        <f>_xlfn.LET(_xlpm.x, _xlfn.XLOOKUP(B20,Sheet3!N:N,Sheet3!C:C,""), IF(_xlpm.x=0,"",_xlpm.x))</f>
        <v>劳动合同</v>
      </c>
      <c r="V20" s="5" t="s">
        <v>1090</v>
      </c>
      <c r="X20" t="s">
        <v>4011</v>
      </c>
    </row>
    <row r="21" spans="1:24" ht="15.6" x14ac:dyDescent="0.25">
      <c r="A21" s="8" t="s">
        <v>3218</v>
      </c>
      <c r="B21" s="8" t="s">
        <v>3223</v>
      </c>
      <c r="C21" s="5" t="s">
        <v>8790</v>
      </c>
      <c r="E21" s="5" t="s">
        <v>243</v>
      </c>
      <c r="F21" s="5" t="s">
        <v>256</v>
      </c>
      <c r="G21" s="5" t="s">
        <v>256</v>
      </c>
      <c r="H21" t="s">
        <v>358</v>
      </c>
      <c r="I21" t="s">
        <v>244</v>
      </c>
      <c r="J21" t="s">
        <v>244</v>
      </c>
      <c r="L21" t="s">
        <v>3221</v>
      </c>
      <c r="M21" t="s">
        <v>2152</v>
      </c>
      <c r="N21" t="s">
        <v>9211</v>
      </c>
      <c r="O21" t="s">
        <v>9103</v>
      </c>
      <c r="U21" t="str">
        <f>_xlfn.LET(_xlpm.x, _xlfn.XLOOKUP(B21,Sheet3!N:N,Sheet3!C:C,""), IF(_xlpm.x=0,"",_xlpm.x))</f>
        <v>劳动合同</v>
      </c>
      <c r="V21" s="5" t="s">
        <v>4000</v>
      </c>
      <c r="X21" t="s">
        <v>4011</v>
      </c>
    </row>
    <row r="22" spans="1:24" ht="15.6" x14ac:dyDescent="0.25">
      <c r="A22" s="8" t="s">
        <v>1651</v>
      </c>
      <c r="B22" s="8" t="s">
        <v>1657</v>
      </c>
      <c r="C22" s="5" t="s">
        <v>8791</v>
      </c>
      <c r="E22" s="5" t="s">
        <v>243</v>
      </c>
      <c r="F22" s="5" t="s">
        <v>242</v>
      </c>
      <c r="G22" s="5" t="s">
        <v>242</v>
      </c>
      <c r="H22" t="s">
        <v>655</v>
      </c>
      <c r="I22" t="s">
        <v>244</v>
      </c>
      <c r="J22" t="s">
        <v>244</v>
      </c>
      <c r="L22" t="s">
        <v>240</v>
      </c>
      <c r="M22" t="s">
        <v>9102</v>
      </c>
      <c r="N22" t="s">
        <v>9206</v>
      </c>
      <c r="O22" t="s">
        <v>9149</v>
      </c>
      <c r="U22" t="str">
        <f>_xlfn.LET(_xlpm.x, _xlfn.XLOOKUP(B22,Sheet3!N:N,Sheet3!C:C,""), IF(_xlpm.x=0,"",_xlpm.x))</f>
        <v>劳动合同</v>
      </c>
      <c r="V22" s="5" t="s">
        <v>4000</v>
      </c>
      <c r="X22" t="s">
        <v>4011</v>
      </c>
    </row>
    <row r="23" spans="1:24" ht="15.6" x14ac:dyDescent="0.25">
      <c r="A23" s="8" t="s">
        <v>2324</v>
      </c>
      <c r="B23" s="8" t="s">
        <v>2330</v>
      </c>
      <c r="C23" s="5" t="s">
        <v>8792</v>
      </c>
      <c r="E23" s="5" t="s">
        <v>243</v>
      </c>
      <c r="F23" s="5" t="s">
        <v>492</v>
      </c>
      <c r="G23" s="5" t="s">
        <v>492</v>
      </c>
      <c r="H23" t="s">
        <v>861</v>
      </c>
      <c r="I23" t="s">
        <v>244</v>
      </c>
      <c r="J23" t="s">
        <v>244</v>
      </c>
      <c r="L23" t="s">
        <v>1097</v>
      </c>
      <c r="M23" t="s">
        <v>9098</v>
      </c>
      <c r="N23" t="s">
        <v>9210</v>
      </c>
      <c r="O23" t="s">
        <v>9123</v>
      </c>
      <c r="U23" t="str">
        <f>_xlfn.LET(_xlpm.x, _xlfn.XLOOKUP(B23,Sheet3!N:N,Sheet3!C:C,""), IF(_xlpm.x=0,"",_xlpm.x))</f>
        <v>劳动合同</v>
      </c>
      <c r="V23" s="5" t="s">
        <v>1229</v>
      </c>
      <c r="X23" t="s">
        <v>3990</v>
      </c>
    </row>
    <row r="24" spans="1:24" ht="15.6" x14ac:dyDescent="0.25">
      <c r="A24" s="8" t="s">
        <v>2181</v>
      </c>
      <c r="B24" s="8" t="s">
        <v>2187</v>
      </c>
      <c r="C24" s="5" t="s">
        <v>8793</v>
      </c>
      <c r="E24" s="5" t="s">
        <v>243</v>
      </c>
      <c r="F24" s="5" t="s">
        <v>492</v>
      </c>
      <c r="G24" s="5" t="s">
        <v>242</v>
      </c>
      <c r="H24" t="s">
        <v>345</v>
      </c>
      <c r="I24" t="s">
        <v>346</v>
      </c>
      <c r="J24" t="s">
        <v>2184</v>
      </c>
      <c r="L24" t="s">
        <v>2183</v>
      </c>
      <c r="M24" t="s">
        <v>9098</v>
      </c>
      <c r="N24" t="s">
        <v>9213</v>
      </c>
      <c r="O24" t="s">
        <v>9119</v>
      </c>
      <c r="U24" t="str">
        <f>_xlfn.LET(_xlpm.x, _xlfn.XLOOKUP(B24,Sheet3!N:N,Sheet3!C:C,""), IF(_xlpm.x=0,"",_xlpm.x))</f>
        <v>劳动合同</v>
      </c>
      <c r="V24" s="5" t="s">
        <v>4000</v>
      </c>
      <c r="X24" t="s">
        <v>3990</v>
      </c>
    </row>
    <row r="25" spans="1:24" ht="15.6" x14ac:dyDescent="0.25">
      <c r="A25" s="8" t="s">
        <v>1583</v>
      </c>
      <c r="B25" s="8" t="s">
        <v>1591</v>
      </c>
      <c r="C25" s="5" t="s">
        <v>8794</v>
      </c>
      <c r="E25" s="5" t="s">
        <v>243</v>
      </c>
      <c r="F25" s="5" t="s">
        <v>242</v>
      </c>
      <c r="G25" s="5" t="s">
        <v>242</v>
      </c>
      <c r="H25" t="s">
        <v>1588</v>
      </c>
      <c r="I25" t="s">
        <v>244</v>
      </c>
      <c r="J25" t="s">
        <v>244</v>
      </c>
      <c r="L25" t="s">
        <v>1587</v>
      </c>
      <c r="M25" t="s">
        <v>9098</v>
      </c>
      <c r="N25" t="s">
        <v>9205</v>
      </c>
      <c r="O25" t="s">
        <v>9195</v>
      </c>
      <c r="U25" t="str">
        <f>_xlfn.LET(_xlpm.x, _xlfn.XLOOKUP(B25,Sheet3!N:N,Sheet3!C:C,""), IF(_xlpm.x=0,"",_xlpm.x))</f>
        <v>劳动合同</v>
      </c>
      <c r="V25" s="5" t="s">
        <v>1281</v>
      </c>
      <c r="X25" t="s">
        <v>3990</v>
      </c>
    </row>
    <row r="26" spans="1:24" ht="15.6" x14ac:dyDescent="0.25">
      <c r="A26" s="8" t="s">
        <v>2267</v>
      </c>
      <c r="B26" s="8" t="s">
        <v>2273</v>
      </c>
      <c r="C26" s="5" t="s">
        <v>8795</v>
      </c>
      <c r="E26" s="5" t="s">
        <v>243</v>
      </c>
      <c r="F26" s="5" t="s">
        <v>242</v>
      </c>
      <c r="G26" s="5" t="s">
        <v>242</v>
      </c>
      <c r="H26" t="s">
        <v>1967</v>
      </c>
      <c r="I26" t="s">
        <v>244</v>
      </c>
      <c r="J26" t="s">
        <v>244</v>
      </c>
      <c r="L26" t="s">
        <v>2271</v>
      </c>
      <c r="M26" t="s">
        <v>9098</v>
      </c>
      <c r="N26" t="s">
        <v>9214</v>
      </c>
      <c r="O26" t="s">
        <v>9187</v>
      </c>
      <c r="U26" t="str">
        <f>_xlfn.LET(_xlpm.x, _xlfn.XLOOKUP(B26,Sheet3!N:N,Sheet3!C:C,""), IF(_xlpm.x=0,"",_xlpm.x))</f>
        <v>劳动合同</v>
      </c>
      <c r="V26" s="5" t="s">
        <v>4000</v>
      </c>
      <c r="X26" t="s">
        <v>3990</v>
      </c>
    </row>
    <row r="27" spans="1:24" ht="15.6" x14ac:dyDescent="0.25">
      <c r="A27" s="8" t="s">
        <v>3462</v>
      </c>
      <c r="B27" s="8" t="s">
        <v>3467</v>
      </c>
      <c r="C27" s="5" t="s">
        <v>8796</v>
      </c>
      <c r="E27" s="5" t="s">
        <v>243</v>
      </c>
      <c r="F27" s="5" t="s">
        <v>242</v>
      </c>
      <c r="G27" s="5" t="s">
        <v>242</v>
      </c>
      <c r="H27" t="s">
        <v>1353</v>
      </c>
      <c r="I27" t="s">
        <v>244</v>
      </c>
      <c r="J27" t="s">
        <v>244</v>
      </c>
      <c r="L27" t="s">
        <v>2361</v>
      </c>
      <c r="M27" t="s">
        <v>9102</v>
      </c>
      <c r="N27" t="s">
        <v>9205</v>
      </c>
      <c r="O27" t="s">
        <v>9097</v>
      </c>
      <c r="U27" t="str">
        <f>_xlfn.LET(_xlpm.x, _xlfn.XLOOKUP(B27,Sheet3!N:N,Sheet3!C:C,""), IF(_xlpm.x=0,"",_xlpm.x))</f>
        <v>劳务协议</v>
      </c>
      <c r="V27" s="5" t="s">
        <v>4000</v>
      </c>
      <c r="X27" t="s">
        <v>4011</v>
      </c>
    </row>
    <row r="28" spans="1:24" ht="15.6" x14ac:dyDescent="0.25">
      <c r="A28" s="8" t="s">
        <v>2517</v>
      </c>
      <c r="B28" s="8" t="s">
        <v>2524</v>
      </c>
      <c r="C28" s="5" t="s">
        <v>8797</v>
      </c>
      <c r="E28" s="5" t="s">
        <v>243</v>
      </c>
      <c r="F28" s="5" t="s">
        <v>242</v>
      </c>
      <c r="G28" s="5" t="s">
        <v>242</v>
      </c>
      <c r="H28" t="s">
        <v>1588</v>
      </c>
      <c r="I28" t="s">
        <v>244</v>
      </c>
      <c r="J28" t="s">
        <v>244</v>
      </c>
      <c r="L28" t="s">
        <v>2521</v>
      </c>
      <c r="M28" t="s">
        <v>9112</v>
      </c>
      <c r="N28" t="s">
        <v>9208</v>
      </c>
      <c r="O28" t="s">
        <v>9124</v>
      </c>
      <c r="U28" t="str">
        <f>_xlfn.LET(_xlpm.x, _xlfn.XLOOKUP(B28,Sheet3!N:N,Sheet3!C:C,""), IF(_xlpm.x=0,"",_xlpm.x))</f>
        <v>劳动合同</v>
      </c>
      <c r="V28" s="5" t="s">
        <v>4000</v>
      </c>
      <c r="X28" t="s">
        <v>4011</v>
      </c>
    </row>
    <row r="29" spans="1:24" ht="15.6" x14ac:dyDescent="0.25">
      <c r="A29" s="8" t="s">
        <v>3245</v>
      </c>
      <c r="B29" s="8" t="s">
        <v>3249</v>
      </c>
      <c r="C29" s="5" t="s">
        <v>8798</v>
      </c>
      <c r="E29" s="5" t="s">
        <v>243</v>
      </c>
      <c r="F29" s="5" t="s">
        <v>242</v>
      </c>
      <c r="G29" s="5" t="s">
        <v>242</v>
      </c>
      <c r="H29" t="s">
        <v>298</v>
      </c>
      <c r="J29" t="s">
        <v>244</v>
      </c>
      <c r="K29" t="s">
        <v>320</v>
      </c>
      <c r="L29" t="s">
        <v>1444</v>
      </c>
      <c r="M29" t="s">
        <v>9098</v>
      </c>
      <c r="N29" t="s">
        <v>9209</v>
      </c>
      <c r="O29" t="s">
        <v>9105</v>
      </c>
      <c r="U29" t="str">
        <f>_xlfn.LET(_xlpm.x, _xlfn.XLOOKUP(B29,Sheet3!N:N,Sheet3!C:C,""), IF(_xlpm.x=0,"",_xlpm.x))</f>
        <v>劳动合同</v>
      </c>
      <c r="V29" s="5" t="s">
        <v>4000</v>
      </c>
      <c r="X29" t="s">
        <v>3990</v>
      </c>
    </row>
    <row r="30" spans="1:24" ht="15.6" x14ac:dyDescent="0.25">
      <c r="A30" s="8" t="s">
        <v>2816</v>
      </c>
      <c r="B30" s="8" t="s">
        <v>2822</v>
      </c>
      <c r="C30" s="5" t="s">
        <v>8799</v>
      </c>
      <c r="E30" s="5" t="s">
        <v>243</v>
      </c>
      <c r="F30" s="5" t="s">
        <v>242</v>
      </c>
      <c r="G30" s="5" t="s">
        <v>242</v>
      </c>
      <c r="H30" t="s">
        <v>420</v>
      </c>
      <c r="I30" t="s">
        <v>244</v>
      </c>
      <c r="J30" t="s">
        <v>244</v>
      </c>
      <c r="L30" t="s">
        <v>2819</v>
      </c>
      <c r="M30" t="s">
        <v>905</v>
      </c>
      <c r="N30" t="s">
        <v>9210</v>
      </c>
      <c r="O30" t="s">
        <v>9133</v>
      </c>
      <c r="U30" t="str">
        <f>_xlfn.LET(_xlpm.x, _xlfn.XLOOKUP(B30,Sheet3!N:N,Sheet3!C:C,""), IF(_xlpm.x=0,"",_xlpm.x))</f>
        <v>劳动合同</v>
      </c>
      <c r="V30" s="5" t="s">
        <v>4000</v>
      </c>
      <c r="X30" t="s">
        <v>3990</v>
      </c>
    </row>
    <row r="31" spans="1:24" ht="15.6" x14ac:dyDescent="0.25">
      <c r="A31" s="8" t="s">
        <v>1987</v>
      </c>
      <c r="B31" s="8" t="s">
        <v>1992</v>
      </c>
      <c r="C31" s="5" t="s">
        <v>8800</v>
      </c>
      <c r="E31" s="5" t="s">
        <v>243</v>
      </c>
      <c r="F31" s="5" t="s">
        <v>242</v>
      </c>
      <c r="G31" s="5" t="s">
        <v>242</v>
      </c>
      <c r="H31" t="s">
        <v>298</v>
      </c>
      <c r="J31" t="s">
        <v>244</v>
      </c>
      <c r="K31" t="s">
        <v>320</v>
      </c>
      <c r="L31" t="s">
        <v>1444</v>
      </c>
      <c r="M31" t="s">
        <v>905</v>
      </c>
      <c r="N31" t="s">
        <v>9209</v>
      </c>
      <c r="O31" t="s">
        <v>9099</v>
      </c>
      <c r="U31" t="str">
        <f>_xlfn.LET(_xlpm.x, _xlfn.XLOOKUP(B31,Sheet3!N:N,Sheet3!C:C,""), IF(_xlpm.x=0,"",_xlpm.x))</f>
        <v>劳动合同</v>
      </c>
      <c r="V31" s="5" t="s">
        <v>1281</v>
      </c>
      <c r="X31" t="s">
        <v>3990</v>
      </c>
    </row>
    <row r="32" spans="1:24" ht="15.6" x14ac:dyDescent="0.25">
      <c r="A32" s="8" t="s">
        <v>2106</v>
      </c>
      <c r="B32" s="8" t="s">
        <v>2113</v>
      </c>
      <c r="C32" s="5" t="s">
        <v>8801</v>
      </c>
      <c r="E32" s="5" t="s">
        <v>243</v>
      </c>
      <c r="F32" s="5" t="s">
        <v>242</v>
      </c>
      <c r="G32" s="5" t="s">
        <v>242</v>
      </c>
      <c r="H32" t="s">
        <v>459</v>
      </c>
      <c r="I32" t="s">
        <v>244</v>
      </c>
      <c r="J32" t="s">
        <v>244</v>
      </c>
      <c r="L32" t="s">
        <v>2110</v>
      </c>
      <c r="M32" t="s">
        <v>9101</v>
      </c>
      <c r="N32" t="s">
        <v>9210</v>
      </c>
      <c r="O32" t="s">
        <v>9122</v>
      </c>
      <c r="U32" t="str">
        <f>_xlfn.LET(_xlpm.x, _xlfn.XLOOKUP(B32,Sheet3!N:N,Sheet3!C:C,""), IF(_xlpm.x=0,"",_xlpm.x))</f>
        <v>劳动合同</v>
      </c>
      <c r="V32" s="5" t="s">
        <v>4000</v>
      </c>
      <c r="X32" t="s">
        <v>4011</v>
      </c>
    </row>
    <row r="33" spans="1:24" ht="15.6" x14ac:dyDescent="0.25">
      <c r="A33" s="8" t="s">
        <v>3015</v>
      </c>
      <c r="B33" s="8" t="s">
        <v>3021</v>
      </c>
      <c r="C33" s="5" t="s">
        <v>8802</v>
      </c>
      <c r="E33" s="5" t="s">
        <v>243</v>
      </c>
      <c r="F33" s="5" t="s">
        <v>242</v>
      </c>
      <c r="G33" s="5" t="s">
        <v>242</v>
      </c>
      <c r="H33" t="s">
        <v>1353</v>
      </c>
      <c r="I33" t="s">
        <v>244</v>
      </c>
      <c r="J33" t="s">
        <v>244</v>
      </c>
      <c r="L33" t="s">
        <v>3018</v>
      </c>
      <c r="M33" t="s">
        <v>9104</v>
      </c>
      <c r="N33" t="s">
        <v>9205</v>
      </c>
      <c r="O33" t="s">
        <v>9095</v>
      </c>
      <c r="U33" t="str">
        <f>_xlfn.LET(_xlpm.x, _xlfn.XLOOKUP(B33,Sheet3!N:N,Sheet3!C:C,""), IF(_xlpm.x=0,"",_xlpm.x))</f>
        <v>劳动合同</v>
      </c>
      <c r="V33" s="5" t="s">
        <v>4000</v>
      </c>
      <c r="X33" t="s">
        <v>4011</v>
      </c>
    </row>
    <row r="34" spans="1:24" ht="15.6" x14ac:dyDescent="0.25">
      <c r="A34" s="8" t="s">
        <v>1845</v>
      </c>
      <c r="B34" s="8" t="s">
        <v>1850</v>
      </c>
      <c r="C34" s="5" t="s">
        <v>8803</v>
      </c>
      <c r="E34" s="5" t="s">
        <v>243</v>
      </c>
      <c r="F34" s="5" t="s">
        <v>492</v>
      </c>
      <c r="G34" s="5" t="s">
        <v>492</v>
      </c>
      <c r="H34" t="s">
        <v>491</v>
      </c>
      <c r="I34" t="s">
        <v>244</v>
      </c>
      <c r="J34" t="s">
        <v>244</v>
      </c>
      <c r="L34" t="s">
        <v>1848</v>
      </c>
      <c r="M34" t="s">
        <v>905</v>
      </c>
      <c r="N34" t="s">
        <v>9210</v>
      </c>
      <c r="O34" t="s">
        <v>9133</v>
      </c>
      <c r="U34" t="str">
        <f>_xlfn.LET(_xlpm.x, _xlfn.XLOOKUP(B34,Sheet3!N:N,Sheet3!C:C,""), IF(_xlpm.x=0,"",_xlpm.x))</f>
        <v>劳动合同</v>
      </c>
      <c r="V34" s="5" t="s">
        <v>1166</v>
      </c>
      <c r="X34" t="s">
        <v>3990</v>
      </c>
    </row>
    <row r="35" spans="1:24" ht="15.6" x14ac:dyDescent="0.25">
      <c r="A35" s="8" t="s">
        <v>3582</v>
      </c>
      <c r="B35" s="8" t="s">
        <v>3589</v>
      </c>
      <c r="C35" s="5" t="s">
        <v>8804</v>
      </c>
      <c r="E35" s="5" t="s">
        <v>243</v>
      </c>
      <c r="F35" s="5" t="s">
        <v>242</v>
      </c>
      <c r="G35" s="5" t="s">
        <v>242</v>
      </c>
      <c r="H35" t="s">
        <v>1353</v>
      </c>
      <c r="I35" t="s">
        <v>244</v>
      </c>
      <c r="J35" t="s">
        <v>244</v>
      </c>
      <c r="L35" t="s">
        <v>3586</v>
      </c>
      <c r="M35" t="s">
        <v>9113</v>
      </c>
      <c r="N35" t="s">
        <v>9208</v>
      </c>
      <c r="O35" t="s">
        <v>9094</v>
      </c>
      <c r="U35" t="str">
        <f>_xlfn.LET(_xlpm.x, _xlfn.XLOOKUP(B35,Sheet3!N:N,Sheet3!C:C,""), IF(_xlpm.x=0,"",_xlpm.x))</f>
        <v>劳务协议</v>
      </c>
      <c r="V35" s="5" t="s">
        <v>4000</v>
      </c>
      <c r="X35" t="s">
        <v>4011</v>
      </c>
    </row>
    <row r="36" spans="1:24" ht="15.6" x14ac:dyDescent="0.25">
      <c r="A36" s="8" t="s">
        <v>3552</v>
      </c>
      <c r="B36" s="8" t="s">
        <v>3557</v>
      </c>
      <c r="C36" s="5" t="s">
        <v>8805</v>
      </c>
      <c r="E36" s="5" t="s">
        <v>243</v>
      </c>
      <c r="F36" s="5" t="s">
        <v>242</v>
      </c>
      <c r="G36" s="5" t="s">
        <v>242</v>
      </c>
      <c r="H36" t="s">
        <v>376</v>
      </c>
      <c r="I36" t="s">
        <v>244</v>
      </c>
      <c r="J36" t="s">
        <v>244</v>
      </c>
      <c r="L36" t="s">
        <v>997</v>
      </c>
      <c r="M36" t="s">
        <v>9102</v>
      </c>
      <c r="N36" t="s">
        <v>9212</v>
      </c>
      <c r="O36" t="s">
        <v>9111</v>
      </c>
      <c r="U36" t="str">
        <f>_xlfn.LET(_xlpm.x, _xlfn.XLOOKUP(B36,Sheet3!N:N,Sheet3!C:C,""), IF(_xlpm.x=0,"",_xlpm.x))</f>
        <v>劳务协议</v>
      </c>
      <c r="V36" s="5" t="s">
        <v>4000</v>
      </c>
      <c r="X36" t="s">
        <v>4011</v>
      </c>
    </row>
    <row r="37" spans="1:24" ht="15.6" x14ac:dyDescent="0.25">
      <c r="A37" s="8" t="s">
        <v>2663</v>
      </c>
      <c r="B37" s="8" t="s">
        <v>2667</v>
      </c>
      <c r="C37" s="5" t="s">
        <v>8806</v>
      </c>
      <c r="E37" s="5" t="s">
        <v>243</v>
      </c>
      <c r="F37" s="5" t="s">
        <v>492</v>
      </c>
      <c r="G37" s="5" t="s">
        <v>492</v>
      </c>
      <c r="H37" t="s">
        <v>553</v>
      </c>
      <c r="I37" t="s">
        <v>244</v>
      </c>
      <c r="J37" t="s">
        <v>244</v>
      </c>
      <c r="L37" t="s">
        <v>551</v>
      </c>
      <c r="M37" t="s">
        <v>61</v>
      </c>
      <c r="N37" t="s">
        <v>9207</v>
      </c>
      <c r="O37" t="s">
        <v>9177</v>
      </c>
      <c r="U37" t="str">
        <f>_xlfn.LET(_xlpm.x, _xlfn.XLOOKUP(B37,Sheet3!N:N,Sheet3!C:C,""), IF(_xlpm.x=0,"",_xlpm.x))</f>
        <v>劳动合同</v>
      </c>
      <c r="V37" s="5" t="s">
        <v>4000</v>
      </c>
      <c r="X37" t="s">
        <v>3990</v>
      </c>
    </row>
    <row r="38" spans="1:24" ht="15.6" x14ac:dyDescent="0.25">
      <c r="A38" s="8" t="s">
        <v>3202</v>
      </c>
      <c r="B38" s="8" t="s">
        <v>3205</v>
      </c>
      <c r="C38" s="5" t="s">
        <v>8807</v>
      </c>
      <c r="E38" s="5" t="s">
        <v>243</v>
      </c>
      <c r="F38" s="5" t="s">
        <v>492</v>
      </c>
      <c r="G38" s="5" t="s">
        <v>242</v>
      </c>
      <c r="H38" t="s">
        <v>345</v>
      </c>
      <c r="I38" t="s">
        <v>346</v>
      </c>
      <c r="J38" t="s">
        <v>344</v>
      </c>
      <c r="L38" t="s">
        <v>2827</v>
      </c>
      <c r="M38" t="s">
        <v>9106</v>
      </c>
      <c r="N38" t="s">
        <v>9215</v>
      </c>
      <c r="O38" t="s">
        <v>9158</v>
      </c>
      <c r="U38" t="str">
        <f>_xlfn.LET(_xlpm.x, _xlfn.XLOOKUP(B38,Sheet3!N:N,Sheet3!C:C,""), IF(_xlpm.x=0,"",_xlpm.x))</f>
        <v>劳动合同</v>
      </c>
      <c r="V38" s="5" t="s">
        <v>4000</v>
      </c>
      <c r="X38" t="s">
        <v>3990</v>
      </c>
    </row>
    <row r="39" spans="1:24" ht="15.6" x14ac:dyDescent="0.25">
      <c r="A39" s="8" t="s">
        <v>3606</v>
      </c>
      <c r="B39" s="8" t="s">
        <v>3612</v>
      </c>
      <c r="C39" s="5" t="s">
        <v>8808</v>
      </c>
      <c r="E39" s="5" t="s">
        <v>243</v>
      </c>
      <c r="F39" s="5" t="s">
        <v>242</v>
      </c>
      <c r="G39" s="5" t="s">
        <v>242</v>
      </c>
      <c r="H39" t="s">
        <v>244</v>
      </c>
      <c r="I39" t="s">
        <v>244</v>
      </c>
      <c r="J39" t="s">
        <v>244</v>
      </c>
      <c r="L39" t="s">
        <v>3610</v>
      </c>
      <c r="M39" t="s">
        <v>9117</v>
      </c>
      <c r="N39" t="s">
        <v>9216</v>
      </c>
      <c r="O39" t="s">
        <v>9140</v>
      </c>
      <c r="U39" t="str">
        <f>_xlfn.LET(_xlpm.x, _xlfn.XLOOKUP(B39,Sheet3!N:N,Sheet3!C:C,""), IF(_xlpm.x=0,"",_xlpm.x))</f>
        <v>劳动合同</v>
      </c>
      <c r="V39" s="5" t="s">
        <v>4000</v>
      </c>
      <c r="X39" t="s">
        <v>4011</v>
      </c>
    </row>
    <row r="40" spans="1:24" ht="15.6" x14ac:dyDescent="0.25">
      <c r="A40" s="8" t="s">
        <v>1312</v>
      </c>
      <c r="B40" s="8" t="s">
        <v>1320</v>
      </c>
      <c r="C40" s="5" t="s">
        <v>8809</v>
      </c>
      <c r="E40" s="5" t="s">
        <v>243</v>
      </c>
      <c r="F40" s="5" t="s">
        <v>242</v>
      </c>
      <c r="G40" s="5" t="s">
        <v>242</v>
      </c>
      <c r="H40" t="s">
        <v>298</v>
      </c>
      <c r="J40" t="s">
        <v>244</v>
      </c>
      <c r="K40" t="s">
        <v>320</v>
      </c>
      <c r="L40" t="s">
        <v>1317</v>
      </c>
      <c r="U40" t="str">
        <f>_xlfn.LET(_xlpm.x, _xlfn.XLOOKUP(B40,Sheet3!N:N,Sheet3!C:C,""), IF(_xlpm.x=0,"",_xlpm.x))</f>
        <v>劳务协议</v>
      </c>
      <c r="V40" s="5" t="s">
        <v>7544</v>
      </c>
      <c r="X40" t="s">
        <v>3990</v>
      </c>
    </row>
    <row r="41" spans="1:24" ht="15.6" x14ac:dyDescent="0.25">
      <c r="A41" s="8" t="s">
        <v>902</v>
      </c>
      <c r="B41" s="8" t="s">
        <v>907</v>
      </c>
      <c r="C41" s="5" t="s">
        <v>8810</v>
      </c>
      <c r="E41" s="5" t="s">
        <v>243</v>
      </c>
      <c r="F41" s="5" t="s">
        <v>242</v>
      </c>
      <c r="G41" s="5" t="s">
        <v>242</v>
      </c>
      <c r="H41" t="s">
        <v>459</v>
      </c>
      <c r="I41" t="s">
        <v>878</v>
      </c>
      <c r="J41" t="s">
        <v>244</v>
      </c>
      <c r="L41" t="s">
        <v>904</v>
      </c>
      <c r="M41" t="s">
        <v>9098</v>
      </c>
      <c r="N41" t="s">
        <v>9217</v>
      </c>
      <c r="O41" t="s">
        <v>9178</v>
      </c>
      <c r="U41" t="str">
        <f>_xlfn.LET(_xlpm.x, _xlfn.XLOOKUP(B41,Sheet3!N:N,Sheet3!C:C,""), IF(_xlpm.x=0,"",_xlpm.x))</f>
        <v>劳动合同</v>
      </c>
      <c r="V41" s="5" t="s">
        <v>912</v>
      </c>
      <c r="X41" t="s">
        <v>3990</v>
      </c>
    </row>
    <row r="42" spans="1:24" ht="15.6" x14ac:dyDescent="0.25">
      <c r="A42" s="8" t="s">
        <v>412</v>
      </c>
      <c r="B42" s="8" t="s">
        <v>424</v>
      </c>
      <c r="C42" s="5" t="s">
        <v>8811</v>
      </c>
      <c r="E42" s="5" t="s">
        <v>243</v>
      </c>
      <c r="F42" s="5" t="s">
        <v>242</v>
      </c>
      <c r="G42" s="5" t="s">
        <v>242</v>
      </c>
      <c r="H42" t="s">
        <v>420</v>
      </c>
      <c r="I42" t="s">
        <v>244</v>
      </c>
      <c r="J42" t="s">
        <v>244</v>
      </c>
      <c r="L42" t="s">
        <v>419</v>
      </c>
      <c r="M42" t="s">
        <v>905</v>
      </c>
      <c r="N42" t="s">
        <v>9210</v>
      </c>
      <c r="O42" t="s">
        <v>9133</v>
      </c>
      <c r="U42" t="str">
        <f>_xlfn.LET(_xlpm.x, _xlfn.XLOOKUP(B42,Sheet3!N:N,Sheet3!C:C,""), IF(_xlpm.x=0,"",_xlpm.x))</f>
        <v>劳动合同</v>
      </c>
      <c r="V42" s="5" t="s">
        <v>431</v>
      </c>
      <c r="X42" t="s">
        <v>4011</v>
      </c>
    </row>
    <row r="43" spans="1:24" ht="15.6" x14ac:dyDescent="0.25">
      <c r="A43" s="8" t="s">
        <v>2020</v>
      </c>
      <c r="B43" s="8" t="s">
        <v>2027</v>
      </c>
      <c r="C43" s="5" t="s">
        <v>8812</v>
      </c>
      <c r="E43" s="5" t="s">
        <v>243</v>
      </c>
      <c r="F43" s="5" t="s">
        <v>242</v>
      </c>
      <c r="G43" s="5" t="s">
        <v>242</v>
      </c>
      <c r="H43" t="s">
        <v>1967</v>
      </c>
      <c r="I43" t="s">
        <v>244</v>
      </c>
      <c r="J43" t="s">
        <v>244</v>
      </c>
      <c r="L43" t="s">
        <v>2024</v>
      </c>
      <c r="M43" t="s">
        <v>2152</v>
      </c>
      <c r="N43" t="s">
        <v>9218</v>
      </c>
      <c r="O43" t="s">
        <v>9190</v>
      </c>
      <c r="U43" t="str">
        <f>_xlfn.LET(_xlpm.x, _xlfn.XLOOKUP(B43,Sheet3!N:N,Sheet3!C:C,""), IF(_xlpm.x=0,"",_xlpm.x))</f>
        <v>劳务协议</v>
      </c>
      <c r="V43" s="5" t="s">
        <v>1478</v>
      </c>
      <c r="X43" t="s">
        <v>4011</v>
      </c>
    </row>
    <row r="44" spans="1:24" ht="15.6" x14ac:dyDescent="0.25">
      <c r="A44" s="8" t="s">
        <v>3473</v>
      </c>
      <c r="B44" s="8" t="s">
        <v>3477</v>
      </c>
      <c r="C44" s="5" t="s">
        <v>8813</v>
      </c>
      <c r="E44" s="5" t="s">
        <v>243</v>
      </c>
      <c r="F44" s="5" t="s">
        <v>492</v>
      </c>
      <c r="G44" s="5" t="s">
        <v>492</v>
      </c>
      <c r="H44" t="s">
        <v>553</v>
      </c>
      <c r="I44" t="s">
        <v>244</v>
      </c>
      <c r="J44" t="s">
        <v>244</v>
      </c>
      <c r="L44" t="s">
        <v>551</v>
      </c>
      <c r="M44" t="s">
        <v>58</v>
      </c>
      <c r="N44" t="s">
        <v>9207</v>
      </c>
      <c r="O44" t="s">
        <v>9159</v>
      </c>
      <c r="U44" t="str">
        <f>_xlfn.LET(_xlpm.x, _xlfn.XLOOKUP(B44,Sheet3!N:N,Sheet3!C:C,""), IF(_xlpm.x=0,"",_xlpm.x))</f>
        <v>劳动合同</v>
      </c>
      <c r="V44" s="5" t="s">
        <v>4000</v>
      </c>
      <c r="X44" t="s">
        <v>4011</v>
      </c>
    </row>
    <row r="45" spans="1:24" ht="15.6" x14ac:dyDescent="0.25">
      <c r="A45" s="8" t="s">
        <v>3404</v>
      </c>
      <c r="B45" s="8" t="s">
        <v>3409</v>
      </c>
      <c r="C45" s="5" t="s">
        <v>8814</v>
      </c>
      <c r="E45" s="5" t="s">
        <v>243</v>
      </c>
      <c r="F45" s="5" t="s">
        <v>492</v>
      </c>
      <c r="G45" s="5" t="s">
        <v>242</v>
      </c>
      <c r="H45" t="s">
        <v>345</v>
      </c>
      <c r="I45" t="s">
        <v>346</v>
      </c>
      <c r="J45" t="s">
        <v>1740</v>
      </c>
      <c r="L45" t="s">
        <v>3407</v>
      </c>
      <c r="M45" t="s">
        <v>905</v>
      </c>
      <c r="N45" t="s">
        <v>9211</v>
      </c>
      <c r="O45" t="s">
        <v>9163</v>
      </c>
      <c r="U45" t="str">
        <f>_xlfn.LET(_xlpm.x, _xlfn.XLOOKUP(B45,Sheet3!N:N,Sheet3!C:C,""), IF(_xlpm.x=0,"",_xlpm.x))</f>
        <v>劳动合同</v>
      </c>
      <c r="V45" s="5" t="s">
        <v>4000</v>
      </c>
      <c r="X45" t="s">
        <v>4011</v>
      </c>
    </row>
    <row r="46" spans="1:24" ht="15.6" x14ac:dyDescent="0.25">
      <c r="A46" s="8" t="s">
        <v>3513</v>
      </c>
      <c r="B46" s="8" t="s">
        <v>3518</v>
      </c>
      <c r="C46" s="5" t="s">
        <v>8815</v>
      </c>
      <c r="E46" s="5" t="s">
        <v>243</v>
      </c>
      <c r="F46" s="5" t="s">
        <v>492</v>
      </c>
      <c r="G46" s="5" t="s">
        <v>492</v>
      </c>
      <c r="H46" t="s">
        <v>553</v>
      </c>
      <c r="I46" t="s">
        <v>244</v>
      </c>
      <c r="J46" t="s">
        <v>244</v>
      </c>
      <c r="L46" t="s">
        <v>3516</v>
      </c>
      <c r="M46" t="s">
        <v>9102</v>
      </c>
      <c r="N46" t="s">
        <v>9213</v>
      </c>
      <c r="O46" t="s">
        <v>9172</v>
      </c>
      <c r="U46" t="str">
        <f>_xlfn.LET(_xlpm.x, _xlfn.XLOOKUP(B46,Sheet3!N:N,Sheet3!C:C,""), IF(_xlpm.x=0,"",_xlpm.x))</f>
        <v>劳动合同</v>
      </c>
      <c r="V46" s="5" t="s">
        <v>4000</v>
      </c>
      <c r="X46" t="s">
        <v>4011</v>
      </c>
    </row>
    <row r="47" spans="1:24" ht="15.6" x14ac:dyDescent="0.25">
      <c r="A47" s="8" t="s">
        <v>3452</v>
      </c>
      <c r="B47" s="8" t="s">
        <v>3456</v>
      </c>
      <c r="C47" s="5" t="s">
        <v>8816</v>
      </c>
      <c r="E47" s="5" t="s">
        <v>243</v>
      </c>
      <c r="F47" s="5" t="s">
        <v>492</v>
      </c>
      <c r="G47" s="5" t="s">
        <v>242</v>
      </c>
      <c r="H47" t="s">
        <v>345</v>
      </c>
      <c r="I47" t="s">
        <v>346</v>
      </c>
      <c r="J47" t="s">
        <v>344</v>
      </c>
      <c r="L47" t="s">
        <v>1739</v>
      </c>
      <c r="M47" t="s">
        <v>61</v>
      </c>
      <c r="N47" t="s">
        <v>9213</v>
      </c>
      <c r="O47" t="s">
        <v>9162</v>
      </c>
      <c r="U47" t="str">
        <f>_xlfn.LET(_xlpm.x, _xlfn.XLOOKUP(B47,Sheet3!N:N,Sheet3!C:C,""), IF(_xlpm.x=0,"",_xlpm.x))</f>
        <v>劳动合同</v>
      </c>
      <c r="V47" s="5" t="s">
        <v>4000</v>
      </c>
      <c r="X47" t="s">
        <v>3990</v>
      </c>
    </row>
    <row r="48" spans="1:24" ht="15.6" x14ac:dyDescent="0.25">
      <c r="A48" s="8" t="s">
        <v>3433</v>
      </c>
      <c r="B48" s="8" t="s">
        <v>3438</v>
      </c>
      <c r="C48" s="5" t="s">
        <v>8817</v>
      </c>
      <c r="E48" s="5" t="s">
        <v>243</v>
      </c>
      <c r="F48" s="5" t="s">
        <v>492</v>
      </c>
      <c r="G48" s="5" t="s">
        <v>242</v>
      </c>
      <c r="H48" t="s">
        <v>345</v>
      </c>
      <c r="I48" t="s">
        <v>346</v>
      </c>
      <c r="J48" t="s">
        <v>344</v>
      </c>
      <c r="L48" t="s">
        <v>3122</v>
      </c>
      <c r="M48" t="s">
        <v>9108</v>
      </c>
      <c r="N48" t="s">
        <v>9215</v>
      </c>
      <c r="O48" t="s">
        <v>9165</v>
      </c>
      <c r="U48" t="str">
        <f>_xlfn.LET(_xlpm.x, _xlfn.XLOOKUP(B48,Sheet3!N:N,Sheet3!C:C,""), IF(_xlpm.x=0,"",_xlpm.x))</f>
        <v>劳动合同</v>
      </c>
      <c r="V48" s="5" t="s">
        <v>663</v>
      </c>
      <c r="X48" t="s">
        <v>3990</v>
      </c>
    </row>
    <row r="49" spans="1:24" ht="15.6" x14ac:dyDescent="0.25">
      <c r="A49" s="8" t="s">
        <v>2852</v>
      </c>
      <c r="B49" s="8" t="s">
        <v>2856</v>
      </c>
      <c r="C49" s="5" t="s">
        <v>8818</v>
      </c>
      <c r="E49" s="5" t="s">
        <v>243</v>
      </c>
      <c r="F49" s="5" t="s">
        <v>492</v>
      </c>
      <c r="G49" s="5" t="s">
        <v>242</v>
      </c>
      <c r="H49" t="s">
        <v>345</v>
      </c>
      <c r="I49" t="s">
        <v>346</v>
      </c>
      <c r="J49" t="s">
        <v>344</v>
      </c>
      <c r="L49" t="s">
        <v>574</v>
      </c>
      <c r="M49" t="s">
        <v>9106</v>
      </c>
      <c r="N49" t="s">
        <v>9215</v>
      </c>
      <c r="O49" t="s">
        <v>9158</v>
      </c>
      <c r="U49" t="str">
        <f>_xlfn.LET(_xlpm.x, _xlfn.XLOOKUP(B49,Sheet3!N:N,Sheet3!C:C,""), IF(_xlpm.x=0,"",_xlpm.x))</f>
        <v>劳动合同</v>
      </c>
      <c r="V49" s="5" t="s">
        <v>4000</v>
      </c>
      <c r="X49" t="s">
        <v>4011</v>
      </c>
    </row>
    <row r="50" spans="1:24" ht="15.6" x14ac:dyDescent="0.25">
      <c r="A50" s="8" t="s">
        <v>2142</v>
      </c>
      <c r="B50" s="8" t="s">
        <v>2147</v>
      </c>
      <c r="C50" s="5" t="s">
        <v>8819</v>
      </c>
      <c r="E50" s="5" t="s">
        <v>243</v>
      </c>
      <c r="F50" s="5" t="s">
        <v>242</v>
      </c>
      <c r="G50" s="5" t="s">
        <v>242</v>
      </c>
      <c r="H50" t="s">
        <v>524</v>
      </c>
      <c r="I50" t="s">
        <v>244</v>
      </c>
      <c r="J50" t="s">
        <v>244</v>
      </c>
      <c r="L50" t="s">
        <v>2144</v>
      </c>
      <c r="M50" t="s">
        <v>9101</v>
      </c>
      <c r="N50" t="s">
        <v>9211</v>
      </c>
      <c r="O50" t="s">
        <v>9118</v>
      </c>
      <c r="U50" t="str">
        <f>_xlfn.LET(_xlpm.x, _xlfn.XLOOKUP(B50,Sheet3!N:N,Sheet3!C:C,""), IF(_xlpm.x=0,"",_xlpm.x))</f>
        <v>劳动合同</v>
      </c>
      <c r="V50" s="5" t="s">
        <v>2151</v>
      </c>
      <c r="X50" t="s">
        <v>4011</v>
      </c>
    </row>
    <row r="51" spans="1:24" ht="15.6" x14ac:dyDescent="0.25">
      <c r="A51" s="8" t="s">
        <v>664</v>
      </c>
      <c r="B51" s="8" t="s">
        <v>679</v>
      </c>
      <c r="C51" s="5" t="s">
        <v>8820</v>
      </c>
      <c r="E51" s="5" t="s">
        <v>243</v>
      </c>
      <c r="F51" s="5" t="s">
        <v>242</v>
      </c>
      <c r="G51" s="5" t="s">
        <v>242</v>
      </c>
      <c r="H51" t="s">
        <v>672</v>
      </c>
      <c r="I51" t="s">
        <v>244</v>
      </c>
      <c r="J51" t="s">
        <v>244</v>
      </c>
      <c r="L51" t="s">
        <v>671</v>
      </c>
      <c r="M51" t="s">
        <v>2152</v>
      </c>
      <c r="N51" t="s">
        <v>9211</v>
      </c>
      <c r="O51" t="s">
        <v>9103</v>
      </c>
      <c r="U51" t="str">
        <f>_xlfn.LET(_xlpm.x, _xlfn.XLOOKUP(B51,Sheet3!N:N,Sheet3!C:C,""), IF(_xlpm.x=0,"",_xlpm.x))</f>
        <v>劳动合同</v>
      </c>
      <c r="V51" s="5" t="s">
        <v>1311</v>
      </c>
      <c r="X51" t="s">
        <v>4011</v>
      </c>
    </row>
    <row r="52" spans="1:24" ht="15.6" x14ac:dyDescent="0.25">
      <c r="A52" s="8" t="s">
        <v>1616</v>
      </c>
      <c r="B52" s="8" t="s">
        <v>1623</v>
      </c>
      <c r="C52" s="5" t="s">
        <v>8821</v>
      </c>
      <c r="E52" s="5" t="s">
        <v>243</v>
      </c>
      <c r="F52" s="5" t="s">
        <v>242</v>
      </c>
      <c r="G52" s="5" t="s">
        <v>242</v>
      </c>
      <c r="H52" t="s">
        <v>244</v>
      </c>
      <c r="I52" t="s">
        <v>244</v>
      </c>
      <c r="J52" t="s">
        <v>244</v>
      </c>
      <c r="L52" t="s">
        <v>1620</v>
      </c>
      <c r="M52" t="s">
        <v>393</v>
      </c>
      <c r="N52" t="s">
        <v>9216</v>
      </c>
      <c r="O52" t="s">
        <v>9093</v>
      </c>
      <c r="U52" t="str">
        <f>_xlfn.LET(_xlpm.x, _xlfn.XLOOKUP(B52,Sheet3!N:N,Sheet3!C:C,""), IF(_xlpm.x=0,"",_xlpm.x))</f>
        <v>劳务协议</v>
      </c>
      <c r="V52" s="5" t="s">
        <v>4000</v>
      </c>
      <c r="X52" t="s">
        <v>3990</v>
      </c>
    </row>
    <row r="53" spans="1:24" ht="15.6" x14ac:dyDescent="0.25">
      <c r="A53" s="8" t="s">
        <v>3572</v>
      </c>
      <c r="B53" s="8" t="s">
        <v>3577</v>
      </c>
      <c r="C53" s="5" t="s">
        <v>8822</v>
      </c>
      <c r="E53" s="5" t="s">
        <v>243</v>
      </c>
      <c r="F53" s="5" t="s">
        <v>242</v>
      </c>
      <c r="G53" s="5" t="s">
        <v>242</v>
      </c>
      <c r="H53" t="s">
        <v>1353</v>
      </c>
      <c r="I53" t="s">
        <v>244</v>
      </c>
      <c r="J53" t="s">
        <v>244</v>
      </c>
      <c r="L53" t="s">
        <v>3575</v>
      </c>
      <c r="M53" t="s">
        <v>9104</v>
      </c>
      <c r="N53" t="s">
        <v>9205</v>
      </c>
      <c r="O53" t="s">
        <v>9095</v>
      </c>
      <c r="U53" t="str">
        <f>_xlfn.LET(_xlpm.x, _xlfn.XLOOKUP(B53,Sheet3!N:N,Sheet3!C:C,""), IF(_xlpm.x=0,"",_xlpm.x))</f>
        <v>劳动合同</v>
      </c>
      <c r="V53" s="5" t="s">
        <v>4000</v>
      </c>
      <c r="X53" t="s">
        <v>4011</v>
      </c>
    </row>
    <row r="54" spans="1:24" ht="15.6" x14ac:dyDescent="0.25">
      <c r="A54" s="8" t="s">
        <v>3005</v>
      </c>
      <c r="B54" s="8" t="s">
        <v>3009</v>
      </c>
      <c r="C54" s="5" t="s">
        <v>8823</v>
      </c>
      <c r="E54" s="5" t="s">
        <v>243</v>
      </c>
      <c r="F54" s="5" t="s">
        <v>256</v>
      </c>
      <c r="G54" s="5" t="s">
        <v>256</v>
      </c>
      <c r="H54" t="s">
        <v>635</v>
      </c>
      <c r="I54" t="s">
        <v>244</v>
      </c>
      <c r="J54" t="s">
        <v>244</v>
      </c>
      <c r="L54" t="s">
        <v>1796</v>
      </c>
      <c r="M54" t="s">
        <v>2152</v>
      </c>
      <c r="N54" t="s">
        <v>9214</v>
      </c>
      <c r="O54" t="s">
        <v>9126</v>
      </c>
      <c r="U54" t="str">
        <f>_xlfn.LET(_xlpm.x, _xlfn.XLOOKUP(B54,Sheet3!N:N,Sheet3!C:C,""), IF(_xlpm.x=0,"",_xlpm.x))</f>
        <v>劳动合同</v>
      </c>
      <c r="V54" s="5" t="s">
        <v>4000</v>
      </c>
      <c r="X54" t="s">
        <v>4011</v>
      </c>
    </row>
    <row r="55" spans="1:24" ht="15.6" x14ac:dyDescent="0.25">
      <c r="A55" s="8" t="s">
        <v>2846</v>
      </c>
      <c r="B55" s="8" t="s">
        <v>2850</v>
      </c>
      <c r="C55" s="5" t="s">
        <v>8824</v>
      </c>
      <c r="E55" s="5" t="s">
        <v>243</v>
      </c>
      <c r="F55" s="5" t="s">
        <v>242</v>
      </c>
      <c r="G55" s="5" t="s">
        <v>242</v>
      </c>
      <c r="H55" t="s">
        <v>298</v>
      </c>
      <c r="J55" t="s">
        <v>244</v>
      </c>
      <c r="K55" t="s">
        <v>297</v>
      </c>
      <c r="L55" t="s">
        <v>296</v>
      </c>
      <c r="M55" t="s">
        <v>245</v>
      </c>
      <c r="N55" t="s">
        <v>9219</v>
      </c>
      <c r="O55" t="s">
        <v>9179</v>
      </c>
      <c r="U55" t="str">
        <f>_xlfn.LET(_xlpm.x, _xlfn.XLOOKUP(B55,Sheet3!N:N,Sheet3!C:C,""), IF(_xlpm.x=0,"",_xlpm.x))</f>
        <v>劳动合同</v>
      </c>
      <c r="V55" s="5" t="s">
        <v>1478</v>
      </c>
      <c r="X55" t="s">
        <v>3990</v>
      </c>
    </row>
    <row r="56" spans="1:24" ht="15.6" x14ac:dyDescent="0.25">
      <c r="A56" s="8" t="s">
        <v>527</v>
      </c>
      <c r="B56" s="8" t="s">
        <v>538</v>
      </c>
      <c r="C56" s="5" t="s">
        <v>8825</v>
      </c>
      <c r="E56" s="5" t="s">
        <v>243</v>
      </c>
      <c r="F56" s="5" t="s">
        <v>242</v>
      </c>
      <c r="G56" s="5" t="s">
        <v>242</v>
      </c>
      <c r="H56" t="s">
        <v>533</v>
      </c>
      <c r="I56" t="s">
        <v>244</v>
      </c>
      <c r="J56" t="s">
        <v>244</v>
      </c>
      <c r="L56" t="s">
        <v>477</v>
      </c>
      <c r="M56" t="s">
        <v>2152</v>
      </c>
      <c r="N56" t="s">
        <v>9220</v>
      </c>
      <c r="O56" t="s">
        <v>9138</v>
      </c>
      <c r="U56" t="str">
        <f>_xlfn.LET(_xlpm.x, _xlfn.XLOOKUP(B56,Sheet3!N:N,Sheet3!C:C,""), IF(_xlpm.x=0,"",_xlpm.x))</f>
        <v>劳动合同</v>
      </c>
      <c r="V56" s="5" t="s">
        <v>547</v>
      </c>
      <c r="X56" t="s">
        <v>4011</v>
      </c>
    </row>
    <row r="57" spans="1:24" ht="15.6" x14ac:dyDescent="0.25">
      <c r="A57" s="8" t="s">
        <v>3256</v>
      </c>
      <c r="B57" s="8" t="s">
        <v>3262</v>
      </c>
      <c r="C57" s="5" t="s">
        <v>8826</v>
      </c>
      <c r="E57" s="5" t="s">
        <v>243</v>
      </c>
      <c r="F57" s="5" t="s">
        <v>492</v>
      </c>
      <c r="G57" s="5" t="s">
        <v>242</v>
      </c>
      <c r="H57" t="s">
        <v>345</v>
      </c>
      <c r="I57" t="s">
        <v>346</v>
      </c>
      <c r="J57" t="s">
        <v>344</v>
      </c>
      <c r="L57" t="s">
        <v>3259</v>
      </c>
      <c r="M57" t="s">
        <v>9104</v>
      </c>
      <c r="N57" t="s">
        <v>9215</v>
      </c>
      <c r="O57" t="s">
        <v>9164</v>
      </c>
      <c r="U57" t="str">
        <f>_xlfn.LET(_xlpm.x, _xlfn.XLOOKUP(B57,Sheet3!N:N,Sheet3!C:C,""), IF(_xlpm.x=0,"",_xlpm.x))</f>
        <v>劳动合同</v>
      </c>
      <c r="V57" s="5" t="s">
        <v>663</v>
      </c>
      <c r="X57" t="s">
        <v>3990</v>
      </c>
    </row>
    <row r="58" spans="1:24" ht="15.6" x14ac:dyDescent="0.25">
      <c r="A58" s="8" t="s">
        <v>1901</v>
      </c>
      <c r="B58" s="8" t="s">
        <v>1905</v>
      </c>
      <c r="C58" s="5" t="s">
        <v>8827</v>
      </c>
      <c r="E58" s="5" t="s">
        <v>243</v>
      </c>
      <c r="F58" s="5" t="s">
        <v>242</v>
      </c>
      <c r="G58" s="5" t="s">
        <v>242</v>
      </c>
      <c r="H58" t="s">
        <v>241</v>
      </c>
      <c r="I58" t="s">
        <v>244</v>
      </c>
      <c r="J58" t="s">
        <v>244</v>
      </c>
      <c r="L58" t="s">
        <v>733</v>
      </c>
      <c r="M58" t="s">
        <v>2152</v>
      </c>
      <c r="N58" t="s">
        <v>9213</v>
      </c>
      <c r="O58" t="s">
        <v>9152</v>
      </c>
      <c r="U58" t="str">
        <f>_xlfn.LET(_xlpm.x, _xlfn.XLOOKUP(B58,Sheet3!N:N,Sheet3!C:C,""), IF(_xlpm.x=0,"",_xlpm.x))</f>
        <v>劳动合同</v>
      </c>
      <c r="V58" s="5" t="s">
        <v>4000</v>
      </c>
      <c r="X58" t="s">
        <v>3990</v>
      </c>
    </row>
    <row r="59" spans="1:24" ht="15.6" x14ac:dyDescent="0.25">
      <c r="A59" s="8" t="s">
        <v>1230</v>
      </c>
      <c r="B59" s="8" t="s">
        <v>1235</v>
      </c>
      <c r="C59" s="5" t="s">
        <v>8828</v>
      </c>
      <c r="E59" s="5" t="s">
        <v>243</v>
      </c>
      <c r="F59" s="5" t="s">
        <v>256</v>
      </c>
      <c r="G59" s="5" t="s">
        <v>256</v>
      </c>
      <c r="H59" t="s">
        <v>255</v>
      </c>
      <c r="I59" t="s">
        <v>244</v>
      </c>
      <c r="J59" t="s">
        <v>244</v>
      </c>
      <c r="L59" t="s">
        <v>240</v>
      </c>
      <c r="M59" t="s">
        <v>58</v>
      </c>
      <c r="N59" t="s">
        <v>9206</v>
      </c>
      <c r="O59" t="s">
        <v>9128</v>
      </c>
      <c r="U59" t="str">
        <f>_xlfn.LET(_xlpm.x, _xlfn.XLOOKUP(B59,Sheet3!N:N,Sheet3!C:C,""), IF(_xlpm.x=0,"",_xlpm.x))</f>
        <v>劳动合同</v>
      </c>
      <c r="V59" s="5" t="s">
        <v>1243</v>
      </c>
      <c r="X59" t="s">
        <v>4011</v>
      </c>
    </row>
    <row r="60" spans="1:24" ht="15.6" x14ac:dyDescent="0.25">
      <c r="A60" s="8" t="s">
        <v>3128</v>
      </c>
      <c r="B60" s="8" t="s">
        <v>3133</v>
      </c>
      <c r="C60" s="5" t="s">
        <v>8829</v>
      </c>
      <c r="E60" s="5" t="s">
        <v>243</v>
      </c>
      <c r="F60" s="5" t="s">
        <v>242</v>
      </c>
      <c r="G60" s="5" t="s">
        <v>242</v>
      </c>
      <c r="H60" t="s">
        <v>298</v>
      </c>
      <c r="J60" t="s">
        <v>244</v>
      </c>
      <c r="K60" t="s">
        <v>2557</v>
      </c>
      <c r="L60" t="s">
        <v>2556</v>
      </c>
      <c r="M60" t="s">
        <v>245</v>
      </c>
      <c r="N60" t="s">
        <v>9219</v>
      </c>
      <c r="O60" t="s">
        <v>9179</v>
      </c>
      <c r="U60" t="str">
        <f>_xlfn.LET(_xlpm.x, _xlfn.XLOOKUP(B60,Sheet3!N:N,Sheet3!C:C,""), IF(_xlpm.x=0,"",_xlpm.x))</f>
        <v>劳动合同</v>
      </c>
      <c r="V60" s="5" t="s">
        <v>894</v>
      </c>
      <c r="X60" t="s">
        <v>3990</v>
      </c>
    </row>
    <row r="61" spans="1:24" ht="15.6" x14ac:dyDescent="0.25">
      <c r="A61" s="8" t="s">
        <v>3081</v>
      </c>
      <c r="B61" s="8" t="s">
        <v>3085</v>
      </c>
      <c r="C61" s="5" t="s">
        <v>8830</v>
      </c>
      <c r="E61" s="5" t="s">
        <v>243</v>
      </c>
      <c r="F61" s="5" t="s">
        <v>492</v>
      </c>
      <c r="G61" s="5" t="s">
        <v>242</v>
      </c>
      <c r="H61" t="s">
        <v>345</v>
      </c>
      <c r="I61" t="s">
        <v>346</v>
      </c>
      <c r="J61" t="s">
        <v>344</v>
      </c>
      <c r="L61" t="s">
        <v>3083</v>
      </c>
      <c r="M61" t="s">
        <v>61</v>
      </c>
      <c r="N61" t="s">
        <v>9215</v>
      </c>
      <c r="O61" t="s">
        <v>9169</v>
      </c>
      <c r="U61" t="str">
        <f>_xlfn.LET(_xlpm.x, _xlfn.XLOOKUP(B61,Sheet3!N:N,Sheet3!C:C,""), IF(_xlpm.x=0,"",_xlpm.x))</f>
        <v>劳动合同</v>
      </c>
      <c r="V61" s="5" t="s">
        <v>1166</v>
      </c>
      <c r="X61" t="s">
        <v>3990</v>
      </c>
    </row>
    <row r="62" spans="1:24" ht="15.6" x14ac:dyDescent="0.25">
      <c r="A62" s="8" t="s">
        <v>2582</v>
      </c>
      <c r="B62" s="8" t="s">
        <v>2586</v>
      </c>
      <c r="C62" s="5" t="s">
        <v>8831</v>
      </c>
      <c r="E62" s="5" t="s">
        <v>243</v>
      </c>
      <c r="F62" s="5" t="s">
        <v>492</v>
      </c>
      <c r="G62" s="5" t="s">
        <v>242</v>
      </c>
      <c r="H62" t="s">
        <v>345</v>
      </c>
      <c r="I62" t="s">
        <v>346</v>
      </c>
      <c r="J62" t="s">
        <v>344</v>
      </c>
      <c r="L62" t="s">
        <v>2584</v>
      </c>
      <c r="M62" t="s">
        <v>63</v>
      </c>
      <c r="N62" t="s">
        <v>9215</v>
      </c>
      <c r="O62" t="s">
        <v>9171</v>
      </c>
      <c r="U62" t="str">
        <f>_xlfn.LET(_xlpm.x, _xlfn.XLOOKUP(B62,Sheet3!N:N,Sheet3!C:C,""), IF(_xlpm.x=0,"",_xlpm.x))</f>
        <v>劳动合同</v>
      </c>
      <c r="V62" s="5" t="s">
        <v>4000</v>
      </c>
      <c r="X62" t="s">
        <v>3990</v>
      </c>
    </row>
    <row r="63" spans="1:24" ht="15.6" x14ac:dyDescent="0.25">
      <c r="A63" s="8" t="s">
        <v>3312</v>
      </c>
      <c r="B63" s="8" t="s">
        <v>3316</v>
      </c>
      <c r="C63" s="5" t="s">
        <v>8832</v>
      </c>
      <c r="E63" s="5" t="s">
        <v>243</v>
      </c>
      <c r="F63" s="5" t="s">
        <v>492</v>
      </c>
      <c r="G63" s="5" t="s">
        <v>242</v>
      </c>
      <c r="H63" t="s">
        <v>345</v>
      </c>
      <c r="I63" t="s">
        <v>346</v>
      </c>
      <c r="J63" t="s">
        <v>344</v>
      </c>
      <c r="L63" t="s">
        <v>1285</v>
      </c>
      <c r="M63" t="s">
        <v>9102</v>
      </c>
      <c r="N63" t="s">
        <v>9215</v>
      </c>
      <c r="O63" t="s">
        <v>9161</v>
      </c>
      <c r="U63" t="str">
        <f>_xlfn.LET(_xlpm.x, _xlfn.XLOOKUP(B63,Sheet3!N:N,Sheet3!C:C,""), IF(_xlpm.x=0,"",_xlpm.x))</f>
        <v>劳动合同</v>
      </c>
      <c r="V63" s="5" t="s">
        <v>4000</v>
      </c>
      <c r="X63" t="s">
        <v>3990</v>
      </c>
    </row>
    <row r="64" spans="1:24" ht="15.6" x14ac:dyDescent="0.25">
      <c r="A64" s="8" t="s">
        <v>2790</v>
      </c>
      <c r="B64" s="8" t="s">
        <v>2795</v>
      </c>
      <c r="C64" s="5" t="s">
        <v>8833</v>
      </c>
      <c r="E64" s="5" t="s">
        <v>243</v>
      </c>
      <c r="F64" s="5" t="s">
        <v>492</v>
      </c>
      <c r="G64" s="5" t="s">
        <v>242</v>
      </c>
      <c r="H64" t="s">
        <v>345</v>
      </c>
      <c r="I64" t="s">
        <v>346</v>
      </c>
      <c r="J64" t="s">
        <v>344</v>
      </c>
      <c r="L64" t="s">
        <v>2793</v>
      </c>
      <c r="M64" t="s">
        <v>61</v>
      </c>
      <c r="N64" t="s">
        <v>9215</v>
      </c>
      <c r="O64" t="s">
        <v>9169</v>
      </c>
      <c r="U64" t="str">
        <f>_xlfn.LET(_xlpm.x, _xlfn.XLOOKUP(B64,Sheet3!N:N,Sheet3!C:C,""), IF(_xlpm.x=0,"",_xlpm.x))</f>
        <v>劳动合同</v>
      </c>
      <c r="V64" s="5" t="s">
        <v>4000</v>
      </c>
      <c r="X64" t="s">
        <v>3990</v>
      </c>
    </row>
    <row r="65" spans="1:24" ht="15.6" x14ac:dyDescent="0.25">
      <c r="A65" s="8" t="s">
        <v>2799</v>
      </c>
      <c r="B65" s="8" t="s">
        <v>2803</v>
      </c>
      <c r="C65" s="5" t="s">
        <v>8834</v>
      </c>
      <c r="E65" s="5" t="s">
        <v>243</v>
      </c>
      <c r="F65" s="5" t="s">
        <v>242</v>
      </c>
      <c r="G65" s="5" t="s">
        <v>242</v>
      </c>
      <c r="H65" t="s">
        <v>298</v>
      </c>
      <c r="J65" t="s">
        <v>244</v>
      </c>
      <c r="K65" t="s">
        <v>2557</v>
      </c>
      <c r="L65" t="s">
        <v>2556</v>
      </c>
      <c r="M65" t="s">
        <v>245</v>
      </c>
      <c r="N65" t="s">
        <v>9219</v>
      </c>
      <c r="O65" t="s">
        <v>9179</v>
      </c>
      <c r="U65" t="str">
        <f>_xlfn.LET(_xlpm.x, _xlfn.XLOOKUP(B65,Sheet3!N:N,Sheet3!C:C,""), IF(_xlpm.x=0,"",_xlpm.x))</f>
        <v>劳动合同</v>
      </c>
      <c r="V65" s="5" t="s">
        <v>1281</v>
      </c>
      <c r="X65" t="s">
        <v>3990</v>
      </c>
    </row>
    <row r="66" spans="1:24" ht="15.6" x14ac:dyDescent="0.25">
      <c r="A66" s="8" t="s">
        <v>2632</v>
      </c>
      <c r="B66" s="8" t="s">
        <v>2637</v>
      </c>
      <c r="C66" s="5" t="s">
        <v>8835</v>
      </c>
      <c r="E66" s="5" t="s">
        <v>243</v>
      </c>
      <c r="F66" s="5" t="s">
        <v>492</v>
      </c>
      <c r="G66" s="5" t="s">
        <v>242</v>
      </c>
      <c r="H66" t="s">
        <v>345</v>
      </c>
      <c r="I66" t="s">
        <v>346</v>
      </c>
      <c r="J66" t="s">
        <v>344</v>
      </c>
      <c r="L66" t="s">
        <v>2635</v>
      </c>
      <c r="M66" t="s">
        <v>9106</v>
      </c>
      <c r="N66" t="s">
        <v>9215</v>
      </c>
      <c r="O66" t="s">
        <v>9158</v>
      </c>
      <c r="U66" t="str">
        <f>_xlfn.LET(_xlpm.x, _xlfn.XLOOKUP(B66,Sheet3!N:N,Sheet3!C:C,""), IF(_xlpm.x=0,"",_xlpm.x))</f>
        <v>劳动合同</v>
      </c>
      <c r="V66" s="5" t="s">
        <v>4000</v>
      </c>
      <c r="X66" t="s">
        <v>3990</v>
      </c>
    </row>
    <row r="67" spans="1:24" ht="15.6" x14ac:dyDescent="0.25">
      <c r="A67" s="8" t="s">
        <v>1521</v>
      </c>
      <c r="B67" s="8" t="s">
        <v>3270</v>
      </c>
      <c r="C67" s="5" t="s">
        <v>8836</v>
      </c>
      <c r="E67" s="5" t="s">
        <v>243</v>
      </c>
      <c r="F67" s="5" t="s">
        <v>492</v>
      </c>
      <c r="G67" s="5" t="s">
        <v>242</v>
      </c>
      <c r="H67" t="s">
        <v>345</v>
      </c>
      <c r="I67" t="s">
        <v>346</v>
      </c>
      <c r="J67" t="s">
        <v>344</v>
      </c>
      <c r="L67" t="s">
        <v>3268</v>
      </c>
      <c r="M67" t="s">
        <v>9108</v>
      </c>
      <c r="N67" t="s">
        <v>9215</v>
      </c>
      <c r="O67" t="s">
        <v>9165</v>
      </c>
      <c r="U67" t="str">
        <f>_xlfn.LET(_xlpm.x, _xlfn.XLOOKUP(B67,Sheet3!N:N,Sheet3!C:C,""), IF(_xlpm.x=0,"",_xlpm.x))</f>
        <v>劳动合同</v>
      </c>
      <c r="V67" s="5" t="s">
        <v>4000</v>
      </c>
      <c r="X67" t="s">
        <v>3990</v>
      </c>
    </row>
    <row r="68" spans="1:24" ht="15.6" x14ac:dyDescent="0.25">
      <c r="A68" s="8" t="s">
        <v>3294</v>
      </c>
      <c r="B68" s="8" t="s">
        <v>3298</v>
      </c>
      <c r="C68" s="5" t="s">
        <v>8837</v>
      </c>
      <c r="E68" s="5" t="s">
        <v>243</v>
      </c>
      <c r="F68" s="5" t="s">
        <v>492</v>
      </c>
      <c r="G68" s="5" t="s">
        <v>242</v>
      </c>
      <c r="H68" t="s">
        <v>345</v>
      </c>
      <c r="I68" t="s">
        <v>346</v>
      </c>
      <c r="J68" t="s">
        <v>344</v>
      </c>
      <c r="L68" t="s">
        <v>3296</v>
      </c>
      <c r="M68" t="s">
        <v>905</v>
      </c>
      <c r="N68" t="s">
        <v>9215</v>
      </c>
      <c r="O68" t="s">
        <v>9168</v>
      </c>
      <c r="U68" t="str">
        <f>_xlfn.LET(_xlpm.x, _xlfn.XLOOKUP(B68,Sheet3!N:N,Sheet3!C:C,""), IF(_xlpm.x=0,"",_xlpm.x))</f>
        <v>劳动合同</v>
      </c>
      <c r="V68" s="5" t="s">
        <v>1166</v>
      </c>
      <c r="X68" t="s">
        <v>3990</v>
      </c>
    </row>
    <row r="69" spans="1:24" ht="15.6" x14ac:dyDescent="0.25">
      <c r="A69" s="8" t="s">
        <v>3169</v>
      </c>
      <c r="B69" s="8" t="s">
        <v>3173</v>
      </c>
      <c r="C69" s="5" t="s">
        <v>8838</v>
      </c>
      <c r="E69" s="5" t="s">
        <v>243</v>
      </c>
      <c r="F69" s="5" t="s">
        <v>242</v>
      </c>
      <c r="G69" s="5" t="s">
        <v>242</v>
      </c>
      <c r="H69" t="s">
        <v>298</v>
      </c>
      <c r="J69" t="s">
        <v>244</v>
      </c>
      <c r="K69" t="s">
        <v>2557</v>
      </c>
      <c r="L69" t="s">
        <v>2556</v>
      </c>
      <c r="M69" t="s">
        <v>245</v>
      </c>
      <c r="N69" t="s">
        <v>9219</v>
      </c>
      <c r="O69" t="s">
        <v>9179</v>
      </c>
      <c r="U69" t="str">
        <f>_xlfn.LET(_xlpm.x, _xlfn.XLOOKUP(B69,Sheet3!N:N,Sheet3!C:C,""), IF(_xlpm.x=0,"",_xlpm.x))</f>
        <v>劳动合同</v>
      </c>
      <c r="V69" s="5" t="s">
        <v>1281</v>
      </c>
      <c r="X69" t="s">
        <v>3990</v>
      </c>
    </row>
    <row r="70" spans="1:24" ht="15.6" x14ac:dyDescent="0.25">
      <c r="A70" s="8" t="s">
        <v>3209</v>
      </c>
      <c r="B70" s="8" t="s">
        <v>3213</v>
      </c>
      <c r="C70" s="5" t="s">
        <v>8839</v>
      </c>
      <c r="E70" s="5" t="s">
        <v>243</v>
      </c>
      <c r="F70" s="5" t="s">
        <v>492</v>
      </c>
      <c r="G70" s="5" t="s">
        <v>492</v>
      </c>
      <c r="H70" t="s">
        <v>553</v>
      </c>
      <c r="I70" t="s">
        <v>244</v>
      </c>
      <c r="J70" t="s">
        <v>244</v>
      </c>
      <c r="L70" t="s">
        <v>3211</v>
      </c>
      <c r="M70" t="s">
        <v>58</v>
      </c>
      <c r="N70" t="s">
        <v>9207</v>
      </c>
      <c r="O70" t="s">
        <v>9159</v>
      </c>
      <c r="U70" t="str">
        <f>_xlfn.LET(_xlpm.x, _xlfn.XLOOKUP(B70,Sheet3!N:N,Sheet3!C:C,""), IF(_xlpm.x=0,"",_xlpm.x))</f>
        <v>劳动合同</v>
      </c>
      <c r="V70" s="5" t="s">
        <v>4000</v>
      </c>
      <c r="X70" t="s">
        <v>3990</v>
      </c>
    </row>
    <row r="71" spans="1:24" ht="15.6" x14ac:dyDescent="0.25">
      <c r="A71" s="8" t="s">
        <v>2153</v>
      </c>
      <c r="B71" s="8" t="s">
        <v>2158</v>
      </c>
      <c r="C71" s="5" t="s">
        <v>8840</v>
      </c>
      <c r="E71" s="5" t="s">
        <v>243</v>
      </c>
      <c r="F71" s="5" t="s">
        <v>242</v>
      </c>
      <c r="G71" s="5" t="s">
        <v>242</v>
      </c>
      <c r="H71" t="s">
        <v>298</v>
      </c>
      <c r="J71" t="s">
        <v>244</v>
      </c>
      <c r="K71" t="s">
        <v>709</v>
      </c>
      <c r="L71" t="s">
        <v>2155</v>
      </c>
      <c r="M71" t="s">
        <v>257</v>
      </c>
      <c r="N71" t="s">
        <v>9219</v>
      </c>
      <c r="O71" t="s">
        <v>9180</v>
      </c>
      <c r="U71" t="str">
        <f>_xlfn.LET(_xlpm.x, _xlfn.XLOOKUP(B71,Sheet3!N:N,Sheet3!C:C,""), IF(_xlpm.x=0,"",_xlpm.x))</f>
        <v>劳动合同</v>
      </c>
      <c r="V71" s="5" t="s">
        <v>872</v>
      </c>
      <c r="X71" t="s">
        <v>3990</v>
      </c>
    </row>
    <row r="72" spans="1:24" ht="15.6" x14ac:dyDescent="0.25">
      <c r="A72" s="8" t="s">
        <v>3185</v>
      </c>
      <c r="B72" s="8" t="s">
        <v>3188</v>
      </c>
      <c r="C72" s="5" t="s">
        <v>8841</v>
      </c>
      <c r="E72" s="5" t="s">
        <v>243</v>
      </c>
      <c r="F72" s="5" t="s">
        <v>492</v>
      </c>
      <c r="G72" s="5" t="s">
        <v>242</v>
      </c>
      <c r="H72" t="s">
        <v>345</v>
      </c>
      <c r="I72" t="s">
        <v>346</v>
      </c>
      <c r="J72" t="s">
        <v>344</v>
      </c>
      <c r="L72" t="s">
        <v>1248</v>
      </c>
      <c r="M72" t="s">
        <v>61</v>
      </c>
      <c r="N72" t="s">
        <v>9215</v>
      </c>
      <c r="O72" t="s">
        <v>9169</v>
      </c>
      <c r="U72" t="str">
        <f>_xlfn.LET(_xlpm.x, _xlfn.XLOOKUP(B72,Sheet3!N:N,Sheet3!C:C,""), IF(_xlpm.x=0,"",_xlpm.x))</f>
        <v>劳动合同</v>
      </c>
      <c r="V72" s="5" t="s">
        <v>1166</v>
      </c>
      <c r="X72" t="s">
        <v>3990</v>
      </c>
    </row>
    <row r="73" spans="1:24" ht="15.6" x14ac:dyDescent="0.25">
      <c r="A73" s="8" t="s">
        <v>2554</v>
      </c>
      <c r="B73" s="8" t="s">
        <v>2560</v>
      </c>
      <c r="C73" s="5" t="s">
        <v>8842</v>
      </c>
      <c r="E73" s="5" t="s">
        <v>243</v>
      </c>
      <c r="F73" s="5" t="s">
        <v>242</v>
      </c>
      <c r="G73" s="5" t="s">
        <v>242</v>
      </c>
      <c r="H73" t="s">
        <v>298</v>
      </c>
      <c r="J73" t="s">
        <v>244</v>
      </c>
      <c r="K73" t="s">
        <v>2557</v>
      </c>
      <c r="L73" t="s">
        <v>2556</v>
      </c>
      <c r="M73" t="s">
        <v>245</v>
      </c>
      <c r="N73" t="s">
        <v>9219</v>
      </c>
      <c r="O73" t="s">
        <v>9179</v>
      </c>
      <c r="U73" t="str">
        <f>_xlfn.LET(_xlpm.x, _xlfn.XLOOKUP(B73,Sheet3!N:N,Sheet3!C:C,""), IF(_xlpm.x=0,"",_xlpm.x))</f>
        <v>劳动合同</v>
      </c>
      <c r="V73" s="5" t="s">
        <v>1615</v>
      </c>
      <c r="X73" t="s">
        <v>3990</v>
      </c>
    </row>
    <row r="74" spans="1:24" ht="15.6" x14ac:dyDescent="0.25">
      <c r="A74" s="8" t="s">
        <v>2332</v>
      </c>
      <c r="B74" s="8" t="s">
        <v>2336</v>
      </c>
      <c r="C74" s="5" t="s">
        <v>8843</v>
      </c>
      <c r="E74" s="5" t="s">
        <v>243</v>
      </c>
      <c r="F74" s="5" t="s">
        <v>242</v>
      </c>
      <c r="G74" s="5" t="s">
        <v>242</v>
      </c>
      <c r="H74" t="s">
        <v>298</v>
      </c>
      <c r="J74" t="s">
        <v>244</v>
      </c>
      <c r="K74" t="s">
        <v>320</v>
      </c>
      <c r="L74" t="s">
        <v>1444</v>
      </c>
      <c r="M74" t="s">
        <v>9098</v>
      </c>
      <c r="N74" t="s">
        <v>9209</v>
      </c>
      <c r="O74" t="s">
        <v>9105</v>
      </c>
      <c r="U74" t="str">
        <f>_xlfn.LET(_xlpm.x, _xlfn.XLOOKUP(B74,Sheet3!N:N,Sheet3!C:C,""), IF(_xlpm.x=0,"",_xlpm.x))</f>
        <v>劳动合同</v>
      </c>
      <c r="V74" s="5" t="s">
        <v>4000</v>
      </c>
      <c r="X74" t="s">
        <v>3990</v>
      </c>
    </row>
    <row r="75" spans="1:24" ht="15.6" x14ac:dyDescent="0.25">
      <c r="A75" s="8" t="s">
        <v>2080</v>
      </c>
      <c r="B75" s="8" t="s">
        <v>2085</v>
      </c>
      <c r="C75" s="5" t="s">
        <v>8844</v>
      </c>
      <c r="E75" s="5" t="s">
        <v>243</v>
      </c>
      <c r="F75" s="5" t="s">
        <v>242</v>
      </c>
      <c r="G75" s="5" t="s">
        <v>242</v>
      </c>
      <c r="H75" t="s">
        <v>298</v>
      </c>
      <c r="J75" t="s">
        <v>244</v>
      </c>
      <c r="K75" t="s">
        <v>2083</v>
      </c>
      <c r="L75" t="s">
        <v>2082</v>
      </c>
      <c r="M75" t="s">
        <v>63</v>
      </c>
      <c r="N75" t="s">
        <v>9221</v>
      </c>
      <c r="O75" t="s">
        <v>9136</v>
      </c>
      <c r="U75" t="str">
        <f>_xlfn.LET(_xlpm.x, _xlfn.XLOOKUP(B75,Sheet3!N:N,Sheet3!C:C,""), IF(_xlpm.x=0,"",_xlpm.x))</f>
        <v>劳动合同</v>
      </c>
      <c r="V75" s="5" t="s">
        <v>872</v>
      </c>
      <c r="X75" t="s">
        <v>3990</v>
      </c>
    </row>
    <row r="76" spans="1:24" ht="15.6" x14ac:dyDescent="0.25">
      <c r="A76" s="8" t="s">
        <v>3445</v>
      </c>
      <c r="B76" s="8" t="s">
        <v>3448</v>
      </c>
      <c r="C76" s="5" t="s">
        <v>8845</v>
      </c>
      <c r="E76" s="5" t="s">
        <v>243</v>
      </c>
      <c r="F76" s="5" t="s">
        <v>242</v>
      </c>
      <c r="G76" s="5" t="s">
        <v>242</v>
      </c>
      <c r="H76" t="s">
        <v>298</v>
      </c>
      <c r="J76" t="s">
        <v>244</v>
      </c>
      <c r="K76" t="s">
        <v>709</v>
      </c>
      <c r="L76" t="s">
        <v>2155</v>
      </c>
      <c r="M76" t="s">
        <v>245</v>
      </c>
      <c r="N76" t="s">
        <v>9219</v>
      </c>
      <c r="O76" t="s">
        <v>9179</v>
      </c>
      <c r="U76" t="str">
        <f>_xlfn.LET(_xlpm.x, _xlfn.XLOOKUP(B76,Sheet3!N:N,Sheet3!C:C,""), IF(_xlpm.x=0,"",_xlpm.x))</f>
        <v>劳动合同</v>
      </c>
      <c r="V76" s="5" t="s">
        <v>1281</v>
      </c>
      <c r="X76" t="s">
        <v>3990</v>
      </c>
    </row>
    <row r="77" spans="1:24" ht="15.6" x14ac:dyDescent="0.25">
      <c r="A77" s="8" t="s">
        <v>2808</v>
      </c>
      <c r="B77" s="8" t="s">
        <v>2812</v>
      </c>
      <c r="C77" s="5" t="s">
        <v>8846</v>
      </c>
      <c r="E77" s="5" t="s">
        <v>243</v>
      </c>
      <c r="F77" s="5" t="s">
        <v>242</v>
      </c>
      <c r="G77" s="5" t="s">
        <v>242</v>
      </c>
      <c r="H77" t="s">
        <v>298</v>
      </c>
      <c r="J77" t="s">
        <v>244</v>
      </c>
      <c r="K77" t="s">
        <v>297</v>
      </c>
      <c r="L77" t="s">
        <v>296</v>
      </c>
      <c r="M77" t="s">
        <v>245</v>
      </c>
      <c r="N77" t="s">
        <v>9219</v>
      </c>
      <c r="O77" t="s">
        <v>9179</v>
      </c>
      <c r="U77" t="str">
        <f>_xlfn.LET(_xlpm.x, _xlfn.XLOOKUP(B77,Sheet3!N:N,Sheet3!C:C,""), IF(_xlpm.x=0,"",_xlpm.x))</f>
        <v>劳动合同</v>
      </c>
      <c r="V77" s="5" t="s">
        <v>1281</v>
      </c>
      <c r="X77" t="s">
        <v>3990</v>
      </c>
    </row>
    <row r="78" spans="1:24" ht="15.6" x14ac:dyDescent="0.25">
      <c r="A78" s="8" t="s">
        <v>3088</v>
      </c>
      <c r="B78" s="8" t="s">
        <v>3091</v>
      </c>
      <c r="C78" s="5" t="s">
        <v>8847</v>
      </c>
      <c r="E78" s="5" t="s">
        <v>243</v>
      </c>
      <c r="F78" s="5" t="s">
        <v>492</v>
      </c>
      <c r="G78" s="5" t="s">
        <v>242</v>
      </c>
      <c r="H78" t="s">
        <v>345</v>
      </c>
      <c r="I78" t="s">
        <v>346</v>
      </c>
      <c r="J78" t="s">
        <v>344</v>
      </c>
      <c r="L78" t="s">
        <v>1248</v>
      </c>
      <c r="M78" t="s">
        <v>2152</v>
      </c>
      <c r="N78" t="s">
        <v>9215</v>
      </c>
      <c r="O78" t="s">
        <v>9160</v>
      </c>
      <c r="U78" t="str">
        <f>_xlfn.LET(_xlpm.x, _xlfn.XLOOKUP(B78,Sheet3!N:N,Sheet3!C:C,""), IF(_xlpm.x=0,"",_xlpm.x))</f>
        <v>劳动合同</v>
      </c>
      <c r="V78" s="5" t="s">
        <v>1166</v>
      </c>
      <c r="X78" t="s">
        <v>3990</v>
      </c>
    </row>
    <row r="79" spans="1:24" ht="15.6" x14ac:dyDescent="0.25">
      <c r="A79" s="8" t="s">
        <v>3238</v>
      </c>
      <c r="B79" s="8" t="s">
        <v>3241</v>
      </c>
      <c r="C79" s="5" t="s">
        <v>8848</v>
      </c>
      <c r="E79" s="5" t="s">
        <v>243</v>
      </c>
      <c r="F79" s="5" t="s">
        <v>492</v>
      </c>
      <c r="G79" s="5" t="s">
        <v>242</v>
      </c>
      <c r="H79" t="s">
        <v>345</v>
      </c>
      <c r="I79" t="s">
        <v>346</v>
      </c>
      <c r="J79" t="s">
        <v>344</v>
      </c>
      <c r="L79" t="s">
        <v>1248</v>
      </c>
      <c r="M79" t="s">
        <v>63</v>
      </c>
      <c r="N79" t="s">
        <v>9215</v>
      </c>
      <c r="O79" t="s">
        <v>9171</v>
      </c>
      <c r="U79" t="str">
        <f>_xlfn.LET(_xlpm.x, _xlfn.XLOOKUP(B79,Sheet3!N:N,Sheet3!C:C,""), IF(_xlpm.x=0,"",_xlpm.x))</f>
        <v>劳动合同</v>
      </c>
      <c r="V79" s="5" t="s">
        <v>1166</v>
      </c>
      <c r="X79" t="s">
        <v>3990</v>
      </c>
    </row>
    <row r="80" spans="1:24" ht="15.6" x14ac:dyDescent="0.25">
      <c r="A80" s="8" t="s">
        <v>3145</v>
      </c>
      <c r="B80" s="8" t="s">
        <v>3148</v>
      </c>
      <c r="C80" s="5" t="s">
        <v>8849</v>
      </c>
      <c r="E80" s="5" t="s">
        <v>243</v>
      </c>
      <c r="F80" s="5" t="s">
        <v>242</v>
      </c>
      <c r="G80" s="5" t="s">
        <v>242</v>
      </c>
      <c r="H80" t="s">
        <v>298</v>
      </c>
      <c r="J80" t="s">
        <v>244</v>
      </c>
      <c r="K80" t="s">
        <v>297</v>
      </c>
      <c r="L80" t="s">
        <v>296</v>
      </c>
      <c r="M80" t="s">
        <v>257</v>
      </c>
      <c r="N80" t="s">
        <v>9219</v>
      </c>
      <c r="O80" t="s">
        <v>9180</v>
      </c>
      <c r="U80" t="str">
        <f>_xlfn.LET(_xlpm.x, _xlfn.XLOOKUP(B80,Sheet3!N:N,Sheet3!C:C,""), IF(_xlpm.x=0,"",_xlpm.x))</f>
        <v>劳动合同</v>
      </c>
      <c r="V80" s="5" t="s">
        <v>1281</v>
      </c>
      <c r="X80" t="s">
        <v>3990</v>
      </c>
    </row>
    <row r="81" spans="1:24" ht="15.6" x14ac:dyDescent="0.25">
      <c r="A81" s="8" t="s">
        <v>1244</v>
      </c>
      <c r="B81" s="8" t="s">
        <v>1250</v>
      </c>
      <c r="C81" s="5" t="s">
        <v>8850</v>
      </c>
      <c r="E81" s="5" t="s">
        <v>243</v>
      </c>
      <c r="F81" s="5" t="s">
        <v>492</v>
      </c>
      <c r="G81" s="5" t="s">
        <v>242</v>
      </c>
      <c r="H81" t="s">
        <v>345</v>
      </c>
      <c r="I81" t="s">
        <v>346</v>
      </c>
      <c r="J81" t="s">
        <v>344</v>
      </c>
      <c r="L81" t="s">
        <v>1248</v>
      </c>
      <c r="M81" t="s">
        <v>905</v>
      </c>
      <c r="N81" t="s">
        <v>9215</v>
      </c>
      <c r="O81" t="s">
        <v>9168</v>
      </c>
      <c r="U81" t="str">
        <f>_xlfn.LET(_xlpm.x, _xlfn.XLOOKUP(B81,Sheet3!N:N,Sheet3!C:C,""), IF(_xlpm.x=0,"",_xlpm.x))</f>
        <v>劳动合同</v>
      </c>
      <c r="V81" s="5" t="s">
        <v>1229</v>
      </c>
      <c r="X81" t="s">
        <v>3990</v>
      </c>
    </row>
    <row r="82" spans="1:24" ht="15.6" x14ac:dyDescent="0.25">
      <c r="A82" s="8" t="s">
        <v>3304</v>
      </c>
      <c r="B82" s="8" t="s">
        <v>3308</v>
      </c>
      <c r="C82" s="5" t="s">
        <v>8851</v>
      </c>
      <c r="E82" s="5" t="s">
        <v>243</v>
      </c>
      <c r="F82" s="5" t="s">
        <v>492</v>
      </c>
      <c r="G82" s="5" t="s">
        <v>242</v>
      </c>
      <c r="H82" t="s">
        <v>345</v>
      </c>
      <c r="I82" t="s">
        <v>346</v>
      </c>
      <c r="J82" t="s">
        <v>344</v>
      </c>
      <c r="L82" t="s">
        <v>3306</v>
      </c>
      <c r="M82" t="s">
        <v>2152</v>
      </c>
      <c r="N82" t="s">
        <v>9215</v>
      </c>
      <c r="O82" t="s">
        <v>9160</v>
      </c>
      <c r="U82" t="str">
        <f>_xlfn.LET(_xlpm.x, _xlfn.XLOOKUP(B82,Sheet3!N:N,Sheet3!C:C,""), IF(_xlpm.x=0,"",_xlpm.x))</f>
        <v>劳动合同</v>
      </c>
      <c r="V82" s="5" t="s">
        <v>4000</v>
      </c>
      <c r="X82" t="s">
        <v>3990</v>
      </c>
    </row>
    <row r="83" spans="1:24" ht="15.6" x14ac:dyDescent="0.25">
      <c r="A83" s="8" t="s">
        <v>3137</v>
      </c>
      <c r="B83" s="8" t="s">
        <v>3141</v>
      </c>
      <c r="C83" s="5" t="s">
        <v>8852</v>
      </c>
      <c r="E83" s="5" t="s">
        <v>243</v>
      </c>
      <c r="F83" s="5" t="s">
        <v>492</v>
      </c>
      <c r="G83" s="5" t="s">
        <v>242</v>
      </c>
      <c r="H83" t="s">
        <v>345</v>
      </c>
      <c r="I83" t="s">
        <v>346</v>
      </c>
      <c r="J83" t="s">
        <v>344</v>
      </c>
      <c r="L83" t="s">
        <v>1248</v>
      </c>
      <c r="M83" t="s">
        <v>61</v>
      </c>
      <c r="N83" t="s">
        <v>9215</v>
      </c>
      <c r="O83" t="s">
        <v>9169</v>
      </c>
      <c r="U83" t="str">
        <f>_xlfn.LET(_xlpm.x, _xlfn.XLOOKUP(B83,Sheet3!N:N,Sheet3!C:C,""), IF(_xlpm.x=0,"",_xlpm.x))</f>
        <v>劳动合同</v>
      </c>
      <c r="V83" s="5" t="s">
        <v>1166</v>
      </c>
      <c r="X83" t="s">
        <v>3990</v>
      </c>
    </row>
    <row r="84" spans="1:24" ht="15.6" x14ac:dyDescent="0.25">
      <c r="A84" s="8" t="s">
        <v>2302</v>
      </c>
      <c r="B84" s="8" t="s">
        <v>2308</v>
      </c>
      <c r="C84" s="5" t="s">
        <v>8853</v>
      </c>
      <c r="E84" s="5" t="s">
        <v>243</v>
      </c>
      <c r="F84" s="5" t="s">
        <v>242</v>
      </c>
      <c r="G84" s="5" t="s">
        <v>242</v>
      </c>
      <c r="H84" t="s">
        <v>298</v>
      </c>
      <c r="J84" t="s">
        <v>244</v>
      </c>
      <c r="K84" t="s">
        <v>709</v>
      </c>
      <c r="L84" t="s">
        <v>2305</v>
      </c>
      <c r="M84" t="s">
        <v>2152</v>
      </c>
      <c r="N84" t="s">
        <v>9221</v>
      </c>
      <c r="O84" t="s">
        <v>9185</v>
      </c>
      <c r="U84" t="str">
        <f>_xlfn.LET(_xlpm.x, _xlfn.XLOOKUP(B84,Sheet3!N:N,Sheet3!C:C,""), IF(_xlpm.x=0,"",_xlpm.x))</f>
        <v>劳动合同</v>
      </c>
      <c r="V84" s="5" t="s">
        <v>1615</v>
      </c>
      <c r="X84" t="s">
        <v>3990</v>
      </c>
    </row>
    <row r="85" spans="1:24" ht="15.6" x14ac:dyDescent="0.25">
      <c r="A85" s="8" t="s">
        <v>3152</v>
      </c>
      <c r="B85" s="8" t="s">
        <v>3157</v>
      </c>
      <c r="C85" s="5" t="s">
        <v>8854</v>
      </c>
      <c r="E85" s="5" t="s">
        <v>243</v>
      </c>
      <c r="F85" s="5" t="s">
        <v>492</v>
      </c>
      <c r="G85" s="5" t="s">
        <v>242</v>
      </c>
      <c r="H85" t="s">
        <v>345</v>
      </c>
      <c r="I85" t="s">
        <v>346</v>
      </c>
      <c r="J85" t="s">
        <v>344</v>
      </c>
      <c r="L85" t="s">
        <v>3155</v>
      </c>
      <c r="M85" t="s">
        <v>9108</v>
      </c>
      <c r="N85" t="s">
        <v>9215</v>
      </c>
      <c r="O85" t="s">
        <v>9165</v>
      </c>
      <c r="U85" t="str">
        <f>_xlfn.LET(_xlpm.x, _xlfn.XLOOKUP(B85,Sheet3!N:N,Sheet3!C:C,""), IF(_xlpm.x=0,"",_xlpm.x))</f>
        <v>劳动合同</v>
      </c>
      <c r="V85" s="5" t="s">
        <v>4000</v>
      </c>
      <c r="X85" t="s">
        <v>4011</v>
      </c>
    </row>
    <row r="86" spans="1:24" ht="15.6" x14ac:dyDescent="0.25">
      <c r="A86" s="8" t="s">
        <v>2601</v>
      </c>
      <c r="B86" s="8" t="s">
        <v>2605</v>
      </c>
      <c r="C86" s="5" t="s">
        <v>8855</v>
      </c>
      <c r="E86" s="5" t="s">
        <v>243</v>
      </c>
      <c r="F86" s="5" t="s">
        <v>242</v>
      </c>
      <c r="G86" s="5" t="s">
        <v>242</v>
      </c>
      <c r="H86" t="s">
        <v>420</v>
      </c>
      <c r="I86" t="s">
        <v>244</v>
      </c>
      <c r="J86" t="s">
        <v>244</v>
      </c>
      <c r="L86" t="s">
        <v>2603</v>
      </c>
      <c r="M86" t="s">
        <v>905</v>
      </c>
      <c r="N86" t="s">
        <v>9217</v>
      </c>
      <c r="O86" t="s">
        <v>9157</v>
      </c>
      <c r="U86" t="str">
        <f>_xlfn.LET(_xlpm.x, _xlfn.XLOOKUP(B86,Sheet3!N:N,Sheet3!C:C,""), IF(_xlpm.x=0,"",_xlpm.x))</f>
        <v>劳动合同</v>
      </c>
      <c r="V86" s="5" t="s">
        <v>4000</v>
      </c>
      <c r="X86" t="s">
        <v>3990</v>
      </c>
    </row>
    <row r="87" spans="1:24" ht="15.6" x14ac:dyDescent="0.25">
      <c r="A87" s="8" t="s">
        <v>2826</v>
      </c>
      <c r="B87" s="8" t="s">
        <v>2830</v>
      </c>
      <c r="C87" s="5" t="s">
        <v>8856</v>
      </c>
      <c r="E87" s="5" t="s">
        <v>243</v>
      </c>
      <c r="F87" s="5" t="s">
        <v>492</v>
      </c>
      <c r="G87" s="5" t="s">
        <v>242</v>
      </c>
      <c r="H87" t="s">
        <v>345</v>
      </c>
      <c r="I87" t="s">
        <v>346</v>
      </c>
      <c r="J87" t="s">
        <v>344</v>
      </c>
      <c r="L87" t="s">
        <v>1285</v>
      </c>
      <c r="M87" t="s">
        <v>9102</v>
      </c>
      <c r="N87" t="s">
        <v>9215</v>
      </c>
      <c r="O87" t="s">
        <v>9161</v>
      </c>
      <c r="U87" t="str">
        <f>_xlfn.LET(_xlpm.x, _xlfn.XLOOKUP(B87,Sheet3!N:N,Sheet3!C:C,""), IF(_xlpm.x=0,"",_xlpm.x))</f>
        <v>劳动合同</v>
      </c>
      <c r="V87" s="5" t="s">
        <v>663</v>
      </c>
      <c r="X87" t="s">
        <v>3990</v>
      </c>
    </row>
    <row r="88" spans="1:24" ht="15.6" x14ac:dyDescent="0.25">
      <c r="A88" s="8" t="s">
        <v>1664</v>
      </c>
      <c r="B88" s="8" t="s">
        <v>1669</v>
      </c>
      <c r="C88" s="5" t="s">
        <v>8857</v>
      </c>
      <c r="E88" s="5" t="s">
        <v>243</v>
      </c>
      <c r="F88" s="5" t="s">
        <v>242</v>
      </c>
      <c r="G88" s="5" t="s">
        <v>242</v>
      </c>
      <c r="H88" t="s">
        <v>524</v>
      </c>
      <c r="I88" t="s">
        <v>244</v>
      </c>
      <c r="J88" t="s">
        <v>244</v>
      </c>
      <c r="L88" t="s">
        <v>357</v>
      </c>
      <c r="M88" t="s">
        <v>905</v>
      </c>
      <c r="N88" t="s">
        <v>9209</v>
      </c>
      <c r="O88" t="s">
        <v>9099</v>
      </c>
      <c r="U88" t="str">
        <f>_xlfn.LET(_xlpm.x, _xlfn.XLOOKUP(B88,Sheet3!N:N,Sheet3!C:C,""), IF(_xlpm.x=0,"",_xlpm.x))</f>
        <v>劳动合同</v>
      </c>
      <c r="V88" s="5" t="s">
        <v>1281</v>
      </c>
      <c r="X88" t="s">
        <v>3990</v>
      </c>
    </row>
    <row r="89" spans="1:24" ht="15.6" x14ac:dyDescent="0.25">
      <c r="A89" s="8" t="s">
        <v>3318</v>
      </c>
      <c r="B89" s="8" t="s">
        <v>3321</v>
      </c>
      <c r="C89" s="5" t="s">
        <v>8858</v>
      </c>
      <c r="E89" s="5" t="s">
        <v>243</v>
      </c>
      <c r="F89" s="5" t="s">
        <v>492</v>
      </c>
      <c r="G89" s="5" t="s">
        <v>242</v>
      </c>
      <c r="H89" t="s">
        <v>345</v>
      </c>
      <c r="I89" t="s">
        <v>346</v>
      </c>
      <c r="J89" t="s">
        <v>344</v>
      </c>
      <c r="L89" t="s">
        <v>574</v>
      </c>
      <c r="M89" t="s">
        <v>9104</v>
      </c>
      <c r="N89" t="s">
        <v>9215</v>
      </c>
      <c r="O89" t="s">
        <v>9164</v>
      </c>
      <c r="U89" t="str">
        <f>_xlfn.LET(_xlpm.x, _xlfn.XLOOKUP(B89,Sheet3!N:N,Sheet3!C:C,""), IF(_xlpm.x=0,"",_xlpm.x))</f>
        <v>劳动合同</v>
      </c>
      <c r="V89" s="5" t="s">
        <v>4000</v>
      </c>
      <c r="X89" t="s">
        <v>4011</v>
      </c>
    </row>
    <row r="90" spans="1:24" ht="15.6" x14ac:dyDescent="0.25">
      <c r="A90" s="8" t="s">
        <v>1910</v>
      </c>
      <c r="B90" s="8" t="s">
        <v>1914</v>
      </c>
      <c r="C90" s="5" t="s">
        <v>8859</v>
      </c>
      <c r="E90" s="5" t="s">
        <v>243</v>
      </c>
      <c r="F90" s="5" t="s">
        <v>242</v>
      </c>
      <c r="G90" s="5" t="s">
        <v>242</v>
      </c>
      <c r="H90" t="s">
        <v>298</v>
      </c>
      <c r="J90" t="s">
        <v>244</v>
      </c>
      <c r="K90" t="s">
        <v>320</v>
      </c>
      <c r="L90" t="s">
        <v>1444</v>
      </c>
      <c r="M90" t="s">
        <v>905</v>
      </c>
      <c r="N90" t="s">
        <v>9209</v>
      </c>
      <c r="O90" t="s">
        <v>9099</v>
      </c>
      <c r="U90" t="str">
        <f>_xlfn.LET(_xlpm.x, _xlfn.XLOOKUP(B90,Sheet3!N:N,Sheet3!C:C,""), IF(_xlpm.x=0,"",_xlpm.x))</f>
        <v>劳动合同</v>
      </c>
      <c r="V90" s="5" t="s">
        <v>1615</v>
      </c>
      <c r="X90" t="s">
        <v>4011</v>
      </c>
    </row>
    <row r="91" spans="1:24" ht="15.6" x14ac:dyDescent="0.25">
      <c r="A91" s="8" t="s">
        <v>1809</v>
      </c>
      <c r="B91" s="8" t="s">
        <v>1816</v>
      </c>
      <c r="C91" s="5" t="s">
        <v>8860</v>
      </c>
      <c r="E91" s="5" t="s">
        <v>243</v>
      </c>
      <c r="F91" s="5" t="s">
        <v>242</v>
      </c>
      <c r="G91" s="5" t="s">
        <v>242</v>
      </c>
      <c r="H91" t="s">
        <v>1588</v>
      </c>
      <c r="I91" t="s">
        <v>244</v>
      </c>
      <c r="J91" t="s">
        <v>244</v>
      </c>
      <c r="L91" t="s">
        <v>1813</v>
      </c>
      <c r="M91" t="s">
        <v>9098</v>
      </c>
      <c r="N91" t="s">
        <v>9205</v>
      </c>
      <c r="O91" t="s">
        <v>9195</v>
      </c>
      <c r="U91" t="str">
        <f>_xlfn.LET(_xlpm.x, _xlfn.XLOOKUP(B91,Sheet3!N:N,Sheet3!C:C,""), IF(_xlpm.x=0,"",_xlpm.x))</f>
        <v>劳动合同</v>
      </c>
      <c r="V91" s="5" t="s">
        <v>872</v>
      </c>
      <c r="X91" t="s">
        <v>3990</v>
      </c>
    </row>
    <row r="92" spans="1:24" ht="15.6" x14ac:dyDescent="0.25">
      <c r="A92" s="8" t="s">
        <v>2466</v>
      </c>
      <c r="B92" s="8" t="s">
        <v>2471</v>
      </c>
      <c r="C92" s="5" t="s">
        <v>8861</v>
      </c>
      <c r="E92" s="5" t="s">
        <v>243</v>
      </c>
      <c r="F92" s="5" t="s">
        <v>242</v>
      </c>
      <c r="G92" s="5" t="s">
        <v>242</v>
      </c>
      <c r="H92" t="s">
        <v>459</v>
      </c>
      <c r="I92" t="s">
        <v>878</v>
      </c>
      <c r="J92" t="s">
        <v>244</v>
      </c>
      <c r="L92" t="s">
        <v>904</v>
      </c>
      <c r="M92" t="s">
        <v>9101</v>
      </c>
      <c r="N92" t="s">
        <v>9217</v>
      </c>
      <c r="O92" t="s">
        <v>9156</v>
      </c>
      <c r="U92" t="str">
        <f>_xlfn.LET(_xlpm.x, _xlfn.XLOOKUP(B92,Sheet3!N:N,Sheet3!C:C,""), IF(_xlpm.x=0,"",_xlpm.x))</f>
        <v>劳动合同</v>
      </c>
      <c r="V92" s="5" t="s">
        <v>4000</v>
      </c>
      <c r="X92" t="s">
        <v>4011</v>
      </c>
    </row>
    <row r="93" spans="1:24" ht="15.6" x14ac:dyDescent="0.25">
      <c r="A93" s="8" t="s">
        <v>3365</v>
      </c>
      <c r="B93" s="8" t="s">
        <v>3368</v>
      </c>
      <c r="C93" s="5" t="s">
        <v>8862</v>
      </c>
      <c r="E93" s="5" t="s">
        <v>243</v>
      </c>
      <c r="F93" s="5" t="s">
        <v>492</v>
      </c>
      <c r="G93" s="5" t="s">
        <v>242</v>
      </c>
      <c r="H93" t="s">
        <v>345</v>
      </c>
      <c r="I93" t="s">
        <v>346</v>
      </c>
      <c r="J93" t="s">
        <v>344</v>
      </c>
      <c r="L93" t="s">
        <v>574</v>
      </c>
      <c r="M93" t="s">
        <v>9101</v>
      </c>
      <c r="N93" t="s">
        <v>9215</v>
      </c>
      <c r="O93" t="s">
        <v>9167</v>
      </c>
      <c r="U93" t="str">
        <f>_xlfn.LET(_xlpm.x, _xlfn.XLOOKUP(B93,Sheet3!N:N,Sheet3!C:C,""), IF(_xlpm.x=0,"",_xlpm.x))</f>
        <v>劳动合同</v>
      </c>
      <c r="V93" s="5" t="s">
        <v>4000</v>
      </c>
      <c r="X93" t="s">
        <v>3990</v>
      </c>
    </row>
    <row r="94" spans="1:24" ht="15.6" x14ac:dyDescent="0.25">
      <c r="A94" s="8" t="s">
        <v>3370</v>
      </c>
      <c r="B94" s="8" t="s">
        <v>3374</v>
      </c>
      <c r="C94" s="5" t="s">
        <v>8863</v>
      </c>
      <c r="E94" s="5" t="s">
        <v>243</v>
      </c>
      <c r="F94" s="5" t="s">
        <v>492</v>
      </c>
      <c r="G94" s="5" t="s">
        <v>242</v>
      </c>
      <c r="H94" t="s">
        <v>345</v>
      </c>
      <c r="I94" t="s">
        <v>346</v>
      </c>
      <c r="J94" t="s">
        <v>344</v>
      </c>
      <c r="L94" t="s">
        <v>3372</v>
      </c>
      <c r="M94" t="s">
        <v>9102</v>
      </c>
      <c r="N94" t="s">
        <v>9215</v>
      </c>
      <c r="O94" t="s">
        <v>9161</v>
      </c>
      <c r="U94" t="str">
        <f>_xlfn.LET(_xlpm.x, _xlfn.XLOOKUP(B94,Sheet3!N:N,Sheet3!C:C,""), IF(_xlpm.x=0,"",_xlpm.x))</f>
        <v>劳动合同</v>
      </c>
      <c r="V94" s="5" t="s">
        <v>663</v>
      </c>
      <c r="X94" t="s">
        <v>3990</v>
      </c>
    </row>
    <row r="95" spans="1:24" ht="15.6" x14ac:dyDescent="0.25">
      <c r="A95" s="8" t="s">
        <v>2286</v>
      </c>
      <c r="B95" s="8" t="s">
        <v>2292</v>
      </c>
      <c r="C95" s="5" t="s">
        <v>8864</v>
      </c>
      <c r="E95" s="5" t="s">
        <v>243</v>
      </c>
      <c r="F95" s="5" t="s">
        <v>242</v>
      </c>
      <c r="G95" s="5" t="s">
        <v>242</v>
      </c>
      <c r="H95" t="s">
        <v>376</v>
      </c>
      <c r="I95" t="s">
        <v>244</v>
      </c>
      <c r="J95" t="s">
        <v>244</v>
      </c>
      <c r="L95" t="s">
        <v>2289</v>
      </c>
      <c r="M95" t="s">
        <v>61</v>
      </c>
      <c r="N95" t="s">
        <v>9217</v>
      </c>
      <c r="O95" t="s">
        <v>9186</v>
      </c>
      <c r="U95" t="str">
        <f>_xlfn.LET(_xlpm.x, _xlfn.XLOOKUP(B95,Sheet3!N:N,Sheet3!C:C,""), IF(_xlpm.x=0,"",_xlpm.x))</f>
        <v>劳动合同</v>
      </c>
      <c r="V95" s="5" t="s">
        <v>1615</v>
      </c>
      <c r="X95" t="s">
        <v>3990</v>
      </c>
    </row>
    <row r="96" spans="1:24" ht="15.6" x14ac:dyDescent="0.25">
      <c r="A96" s="8" t="s">
        <v>3093</v>
      </c>
      <c r="B96" s="8" t="s">
        <v>3097</v>
      </c>
      <c r="C96" s="5" t="s">
        <v>8865</v>
      </c>
      <c r="E96" s="5" t="s">
        <v>243</v>
      </c>
      <c r="F96" s="5" t="s">
        <v>242</v>
      </c>
      <c r="G96" s="5" t="s">
        <v>242</v>
      </c>
      <c r="H96" t="s">
        <v>1380</v>
      </c>
      <c r="I96" t="s">
        <v>244</v>
      </c>
      <c r="J96" t="s">
        <v>244</v>
      </c>
      <c r="L96" t="s">
        <v>3095</v>
      </c>
      <c r="M96" t="s">
        <v>9104</v>
      </c>
      <c r="N96" t="s">
        <v>9221</v>
      </c>
      <c r="O96" t="s">
        <v>9100</v>
      </c>
      <c r="U96" t="str">
        <f>_xlfn.LET(_xlpm.x, _xlfn.XLOOKUP(B96,Sheet3!N:N,Sheet3!C:C,""), IF(_xlpm.x=0,"",_xlpm.x))</f>
        <v>劳动合同</v>
      </c>
      <c r="V96" s="5" t="s">
        <v>4000</v>
      </c>
      <c r="X96" t="s">
        <v>4011</v>
      </c>
    </row>
    <row r="97" spans="1:24" ht="15.6" x14ac:dyDescent="0.25">
      <c r="A97" s="8" t="s">
        <v>2347</v>
      </c>
      <c r="B97" s="8" t="s">
        <v>2352</v>
      </c>
      <c r="C97" s="5" t="s">
        <v>8866</v>
      </c>
      <c r="E97" s="5" t="s">
        <v>243</v>
      </c>
      <c r="F97" s="5" t="s">
        <v>242</v>
      </c>
      <c r="G97" s="5" t="s">
        <v>242</v>
      </c>
      <c r="H97" t="s">
        <v>459</v>
      </c>
      <c r="I97" t="s">
        <v>244</v>
      </c>
      <c r="J97" t="s">
        <v>244</v>
      </c>
      <c r="L97" t="s">
        <v>477</v>
      </c>
      <c r="M97" t="s">
        <v>9104</v>
      </c>
      <c r="N97" t="s">
        <v>9220</v>
      </c>
      <c r="O97" t="s">
        <v>9183</v>
      </c>
      <c r="U97" t="str">
        <f>_xlfn.LET(_xlpm.x, _xlfn.XLOOKUP(B97,Sheet3!N:N,Sheet3!C:C,""), IF(_xlpm.x=0,"",_xlpm.x))</f>
        <v>劳动合同</v>
      </c>
      <c r="V97" s="5" t="s">
        <v>4000</v>
      </c>
      <c r="X97" t="s">
        <v>4011</v>
      </c>
    </row>
    <row r="98" spans="1:24" ht="15.6" x14ac:dyDescent="0.25">
      <c r="A98" s="8" t="s">
        <v>291</v>
      </c>
      <c r="B98" s="8" t="s">
        <v>303</v>
      </c>
      <c r="C98" s="5" t="s">
        <v>8867</v>
      </c>
      <c r="E98" s="5" t="s">
        <v>243</v>
      </c>
      <c r="F98" s="5" t="s">
        <v>242</v>
      </c>
      <c r="G98" s="5" t="s">
        <v>242</v>
      </c>
      <c r="H98" t="s">
        <v>298</v>
      </c>
      <c r="J98" t="s">
        <v>244</v>
      </c>
      <c r="K98" t="s">
        <v>297</v>
      </c>
      <c r="L98" t="s">
        <v>296</v>
      </c>
      <c r="M98" t="s">
        <v>245</v>
      </c>
      <c r="N98" t="s">
        <v>9219</v>
      </c>
      <c r="O98" t="s">
        <v>9179</v>
      </c>
      <c r="U98" t="str">
        <f>_xlfn.LET(_xlpm.x, _xlfn.XLOOKUP(B98,Sheet3!N:N,Sheet3!C:C,""), IF(_xlpm.x=0,"",_xlpm.x))</f>
        <v>劳动合同</v>
      </c>
      <c r="V98" s="5" t="s">
        <v>7562</v>
      </c>
      <c r="X98" t="s">
        <v>3990</v>
      </c>
    </row>
    <row r="99" spans="1:24" ht="15.6" x14ac:dyDescent="0.25">
      <c r="A99" s="8" t="s">
        <v>373</v>
      </c>
      <c r="B99" s="8" t="s">
        <v>381</v>
      </c>
      <c r="C99" s="5" t="s">
        <v>8868</v>
      </c>
      <c r="E99" s="5" t="s">
        <v>243</v>
      </c>
      <c r="F99" s="5" t="s">
        <v>242</v>
      </c>
      <c r="G99" s="5" t="s">
        <v>242</v>
      </c>
      <c r="H99" t="s">
        <v>376</v>
      </c>
      <c r="I99" t="s">
        <v>244</v>
      </c>
      <c r="J99" t="s">
        <v>244</v>
      </c>
      <c r="L99" t="s">
        <v>319</v>
      </c>
      <c r="M99" t="s">
        <v>58</v>
      </c>
      <c r="N99" t="s">
        <v>9217</v>
      </c>
      <c r="O99" t="s">
        <v>9144</v>
      </c>
      <c r="U99" t="str">
        <f>_xlfn.LET(_xlpm.x, _xlfn.XLOOKUP(B99,Sheet3!N:N,Sheet3!C:C,""), IF(_xlpm.x=0,"",_xlpm.x))</f>
        <v>劳动合同</v>
      </c>
      <c r="V99" s="5" t="s">
        <v>390</v>
      </c>
      <c r="X99" t="s">
        <v>4011</v>
      </c>
    </row>
    <row r="100" spans="1:24" ht="15.6" x14ac:dyDescent="0.25">
      <c r="A100" s="8" t="s">
        <v>1999</v>
      </c>
      <c r="B100" s="8" t="s">
        <v>2004</v>
      </c>
      <c r="C100" s="5" t="s">
        <v>8869</v>
      </c>
      <c r="E100" s="5" t="s">
        <v>243</v>
      </c>
      <c r="F100" s="5" t="s">
        <v>242</v>
      </c>
      <c r="G100" s="5" t="s">
        <v>492</v>
      </c>
      <c r="H100" t="s">
        <v>1353</v>
      </c>
      <c r="I100" t="s">
        <v>244</v>
      </c>
      <c r="J100" t="s">
        <v>244</v>
      </c>
      <c r="L100" t="s">
        <v>2002</v>
      </c>
      <c r="M100" t="s">
        <v>9104</v>
      </c>
      <c r="N100" t="s">
        <v>9205</v>
      </c>
      <c r="O100" t="s">
        <v>9095</v>
      </c>
      <c r="U100" t="str">
        <f>_xlfn.LET(_xlpm.x, _xlfn.XLOOKUP(B100,Sheet3!N:N,Sheet3!C:C,""), IF(_xlpm.x=0,"",_xlpm.x))</f>
        <v>劳动合同</v>
      </c>
      <c r="V100" s="5" t="s">
        <v>1090</v>
      </c>
      <c r="X100" t="s">
        <v>4011</v>
      </c>
    </row>
    <row r="101" spans="1:24" ht="15.6" x14ac:dyDescent="0.25">
      <c r="A101" s="8" t="s">
        <v>2170</v>
      </c>
      <c r="B101" s="8" t="s">
        <v>2175</v>
      </c>
      <c r="C101" s="5" t="s">
        <v>8870</v>
      </c>
      <c r="E101" s="5" t="s">
        <v>243</v>
      </c>
      <c r="F101" s="5" t="s">
        <v>242</v>
      </c>
      <c r="G101" s="5" t="s">
        <v>242</v>
      </c>
      <c r="H101" t="s">
        <v>533</v>
      </c>
      <c r="I101" t="s">
        <v>244</v>
      </c>
      <c r="J101" t="s">
        <v>244</v>
      </c>
      <c r="L101" t="s">
        <v>1209</v>
      </c>
      <c r="M101" t="s">
        <v>9098</v>
      </c>
      <c r="N101" t="s">
        <v>9210</v>
      </c>
      <c r="O101" t="s">
        <v>9123</v>
      </c>
      <c r="U101" t="str">
        <f>_xlfn.LET(_xlpm.x, _xlfn.XLOOKUP(B101,Sheet3!N:N,Sheet3!C:C,""), IF(_xlpm.x=0,"",_xlpm.x))</f>
        <v>劳动合同</v>
      </c>
      <c r="V101" s="5" t="s">
        <v>4000</v>
      </c>
      <c r="X101" t="s">
        <v>4011</v>
      </c>
    </row>
    <row r="102" spans="1:24" ht="15.6" x14ac:dyDescent="0.25">
      <c r="A102" s="8" t="s">
        <v>2589</v>
      </c>
      <c r="B102" s="8" t="s">
        <v>2596</v>
      </c>
      <c r="C102" s="5" t="s">
        <v>8871</v>
      </c>
      <c r="E102" s="5" t="s">
        <v>243</v>
      </c>
      <c r="F102" s="5" t="s">
        <v>242</v>
      </c>
      <c r="G102" s="5" t="s">
        <v>242</v>
      </c>
      <c r="H102" t="s">
        <v>1588</v>
      </c>
      <c r="I102" t="s">
        <v>244</v>
      </c>
      <c r="J102" t="s">
        <v>244</v>
      </c>
      <c r="L102" t="s">
        <v>2593</v>
      </c>
      <c r="M102" t="s">
        <v>9104</v>
      </c>
      <c r="N102" t="s">
        <v>9205</v>
      </c>
      <c r="O102" t="s">
        <v>9095</v>
      </c>
      <c r="U102" t="str">
        <f>_xlfn.LET(_xlpm.x, _xlfn.XLOOKUP(B102,Sheet3!N:N,Sheet3!C:C,""), IF(_xlpm.x=0,"",_xlpm.x))</f>
        <v>劳动合同</v>
      </c>
      <c r="V102" s="5" t="s">
        <v>4000</v>
      </c>
      <c r="X102" t="s">
        <v>4011</v>
      </c>
    </row>
    <row r="103" spans="1:24" ht="15.6" x14ac:dyDescent="0.25">
      <c r="A103" s="8" t="s">
        <v>2340</v>
      </c>
      <c r="B103" s="8" t="s">
        <v>2344</v>
      </c>
      <c r="C103" s="5" t="s">
        <v>8872</v>
      </c>
      <c r="E103" s="5" t="s">
        <v>243</v>
      </c>
      <c r="F103" s="5" t="s">
        <v>492</v>
      </c>
      <c r="G103" s="5" t="s">
        <v>242</v>
      </c>
      <c r="H103" t="s">
        <v>345</v>
      </c>
      <c r="I103" t="s">
        <v>346</v>
      </c>
      <c r="J103" t="s">
        <v>344</v>
      </c>
      <c r="L103" t="s">
        <v>2342</v>
      </c>
      <c r="M103" t="s">
        <v>9101</v>
      </c>
      <c r="N103" t="s">
        <v>9215</v>
      </c>
      <c r="O103" t="s">
        <v>9167</v>
      </c>
      <c r="U103" t="str">
        <f>_xlfn.LET(_xlpm.x, _xlfn.XLOOKUP(B103,Sheet3!N:N,Sheet3!C:C,""), IF(_xlpm.x=0,"",_xlpm.x))</f>
        <v>劳动合同</v>
      </c>
      <c r="V103" s="5" t="s">
        <v>1166</v>
      </c>
      <c r="X103" t="s">
        <v>3990</v>
      </c>
    </row>
    <row r="104" spans="1:24" ht="15.6" x14ac:dyDescent="0.25">
      <c r="A104" s="8" t="s">
        <v>1390</v>
      </c>
      <c r="B104" s="8" t="s">
        <v>1396</v>
      </c>
      <c r="C104" s="5" t="s">
        <v>8873</v>
      </c>
      <c r="E104" s="5" t="s">
        <v>243</v>
      </c>
      <c r="F104" s="5" t="s">
        <v>492</v>
      </c>
      <c r="G104" s="5" t="s">
        <v>242</v>
      </c>
      <c r="H104" t="s">
        <v>345</v>
      </c>
      <c r="I104" t="s">
        <v>346</v>
      </c>
      <c r="J104" t="s">
        <v>344</v>
      </c>
      <c r="L104" t="s">
        <v>1394</v>
      </c>
      <c r="M104" t="s">
        <v>905</v>
      </c>
      <c r="N104" t="s">
        <v>9213</v>
      </c>
      <c r="O104" t="s">
        <v>9194</v>
      </c>
      <c r="U104" t="str">
        <f>_xlfn.LET(_xlpm.x, _xlfn.XLOOKUP(B104,Sheet3!N:N,Sheet3!C:C,""), IF(_xlpm.x=0,"",_xlpm.x))</f>
        <v>劳动合同</v>
      </c>
      <c r="V104" s="5" t="s">
        <v>1229</v>
      </c>
      <c r="X104" t="s">
        <v>3990</v>
      </c>
    </row>
    <row r="105" spans="1:24" ht="15.6" x14ac:dyDescent="0.25">
      <c r="A105" s="8" t="s">
        <v>2610</v>
      </c>
      <c r="B105" s="8" t="s">
        <v>2615</v>
      </c>
      <c r="C105" s="5" t="s">
        <v>8874</v>
      </c>
      <c r="E105" s="5" t="s">
        <v>243</v>
      </c>
      <c r="F105" s="5" t="s">
        <v>492</v>
      </c>
      <c r="G105" s="5" t="s">
        <v>242</v>
      </c>
      <c r="H105" t="s">
        <v>345</v>
      </c>
      <c r="I105" t="s">
        <v>346</v>
      </c>
      <c r="J105" t="s">
        <v>2184</v>
      </c>
      <c r="L105" t="s">
        <v>2613</v>
      </c>
      <c r="M105" t="s">
        <v>9098</v>
      </c>
      <c r="N105" t="s">
        <v>9209</v>
      </c>
      <c r="O105" t="s">
        <v>9105</v>
      </c>
      <c r="U105" t="str">
        <f>_xlfn.LET(_xlpm.x, _xlfn.XLOOKUP(B105,Sheet3!N:N,Sheet3!C:C,""), IF(_xlpm.x=0,"",_xlpm.x))</f>
        <v>劳动合同</v>
      </c>
      <c r="V105" s="5" t="s">
        <v>4000</v>
      </c>
      <c r="X105" t="s">
        <v>3990</v>
      </c>
    </row>
    <row r="106" spans="1:24" ht="15.6" x14ac:dyDescent="0.25">
      <c r="A106" s="8" t="s">
        <v>2040</v>
      </c>
      <c r="B106" s="8" t="s">
        <v>2044</v>
      </c>
      <c r="C106" s="5" t="s">
        <v>8875</v>
      </c>
      <c r="E106" s="5" t="s">
        <v>243</v>
      </c>
      <c r="F106" s="5" t="s">
        <v>242</v>
      </c>
      <c r="G106" s="5" t="s">
        <v>242</v>
      </c>
      <c r="H106" t="s">
        <v>376</v>
      </c>
      <c r="I106" t="s">
        <v>244</v>
      </c>
      <c r="J106" t="s">
        <v>244</v>
      </c>
      <c r="L106" t="s">
        <v>319</v>
      </c>
      <c r="M106" t="s">
        <v>9098</v>
      </c>
      <c r="N106" t="s">
        <v>9217</v>
      </c>
      <c r="O106" t="s">
        <v>9178</v>
      </c>
      <c r="U106" t="str">
        <f>_xlfn.LET(_xlpm.x, _xlfn.XLOOKUP(B106,Sheet3!N:N,Sheet3!C:C,""), IF(_xlpm.x=0,"",_xlpm.x))</f>
        <v>劳动合同</v>
      </c>
      <c r="V106" s="5" t="s">
        <v>894</v>
      </c>
      <c r="X106" t="s">
        <v>4011</v>
      </c>
    </row>
    <row r="107" spans="1:24" ht="15.6" x14ac:dyDescent="0.25">
      <c r="A107" s="8" t="s">
        <v>2031</v>
      </c>
      <c r="B107" s="8" t="s">
        <v>2035</v>
      </c>
      <c r="C107" s="5" t="s">
        <v>8876</v>
      </c>
      <c r="E107" s="5" t="s">
        <v>243</v>
      </c>
      <c r="F107" s="5" t="s">
        <v>242</v>
      </c>
      <c r="G107" s="5" t="s">
        <v>242</v>
      </c>
      <c r="H107" t="s">
        <v>241</v>
      </c>
      <c r="I107" t="s">
        <v>244</v>
      </c>
      <c r="J107" t="s">
        <v>244</v>
      </c>
      <c r="L107" t="s">
        <v>240</v>
      </c>
      <c r="M107" t="s">
        <v>58</v>
      </c>
      <c r="N107" t="s">
        <v>9206</v>
      </c>
      <c r="O107" t="s">
        <v>9128</v>
      </c>
      <c r="U107" t="str">
        <f>_xlfn.LET(_xlpm.x, _xlfn.XLOOKUP(B107,Sheet3!N:N,Sheet3!C:C,""), IF(_xlpm.x=0,"",_xlpm.x))</f>
        <v>劳动合同</v>
      </c>
      <c r="V107" s="5" t="s">
        <v>4000</v>
      </c>
      <c r="X107" t="s">
        <v>4011</v>
      </c>
    </row>
    <row r="108" spans="1:24" ht="15.6" x14ac:dyDescent="0.25">
      <c r="A108" s="8" t="s">
        <v>2504</v>
      </c>
      <c r="B108" s="8" t="s">
        <v>2511</v>
      </c>
      <c r="C108" s="5" t="s">
        <v>8877</v>
      </c>
      <c r="E108" s="5" t="s">
        <v>243</v>
      </c>
      <c r="F108" s="5" t="s">
        <v>242</v>
      </c>
      <c r="G108" s="5" t="s">
        <v>242</v>
      </c>
      <c r="H108" t="s">
        <v>1515</v>
      </c>
      <c r="I108" t="s">
        <v>244</v>
      </c>
      <c r="J108" t="s">
        <v>244</v>
      </c>
      <c r="L108" t="s">
        <v>2508</v>
      </c>
      <c r="M108" t="s">
        <v>9098</v>
      </c>
      <c r="N108" t="s">
        <v>9213</v>
      </c>
      <c r="O108" t="s">
        <v>9119</v>
      </c>
      <c r="U108" t="str">
        <f>_xlfn.LET(_xlpm.x, _xlfn.XLOOKUP(B108,Sheet3!N:N,Sheet3!C:C,""), IF(_xlpm.x=0,"",_xlpm.x))</f>
        <v>劳动合同</v>
      </c>
      <c r="V108" s="5" t="s">
        <v>1478</v>
      </c>
      <c r="X108" t="s">
        <v>3990</v>
      </c>
    </row>
    <row r="109" spans="1:24" ht="15.6" x14ac:dyDescent="0.25">
      <c r="A109" s="8" t="s">
        <v>2899</v>
      </c>
      <c r="B109" s="8" t="s">
        <v>2903</v>
      </c>
      <c r="C109" s="5" t="s">
        <v>8878</v>
      </c>
      <c r="E109" s="5" t="s">
        <v>243</v>
      </c>
      <c r="F109" s="5" t="s">
        <v>492</v>
      </c>
      <c r="G109" s="5" t="s">
        <v>492</v>
      </c>
      <c r="H109" t="s">
        <v>553</v>
      </c>
      <c r="I109" t="s">
        <v>244</v>
      </c>
      <c r="J109" t="s">
        <v>244</v>
      </c>
      <c r="L109" t="s">
        <v>2072</v>
      </c>
      <c r="M109" t="s">
        <v>2152</v>
      </c>
      <c r="N109" t="s">
        <v>9207</v>
      </c>
      <c r="O109" t="s">
        <v>9175</v>
      </c>
      <c r="U109" t="str">
        <f>_xlfn.LET(_xlpm.x, _xlfn.XLOOKUP(B109,Sheet3!N:N,Sheet3!C:C,""), IF(_xlpm.x=0,"",_xlpm.x))</f>
        <v>劳动合同</v>
      </c>
      <c r="V109" s="5" t="s">
        <v>1166</v>
      </c>
      <c r="X109" t="s">
        <v>4011</v>
      </c>
    </row>
    <row r="110" spans="1:24" ht="15.6" x14ac:dyDescent="0.25">
      <c r="A110" s="8" t="s">
        <v>2718</v>
      </c>
      <c r="B110" s="8" t="s">
        <v>2722</v>
      </c>
      <c r="C110" s="5" t="s">
        <v>8879</v>
      </c>
      <c r="E110" s="5" t="s">
        <v>243</v>
      </c>
      <c r="F110" s="5" t="s">
        <v>242</v>
      </c>
      <c r="G110" s="5" t="s">
        <v>242</v>
      </c>
      <c r="H110" t="s">
        <v>1967</v>
      </c>
      <c r="I110" t="s">
        <v>244</v>
      </c>
      <c r="J110" t="s">
        <v>244</v>
      </c>
      <c r="L110" t="s">
        <v>2720</v>
      </c>
      <c r="M110" t="s">
        <v>9098</v>
      </c>
      <c r="N110" t="s">
        <v>9209</v>
      </c>
      <c r="O110" t="s">
        <v>9105</v>
      </c>
      <c r="U110" t="str">
        <f>_xlfn.LET(_xlpm.x, _xlfn.XLOOKUP(B110,Sheet3!N:N,Sheet3!C:C,""), IF(_xlpm.x=0,"",_xlpm.x))</f>
        <v>劳动合同</v>
      </c>
      <c r="V110" s="5" t="s">
        <v>1615</v>
      </c>
      <c r="X110" t="s">
        <v>3990</v>
      </c>
    </row>
    <row r="111" spans="1:24" ht="15.6" x14ac:dyDescent="0.25">
      <c r="A111" s="8" t="s">
        <v>2656</v>
      </c>
      <c r="B111" s="8" t="s">
        <v>2659</v>
      </c>
      <c r="C111" s="5" t="s">
        <v>8880</v>
      </c>
      <c r="E111" s="5" t="s">
        <v>243</v>
      </c>
      <c r="F111" s="5" t="s">
        <v>492</v>
      </c>
      <c r="G111" s="5" t="s">
        <v>242</v>
      </c>
      <c r="H111" t="s">
        <v>345</v>
      </c>
      <c r="I111" t="s">
        <v>346</v>
      </c>
      <c r="J111" t="s">
        <v>344</v>
      </c>
      <c r="L111" t="s">
        <v>574</v>
      </c>
      <c r="M111" t="s">
        <v>2152</v>
      </c>
      <c r="N111" t="s">
        <v>9215</v>
      </c>
      <c r="O111" t="s">
        <v>9160</v>
      </c>
      <c r="U111" t="str">
        <f>_xlfn.LET(_xlpm.x, _xlfn.XLOOKUP(B111,Sheet3!N:N,Sheet3!C:C,""), IF(_xlpm.x=0,"",_xlpm.x))</f>
        <v>劳动合同</v>
      </c>
      <c r="V111" s="5" t="s">
        <v>1090</v>
      </c>
      <c r="X111" t="s">
        <v>3990</v>
      </c>
    </row>
    <row r="112" spans="1:24" ht="15.6" x14ac:dyDescent="0.25">
      <c r="A112" s="8" t="s">
        <v>2706</v>
      </c>
      <c r="B112" s="8" t="s">
        <v>2709</v>
      </c>
      <c r="C112" s="5" t="s">
        <v>8881</v>
      </c>
      <c r="E112" s="5" t="s">
        <v>243</v>
      </c>
      <c r="F112" s="5" t="s">
        <v>492</v>
      </c>
      <c r="G112" s="5" t="s">
        <v>492</v>
      </c>
      <c r="H112" t="s">
        <v>553</v>
      </c>
      <c r="I112" t="s">
        <v>244</v>
      </c>
      <c r="J112" t="s">
        <v>244</v>
      </c>
      <c r="L112" t="s">
        <v>551</v>
      </c>
      <c r="M112" t="s">
        <v>905</v>
      </c>
      <c r="N112" t="s">
        <v>9207</v>
      </c>
      <c r="O112" t="s">
        <v>9153</v>
      </c>
      <c r="U112" t="str">
        <f>_xlfn.LET(_xlpm.x, _xlfn.XLOOKUP(B112,Sheet3!N:N,Sheet3!C:C,""), IF(_xlpm.x=0,"",_xlpm.x))</f>
        <v>劳动合同</v>
      </c>
      <c r="V112" s="5" t="s">
        <v>1090</v>
      </c>
      <c r="X112" t="s">
        <v>3990</v>
      </c>
    </row>
    <row r="113" spans="1:24" ht="15.6" x14ac:dyDescent="0.25">
      <c r="A113" s="8" t="s">
        <v>1820</v>
      </c>
      <c r="B113" s="8" t="s">
        <v>1824</v>
      </c>
      <c r="C113" s="5" t="s">
        <v>8882</v>
      </c>
      <c r="E113" s="5" t="s">
        <v>243</v>
      </c>
      <c r="F113" s="5" t="s">
        <v>242</v>
      </c>
      <c r="G113" s="5" t="s">
        <v>242</v>
      </c>
      <c r="H113" t="s">
        <v>459</v>
      </c>
      <c r="I113" t="s">
        <v>878</v>
      </c>
      <c r="J113" t="s">
        <v>244</v>
      </c>
      <c r="L113" t="s">
        <v>1796</v>
      </c>
      <c r="M113" t="s">
        <v>905</v>
      </c>
      <c r="N113" t="s">
        <v>9209</v>
      </c>
      <c r="O113" t="s">
        <v>9099</v>
      </c>
      <c r="U113" t="str">
        <f>_xlfn.LET(_xlpm.x, _xlfn.XLOOKUP(B113,Sheet3!N:N,Sheet3!C:C,""), IF(_xlpm.x=0,"",_xlpm.x))</f>
        <v>劳动合同</v>
      </c>
      <c r="V113" s="5" t="s">
        <v>4000</v>
      </c>
      <c r="X113" t="s">
        <v>3990</v>
      </c>
    </row>
    <row r="114" spans="1:24" ht="15.6" x14ac:dyDescent="0.25">
      <c r="A114" s="8" t="s">
        <v>1863</v>
      </c>
      <c r="B114" s="8" t="s">
        <v>1867</v>
      </c>
      <c r="C114" s="5" t="s">
        <v>8883</v>
      </c>
      <c r="E114" s="5" t="s">
        <v>243</v>
      </c>
      <c r="F114" s="5" t="s">
        <v>492</v>
      </c>
      <c r="G114" s="5" t="s">
        <v>242</v>
      </c>
      <c r="H114" t="s">
        <v>345</v>
      </c>
      <c r="I114" t="s">
        <v>346</v>
      </c>
      <c r="J114" t="s">
        <v>344</v>
      </c>
      <c r="L114" t="s">
        <v>1865</v>
      </c>
      <c r="M114" t="s">
        <v>58</v>
      </c>
      <c r="N114" t="s">
        <v>9215</v>
      </c>
      <c r="O114" t="s">
        <v>9193</v>
      </c>
      <c r="U114" t="str">
        <f>_xlfn.LET(_xlpm.x, _xlfn.XLOOKUP(B114,Sheet3!N:N,Sheet3!C:C,""), IF(_xlpm.x=0,"",_xlpm.x))</f>
        <v>劳动合同</v>
      </c>
      <c r="V114" s="5" t="s">
        <v>1090</v>
      </c>
      <c r="X114" t="s">
        <v>3990</v>
      </c>
    </row>
    <row r="115" spans="1:24" ht="15.6" x14ac:dyDescent="0.25">
      <c r="A115" s="8" t="s">
        <v>1403</v>
      </c>
      <c r="B115" s="8" t="s">
        <v>1408</v>
      </c>
      <c r="C115" s="5" t="s">
        <v>8884</v>
      </c>
      <c r="E115" s="5" t="s">
        <v>243</v>
      </c>
      <c r="F115" s="5" t="s">
        <v>492</v>
      </c>
      <c r="G115" s="5" t="s">
        <v>242</v>
      </c>
      <c r="H115" t="s">
        <v>345</v>
      </c>
      <c r="I115" t="s">
        <v>346</v>
      </c>
      <c r="J115" t="s">
        <v>344</v>
      </c>
      <c r="L115" t="s">
        <v>1406</v>
      </c>
      <c r="M115" t="s">
        <v>905</v>
      </c>
      <c r="N115" t="s">
        <v>9213</v>
      </c>
      <c r="O115" t="s">
        <v>9194</v>
      </c>
      <c r="U115" t="str">
        <f>_xlfn.LET(_xlpm.x, _xlfn.XLOOKUP(B115,Sheet3!N:N,Sheet3!C:C,""), IF(_xlpm.x=0,"",_xlpm.x))</f>
        <v>劳动合同</v>
      </c>
      <c r="V115" s="5" t="s">
        <v>1229</v>
      </c>
      <c r="X115" t="s">
        <v>3990</v>
      </c>
    </row>
    <row r="116" spans="1:24" ht="15.6" x14ac:dyDescent="0.25">
      <c r="A116" s="8" t="s">
        <v>1376</v>
      </c>
      <c r="B116" s="8" t="s">
        <v>1383</v>
      </c>
      <c r="C116" s="5" t="s">
        <v>8885</v>
      </c>
      <c r="E116" s="5" t="s">
        <v>243</v>
      </c>
      <c r="F116" s="5" t="s">
        <v>242</v>
      </c>
      <c r="G116" s="5" t="s">
        <v>242</v>
      </c>
      <c r="H116" t="s">
        <v>1380</v>
      </c>
      <c r="I116" t="s">
        <v>244</v>
      </c>
      <c r="J116" t="s">
        <v>244</v>
      </c>
      <c r="L116" t="s">
        <v>1379</v>
      </c>
      <c r="M116" t="s">
        <v>58</v>
      </c>
      <c r="N116" t="s">
        <v>9221</v>
      </c>
      <c r="O116" t="s">
        <v>9199</v>
      </c>
      <c r="U116" t="str">
        <f>_xlfn.LET(_xlpm.x, _xlfn.XLOOKUP(B116,Sheet3!N:N,Sheet3!C:C,""), IF(_xlpm.x=0,"",_xlpm.x))</f>
        <v>劳动合同</v>
      </c>
      <c r="V116" s="5" t="s">
        <v>1281</v>
      </c>
      <c r="X116" t="s">
        <v>3990</v>
      </c>
    </row>
    <row r="117" spans="1:24" ht="15.6" x14ac:dyDescent="0.25">
      <c r="A117" s="8" t="s">
        <v>1880</v>
      </c>
      <c r="B117" s="8" t="s">
        <v>1883</v>
      </c>
      <c r="C117" s="5" t="s">
        <v>8886</v>
      </c>
      <c r="E117" s="5" t="s">
        <v>243</v>
      </c>
      <c r="F117" s="5" t="s">
        <v>492</v>
      </c>
      <c r="G117" s="5" t="s">
        <v>242</v>
      </c>
      <c r="H117" t="s">
        <v>345</v>
      </c>
      <c r="I117" t="s">
        <v>346</v>
      </c>
      <c r="J117" t="s">
        <v>344</v>
      </c>
      <c r="L117" t="s">
        <v>574</v>
      </c>
      <c r="M117" t="s">
        <v>2152</v>
      </c>
      <c r="N117" t="s">
        <v>9215</v>
      </c>
      <c r="O117" t="s">
        <v>9160</v>
      </c>
      <c r="U117" t="str">
        <f>_xlfn.LET(_xlpm.x, _xlfn.XLOOKUP(B117,Sheet3!N:N,Sheet3!C:C,""), IF(_xlpm.x=0,"",_xlpm.x))</f>
        <v>劳动合同</v>
      </c>
      <c r="V117" s="5" t="s">
        <v>1090</v>
      </c>
      <c r="X117" t="s">
        <v>3990</v>
      </c>
    </row>
    <row r="118" spans="1:24" ht="15.6" x14ac:dyDescent="0.25">
      <c r="A118" s="8" t="s">
        <v>2223</v>
      </c>
      <c r="B118" s="8" t="s">
        <v>2227</v>
      </c>
      <c r="C118" s="5" t="s">
        <v>8887</v>
      </c>
      <c r="E118" s="5" t="s">
        <v>243</v>
      </c>
      <c r="F118" s="5" t="s">
        <v>492</v>
      </c>
      <c r="G118" s="5" t="s">
        <v>242</v>
      </c>
      <c r="H118" t="s">
        <v>345</v>
      </c>
      <c r="I118" t="s">
        <v>346</v>
      </c>
      <c r="J118" t="s">
        <v>2184</v>
      </c>
      <c r="L118" t="s">
        <v>2225</v>
      </c>
      <c r="M118" t="s">
        <v>9098</v>
      </c>
      <c r="N118" t="s">
        <v>9209</v>
      </c>
      <c r="O118" t="s">
        <v>9105</v>
      </c>
      <c r="U118" t="str">
        <f>_xlfn.LET(_xlpm.x, _xlfn.XLOOKUP(B118,Sheet3!N:N,Sheet3!C:C,""), IF(_xlpm.x=0,"",_xlpm.x))</f>
        <v>劳动合同</v>
      </c>
      <c r="V118" s="5" t="s">
        <v>1166</v>
      </c>
      <c r="X118" t="s">
        <v>3990</v>
      </c>
    </row>
    <row r="119" spans="1:24" ht="15.6" x14ac:dyDescent="0.25">
      <c r="A119" s="8" t="s">
        <v>705</v>
      </c>
      <c r="B119" s="8" t="s">
        <v>712</v>
      </c>
      <c r="C119" s="5" t="s">
        <v>8888</v>
      </c>
      <c r="E119" s="5" t="s">
        <v>243</v>
      </c>
      <c r="F119" s="5" t="s">
        <v>242</v>
      </c>
      <c r="G119" s="5" t="s">
        <v>242</v>
      </c>
      <c r="H119" t="s">
        <v>298</v>
      </c>
      <c r="J119" t="s">
        <v>244</v>
      </c>
      <c r="K119" t="s">
        <v>709</v>
      </c>
      <c r="L119" t="s">
        <v>708</v>
      </c>
      <c r="M119" t="s">
        <v>63</v>
      </c>
      <c r="N119" t="s">
        <v>9221</v>
      </c>
      <c r="O119" t="s">
        <v>9136</v>
      </c>
      <c r="U119" t="str">
        <f>_xlfn.LET(_xlpm.x, _xlfn.XLOOKUP(B119,Sheet3!N:N,Sheet3!C:C,""), IF(_xlpm.x=0,"",_xlpm.x))</f>
        <v>劳动合同</v>
      </c>
      <c r="V119" s="5" t="s">
        <v>7703</v>
      </c>
      <c r="X119" t="s">
        <v>3990</v>
      </c>
    </row>
    <row r="120" spans="1:24" ht="15.6" x14ac:dyDescent="0.25">
      <c r="A120" s="8" t="s">
        <v>1071</v>
      </c>
      <c r="B120" s="8" t="s">
        <v>1079</v>
      </c>
      <c r="C120" s="5" t="s">
        <v>8889</v>
      </c>
      <c r="E120" s="5" t="s">
        <v>243</v>
      </c>
      <c r="F120" s="5" t="s">
        <v>256</v>
      </c>
      <c r="G120" s="5" t="s">
        <v>256</v>
      </c>
      <c r="H120" t="s">
        <v>255</v>
      </c>
      <c r="I120" t="s">
        <v>244</v>
      </c>
      <c r="J120" t="s">
        <v>244</v>
      </c>
      <c r="L120" t="s">
        <v>506</v>
      </c>
      <c r="M120" t="s">
        <v>58</v>
      </c>
      <c r="N120" t="s">
        <v>9206</v>
      </c>
      <c r="O120" t="s">
        <v>9128</v>
      </c>
      <c r="U120" t="str">
        <f>_xlfn.LET(_xlpm.x, _xlfn.XLOOKUP(B120,Sheet3!N:N,Sheet3!C:C,""), IF(_xlpm.x=0,"",_xlpm.x))</f>
        <v>劳动合同</v>
      </c>
      <c r="V120" s="5" t="s">
        <v>1090</v>
      </c>
      <c r="X120" t="s">
        <v>4011</v>
      </c>
    </row>
    <row r="121" spans="1:24" ht="15.6" x14ac:dyDescent="0.25">
      <c r="A121" s="8" t="s">
        <v>1772</v>
      </c>
      <c r="B121" s="8" t="s">
        <v>1775</v>
      </c>
      <c r="C121" s="5" t="s">
        <v>8890</v>
      </c>
      <c r="E121" s="5" t="s">
        <v>243</v>
      </c>
      <c r="F121" s="5" t="s">
        <v>492</v>
      </c>
      <c r="G121" s="5" t="s">
        <v>492</v>
      </c>
      <c r="H121" t="s">
        <v>553</v>
      </c>
      <c r="I121" t="s">
        <v>244</v>
      </c>
      <c r="J121" t="s">
        <v>244</v>
      </c>
      <c r="L121" t="s">
        <v>616</v>
      </c>
      <c r="M121" t="s">
        <v>61</v>
      </c>
      <c r="N121" t="s">
        <v>9207</v>
      </c>
      <c r="O121" t="s">
        <v>9177</v>
      </c>
      <c r="U121" t="str">
        <f>_xlfn.LET(_xlpm.x, _xlfn.XLOOKUP(B121,Sheet3!N:N,Sheet3!C:C,""), IF(_xlpm.x=0,"",_xlpm.x))</f>
        <v>劳动合同</v>
      </c>
      <c r="V121" s="5" t="s">
        <v>663</v>
      </c>
      <c r="X121" t="s">
        <v>3990</v>
      </c>
    </row>
    <row r="122" spans="1:24" ht="15.6" x14ac:dyDescent="0.25">
      <c r="A122" s="8" t="s">
        <v>2098</v>
      </c>
      <c r="B122" s="8" t="s">
        <v>2103</v>
      </c>
      <c r="C122" s="5" t="s">
        <v>8891</v>
      </c>
      <c r="E122" s="5" t="s">
        <v>243</v>
      </c>
      <c r="F122" s="5" t="s">
        <v>242</v>
      </c>
      <c r="G122" s="5" t="s">
        <v>242</v>
      </c>
      <c r="H122" t="s">
        <v>420</v>
      </c>
      <c r="I122" t="s">
        <v>244</v>
      </c>
      <c r="J122" t="s">
        <v>244</v>
      </c>
      <c r="L122" t="s">
        <v>2101</v>
      </c>
      <c r="M122" t="s">
        <v>905</v>
      </c>
      <c r="N122" t="s">
        <v>9217</v>
      </c>
      <c r="O122" t="s">
        <v>9157</v>
      </c>
      <c r="U122" t="str">
        <f>_xlfn.LET(_xlpm.x, _xlfn.XLOOKUP(B122,Sheet3!N:N,Sheet3!C:C,""), IF(_xlpm.x=0,"",_xlpm.x))</f>
        <v>劳动合同</v>
      </c>
      <c r="V122" s="5" t="s">
        <v>872</v>
      </c>
      <c r="X122" t="s">
        <v>3990</v>
      </c>
    </row>
    <row r="123" spans="1:24" ht="15.6" x14ac:dyDescent="0.25">
      <c r="A123" s="8" t="s">
        <v>1534</v>
      </c>
      <c r="B123" s="8" t="s">
        <v>1539</v>
      </c>
      <c r="C123" s="5" t="s">
        <v>8892</v>
      </c>
      <c r="E123" s="5" t="s">
        <v>243</v>
      </c>
      <c r="F123" s="5" t="s">
        <v>242</v>
      </c>
      <c r="G123" s="5" t="s">
        <v>242</v>
      </c>
      <c r="H123" t="s">
        <v>1353</v>
      </c>
      <c r="I123" t="s">
        <v>244</v>
      </c>
      <c r="J123" t="s">
        <v>244</v>
      </c>
      <c r="L123" t="s">
        <v>1536</v>
      </c>
      <c r="M123" t="s">
        <v>9098</v>
      </c>
      <c r="N123" t="s">
        <v>9205</v>
      </c>
      <c r="O123" t="s">
        <v>9195</v>
      </c>
      <c r="U123" t="str">
        <f>_xlfn.LET(_xlpm.x, _xlfn.XLOOKUP(B123,Sheet3!N:N,Sheet3!C:C,""), IF(_xlpm.x=0,"",_xlpm.x))</f>
        <v>劳动合同</v>
      </c>
      <c r="V123" s="5" t="s">
        <v>1281</v>
      </c>
      <c r="X123" t="s">
        <v>3990</v>
      </c>
    </row>
    <row r="124" spans="1:24" ht="15.6" x14ac:dyDescent="0.25">
      <c r="A124" s="8" t="s">
        <v>1972</v>
      </c>
      <c r="B124" s="8" t="s">
        <v>1976</v>
      </c>
      <c r="C124" s="5" t="s">
        <v>8893</v>
      </c>
      <c r="E124" s="5" t="s">
        <v>243</v>
      </c>
      <c r="F124" s="5" t="s">
        <v>242</v>
      </c>
      <c r="G124" s="5" t="s">
        <v>242</v>
      </c>
      <c r="H124" t="s">
        <v>1380</v>
      </c>
      <c r="I124" t="s">
        <v>244</v>
      </c>
      <c r="J124" t="s">
        <v>244</v>
      </c>
      <c r="L124" t="s">
        <v>1379</v>
      </c>
      <c r="M124" t="s">
        <v>2152</v>
      </c>
      <c r="N124" t="s">
        <v>9221</v>
      </c>
      <c r="O124" t="s">
        <v>9185</v>
      </c>
      <c r="U124" t="str">
        <f>_xlfn.LET(_xlpm.x, _xlfn.XLOOKUP(B124,Sheet3!N:N,Sheet3!C:C,""), IF(_xlpm.x=0,"",_xlpm.x))</f>
        <v>劳动合同</v>
      </c>
      <c r="V124" s="5" t="s">
        <v>4000</v>
      </c>
      <c r="X124" t="s">
        <v>3990</v>
      </c>
    </row>
    <row r="125" spans="1:24" ht="15.6" x14ac:dyDescent="0.25">
      <c r="A125" s="8" t="s">
        <v>2070</v>
      </c>
      <c r="B125" s="8" t="s">
        <v>2074</v>
      </c>
      <c r="C125" s="5" t="s">
        <v>8894</v>
      </c>
      <c r="E125" s="5" t="s">
        <v>243</v>
      </c>
      <c r="F125" s="5" t="s">
        <v>492</v>
      </c>
      <c r="G125" s="5" t="s">
        <v>492</v>
      </c>
      <c r="H125" t="s">
        <v>553</v>
      </c>
      <c r="I125" t="s">
        <v>244</v>
      </c>
      <c r="J125" t="s">
        <v>244</v>
      </c>
      <c r="L125" t="s">
        <v>2072</v>
      </c>
      <c r="M125" t="s">
        <v>58</v>
      </c>
      <c r="N125" t="s">
        <v>9207</v>
      </c>
      <c r="O125" t="s">
        <v>9159</v>
      </c>
      <c r="U125" t="str">
        <f>_xlfn.LET(_xlpm.x, _xlfn.XLOOKUP(B125,Sheet3!N:N,Sheet3!C:C,""), IF(_xlpm.x=0,"",_xlpm.x))</f>
        <v>劳动合同</v>
      </c>
      <c r="V125" s="5" t="s">
        <v>1166</v>
      </c>
      <c r="X125" t="s">
        <v>3990</v>
      </c>
    </row>
    <row r="126" spans="1:24" ht="15.6" x14ac:dyDescent="0.25">
      <c r="A126" s="8" t="s">
        <v>1511</v>
      </c>
      <c r="B126" s="8" t="s">
        <v>1518</v>
      </c>
      <c r="C126" s="5" t="s">
        <v>8895</v>
      </c>
      <c r="E126" s="5" t="s">
        <v>243</v>
      </c>
      <c r="F126" s="5" t="s">
        <v>242</v>
      </c>
      <c r="G126" s="5" t="s">
        <v>242</v>
      </c>
      <c r="H126" t="s">
        <v>1515</v>
      </c>
      <c r="I126" t="s">
        <v>244</v>
      </c>
      <c r="J126" t="s">
        <v>244</v>
      </c>
      <c r="L126" t="s">
        <v>1514</v>
      </c>
      <c r="M126" t="s">
        <v>58</v>
      </c>
      <c r="N126" t="s">
        <v>9213</v>
      </c>
      <c r="O126" t="s">
        <v>9189</v>
      </c>
      <c r="U126" t="str">
        <f>_xlfn.LET(_xlpm.x, _xlfn.XLOOKUP(B126,Sheet3!N:N,Sheet3!C:C,""), IF(_xlpm.x=0,"",_xlpm.x))</f>
        <v>劳动合同</v>
      </c>
      <c r="V126" s="5" t="s">
        <v>1478</v>
      </c>
      <c r="X126" t="s">
        <v>3990</v>
      </c>
    </row>
    <row r="127" spans="1:24" ht="15.6" x14ac:dyDescent="0.25">
      <c r="A127" s="8" t="s">
        <v>1363</v>
      </c>
      <c r="B127" s="8" t="s">
        <v>1369</v>
      </c>
      <c r="C127" s="5" t="s">
        <v>8896</v>
      </c>
      <c r="E127" s="5" t="s">
        <v>243</v>
      </c>
      <c r="F127" s="5" t="s">
        <v>492</v>
      </c>
      <c r="G127" s="5" t="s">
        <v>492</v>
      </c>
      <c r="H127" t="s">
        <v>491</v>
      </c>
      <c r="I127" t="s">
        <v>244</v>
      </c>
      <c r="J127" t="s">
        <v>244</v>
      </c>
      <c r="L127" t="s">
        <v>240</v>
      </c>
      <c r="M127" t="s">
        <v>905</v>
      </c>
      <c r="N127" t="s">
        <v>9206</v>
      </c>
      <c r="O127" t="s">
        <v>9134</v>
      </c>
      <c r="U127" t="str">
        <f>_xlfn.LET(_xlpm.x, _xlfn.XLOOKUP(B127,Sheet3!N:N,Sheet3!C:C,""), IF(_xlpm.x=0,"",_xlpm.x))</f>
        <v>劳动合同</v>
      </c>
      <c r="V127" s="5" t="s">
        <v>1229</v>
      </c>
      <c r="X127" t="s">
        <v>4011</v>
      </c>
    </row>
    <row r="128" spans="1:24" ht="15.6" x14ac:dyDescent="0.25">
      <c r="A128" s="8" t="s">
        <v>1633</v>
      </c>
      <c r="B128" s="8" t="s">
        <v>1637</v>
      </c>
      <c r="C128" s="5" t="s">
        <v>8897</v>
      </c>
      <c r="E128" s="5" t="s">
        <v>243</v>
      </c>
      <c r="F128" s="5" t="s">
        <v>492</v>
      </c>
      <c r="G128" s="5" t="s">
        <v>492</v>
      </c>
      <c r="H128" t="s">
        <v>553</v>
      </c>
      <c r="I128" t="s">
        <v>244</v>
      </c>
      <c r="J128" t="s">
        <v>244</v>
      </c>
      <c r="L128" t="s">
        <v>1635</v>
      </c>
      <c r="M128" t="s">
        <v>61</v>
      </c>
      <c r="N128" t="s">
        <v>9207</v>
      </c>
      <c r="O128" t="s">
        <v>9177</v>
      </c>
      <c r="U128" t="str">
        <f>_xlfn.LET(_xlpm.x, _xlfn.XLOOKUP(B128,Sheet3!N:N,Sheet3!C:C,""), IF(_xlpm.x=0,"",_xlpm.x))</f>
        <v>劳动合同</v>
      </c>
      <c r="V128" s="5" t="s">
        <v>1090</v>
      </c>
      <c r="X128" t="s">
        <v>3990</v>
      </c>
    </row>
    <row r="129" spans="1:24" ht="15.6" x14ac:dyDescent="0.25">
      <c r="A129" s="8" t="s">
        <v>1301</v>
      </c>
      <c r="B129" s="8" t="s">
        <v>1307</v>
      </c>
      <c r="C129" s="5" t="s">
        <v>8898</v>
      </c>
      <c r="E129" s="5" t="s">
        <v>243</v>
      </c>
      <c r="F129" s="5" t="s">
        <v>242</v>
      </c>
      <c r="G129" s="5" t="s">
        <v>242</v>
      </c>
      <c r="H129" t="s">
        <v>524</v>
      </c>
      <c r="I129" t="s">
        <v>244</v>
      </c>
      <c r="J129" t="s">
        <v>244</v>
      </c>
      <c r="L129" t="s">
        <v>1027</v>
      </c>
      <c r="M129" t="s">
        <v>61</v>
      </c>
      <c r="N129" t="s">
        <v>9210</v>
      </c>
      <c r="O129" t="s">
        <v>9201</v>
      </c>
      <c r="U129" t="str">
        <f>_xlfn.LET(_xlpm.x, _xlfn.XLOOKUP(B129,Sheet3!N:N,Sheet3!C:C,""), IF(_xlpm.x=0,"",_xlpm.x))</f>
        <v>劳动合同</v>
      </c>
      <c r="V129" s="5" t="s">
        <v>1615</v>
      </c>
      <c r="X129" t="s">
        <v>4011</v>
      </c>
    </row>
    <row r="130" spans="1:24" ht="15.6" x14ac:dyDescent="0.25">
      <c r="A130" s="8" t="s">
        <v>1801</v>
      </c>
      <c r="B130" s="8" t="s">
        <v>1805</v>
      </c>
      <c r="C130" s="5" t="s">
        <v>8899</v>
      </c>
      <c r="E130" s="5" t="s">
        <v>243</v>
      </c>
      <c r="F130" s="5" t="s">
        <v>242</v>
      </c>
      <c r="G130" s="5" t="s">
        <v>242</v>
      </c>
      <c r="H130" t="s">
        <v>1380</v>
      </c>
      <c r="I130" t="s">
        <v>244</v>
      </c>
      <c r="J130" t="s">
        <v>244</v>
      </c>
      <c r="L130" t="s">
        <v>1379</v>
      </c>
      <c r="M130" t="s">
        <v>2152</v>
      </c>
      <c r="N130" t="s">
        <v>9221</v>
      </c>
      <c r="O130" t="s">
        <v>9185</v>
      </c>
      <c r="U130" t="str">
        <f>_xlfn.LET(_xlpm.x, _xlfn.XLOOKUP(B130,Sheet3!N:N,Sheet3!C:C,""), IF(_xlpm.x=0,"",_xlpm.x))</f>
        <v>劳动合同</v>
      </c>
      <c r="V130" s="5" t="s">
        <v>872</v>
      </c>
      <c r="X130" t="s">
        <v>3990</v>
      </c>
    </row>
    <row r="131" spans="1:24" ht="15.6" x14ac:dyDescent="0.25">
      <c r="A131" s="8" t="s">
        <v>1627</v>
      </c>
      <c r="B131" s="8" t="s">
        <v>1630</v>
      </c>
      <c r="C131" s="5" t="s">
        <v>8900</v>
      </c>
      <c r="E131" s="5" t="s">
        <v>243</v>
      </c>
      <c r="F131" s="5" t="s">
        <v>492</v>
      </c>
      <c r="G131" s="5" t="s">
        <v>242</v>
      </c>
      <c r="H131" t="s">
        <v>345</v>
      </c>
      <c r="I131" t="s">
        <v>346</v>
      </c>
      <c r="J131" t="s">
        <v>344</v>
      </c>
      <c r="L131" t="s">
        <v>574</v>
      </c>
      <c r="M131" t="s">
        <v>2152</v>
      </c>
      <c r="N131" t="s">
        <v>9215</v>
      </c>
      <c r="O131" t="s">
        <v>9160</v>
      </c>
      <c r="U131" t="str">
        <f>_xlfn.LET(_xlpm.x, _xlfn.XLOOKUP(B131,Sheet3!N:N,Sheet3!C:C,""), IF(_xlpm.x=0,"",_xlpm.x))</f>
        <v>劳动合同</v>
      </c>
      <c r="V131" s="5" t="s">
        <v>1229</v>
      </c>
      <c r="X131" t="s">
        <v>3990</v>
      </c>
    </row>
    <row r="132" spans="1:24" ht="15.6" x14ac:dyDescent="0.25">
      <c r="A132" s="8" t="s">
        <v>1259</v>
      </c>
      <c r="B132" s="8" t="s">
        <v>1263</v>
      </c>
      <c r="C132" s="5" t="s">
        <v>8901</v>
      </c>
      <c r="E132" s="5" t="s">
        <v>243</v>
      </c>
      <c r="F132" s="5" t="s">
        <v>256</v>
      </c>
      <c r="G132" s="5" t="s">
        <v>256</v>
      </c>
      <c r="H132" t="s">
        <v>566</v>
      </c>
      <c r="I132" t="s">
        <v>244</v>
      </c>
      <c r="J132" t="s">
        <v>244</v>
      </c>
      <c r="L132" t="s">
        <v>733</v>
      </c>
      <c r="M132" t="s">
        <v>61</v>
      </c>
      <c r="N132" t="s">
        <v>9224</v>
      </c>
      <c r="O132" t="s">
        <v>9177</v>
      </c>
      <c r="U132" t="str">
        <f>_xlfn.LET(_xlpm.x, _xlfn.XLOOKUP(B132,Sheet3!N:N,Sheet3!C:C,""), IF(_xlpm.x=0,"",_xlpm.x))</f>
        <v>劳动合同</v>
      </c>
      <c r="V132" s="5" t="s">
        <v>1271</v>
      </c>
      <c r="X132" t="s">
        <v>3990</v>
      </c>
    </row>
    <row r="133" spans="1:24" ht="15.6" x14ac:dyDescent="0.25">
      <c r="A133" s="8" t="s">
        <v>1025</v>
      </c>
      <c r="B133" s="8" t="s">
        <v>1030</v>
      </c>
      <c r="C133" s="5" t="s">
        <v>8902</v>
      </c>
      <c r="E133" s="5" t="s">
        <v>243</v>
      </c>
      <c r="F133" s="5" t="s">
        <v>242</v>
      </c>
      <c r="G133" s="5" t="s">
        <v>242</v>
      </c>
      <c r="H133" t="s">
        <v>524</v>
      </c>
      <c r="I133" t="s">
        <v>244</v>
      </c>
      <c r="J133" t="s">
        <v>244</v>
      </c>
      <c r="L133" t="s">
        <v>1027</v>
      </c>
      <c r="M133" t="s">
        <v>61</v>
      </c>
      <c r="N133" t="s">
        <v>9210</v>
      </c>
      <c r="O133" t="s">
        <v>9201</v>
      </c>
      <c r="U133" t="str">
        <f>_xlfn.LET(_xlpm.x, _xlfn.XLOOKUP(B133,Sheet3!N:N,Sheet3!C:C,""), IF(_xlpm.x=0,"",_xlpm.x))</f>
        <v>劳动合同</v>
      </c>
      <c r="V133" s="5" t="s">
        <v>1035</v>
      </c>
      <c r="X133" t="s">
        <v>3990</v>
      </c>
    </row>
    <row r="134" spans="1:24" ht="15.6" x14ac:dyDescent="0.25">
      <c r="A134" s="8" t="s">
        <v>1218</v>
      </c>
      <c r="B134" s="8" t="s">
        <v>7042</v>
      </c>
      <c r="C134" s="5" t="s">
        <v>8903</v>
      </c>
      <c r="E134" s="5" t="s">
        <v>243</v>
      </c>
      <c r="F134" s="5" t="s">
        <v>492</v>
      </c>
      <c r="G134" s="5" t="s">
        <v>492</v>
      </c>
      <c r="H134" t="s">
        <v>553</v>
      </c>
      <c r="I134" t="s">
        <v>244</v>
      </c>
      <c r="J134" t="s">
        <v>244</v>
      </c>
      <c r="L134" t="s">
        <v>733</v>
      </c>
      <c r="M134" t="s">
        <v>61</v>
      </c>
      <c r="N134" t="s">
        <v>9224</v>
      </c>
      <c r="O134" t="s">
        <v>9223</v>
      </c>
      <c r="U134" t="str">
        <f>_xlfn.LET(_xlpm.x, _xlfn.XLOOKUP(B134,Sheet3!N:N,Sheet3!C:C,""), IF(_xlpm.x=0,"",_xlpm.x))</f>
        <v>劳动合同</v>
      </c>
      <c r="V134" s="5" t="s">
        <v>1229</v>
      </c>
      <c r="X134" t="s">
        <v>3990</v>
      </c>
    </row>
    <row r="135" spans="1:24" ht="15.6" x14ac:dyDescent="0.25">
      <c r="A135" s="8" t="s">
        <v>1755</v>
      </c>
      <c r="B135" s="8" t="s">
        <v>1759</v>
      </c>
      <c r="C135" s="5" t="s">
        <v>8904</v>
      </c>
      <c r="E135" s="5" t="s">
        <v>243</v>
      </c>
      <c r="F135" s="5" t="s">
        <v>492</v>
      </c>
      <c r="G135" s="5" t="s">
        <v>492</v>
      </c>
      <c r="H135" t="s">
        <v>553</v>
      </c>
      <c r="I135" t="s">
        <v>244</v>
      </c>
      <c r="J135" t="s">
        <v>244</v>
      </c>
      <c r="L135" t="s">
        <v>593</v>
      </c>
      <c r="M135" t="s">
        <v>61</v>
      </c>
      <c r="N135" t="s">
        <v>9207</v>
      </c>
      <c r="O135" t="s">
        <v>9177</v>
      </c>
      <c r="U135" t="str">
        <f>_xlfn.LET(_xlpm.x, _xlfn.XLOOKUP(B135,Sheet3!N:N,Sheet3!C:C,""), IF(_xlpm.x=0,"",_xlpm.x))</f>
        <v>劳动合同</v>
      </c>
      <c r="V135" s="5" t="s">
        <v>663</v>
      </c>
      <c r="X135" t="s">
        <v>3990</v>
      </c>
    </row>
    <row r="136" spans="1:24" ht="15.6" x14ac:dyDescent="0.25">
      <c r="A136" s="8" t="s">
        <v>1282</v>
      </c>
      <c r="B136" s="8" t="s">
        <v>1288</v>
      </c>
      <c r="C136" s="5" t="s">
        <v>8905</v>
      </c>
      <c r="E136" s="5" t="s">
        <v>243</v>
      </c>
      <c r="F136" s="5" t="s">
        <v>492</v>
      </c>
      <c r="G136" s="5" t="s">
        <v>242</v>
      </c>
      <c r="H136" t="s">
        <v>345</v>
      </c>
      <c r="I136" t="s">
        <v>346</v>
      </c>
      <c r="J136" t="s">
        <v>344</v>
      </c>
      <c r="L136" t="s">
        <v>1285</v>
      </c>
      <c r="M136" t="s">
        <v>9110</v>
      </c>
      <c r="N136" t="s">
        <v>9215</v>
      </c>
      <c r="O136" t="s">
        <v>9166</v>
      </c>
      <c r="U136" t="str">
        <f>_xlfn.LET(_xlpm.x, _xlfn.XLOOKUP(B136,Sheet3!N:N,Sheet3!C:C,""), IF(_xlpm.x=0,"",_xlpm.x))</f>
        <v>劳动合同</v>
      </c>
      <c r="V136" s="5" t="s">
        <v>1229</v>
      </c>
      <c r="X136" t="s">
        <v>3990</v>
      </c>
    </row>
    <row r="137" spans="1:24" ht="15.6" x14ac:dyDescent="0.25">
      <c r="A137" s="8" t="s">
        <v>1291</v>
      </c>
      <c r="B137" s="8" t="s">
        <v>1295</v>
      </c>
      <c r="C137" s="5" t="s">
        <v>8906</v>
      </c>
      <c r="E137" s="5" t="s">
        <v>243</v>
      </c>
      <c r="F137" s="5" t="s">
        <v>492</v>
      </c>
      <c r="G137" s="5" t="s">
        <v>492</v>
      </c>
      <c r="H137" t="s">
        <v>553</v>
      </c>
      <c r="I137" t="s">
        <v>244</v>
      </c>
      <c r="J137" t="s">
        <v>244</v>
      </c>
      <c r="L137" t="s">
        <v>733</v>
      </c>
      <c r="M137" t="s">
        <v>257</v>
      </c>
      <c r="N137" t="s">
        <v>9207</v>
      </c>
      <c r="O137" t="s">
        <v>9132</v>
      </c>
      <c r="U137" t="str">
        <f>_xlfn.LET(_xlpm.x, _xlfn.XLOOKUP(B137,Sheet3!N:N,Sheet3!C:C,""), IF(_xlpm.x=0,"",_xlpm.x))</f>
        <v>劳动合同</v>
      </c>
      <c r="V137" s="5" t="s">
        <v>1229</v>
      </c>
      <c r="X137" t="s">
        <v>4011</v>
      </c>
    </row>
    <row r="138" spans="1:24" ht="15.6" x14ac:dyDescent="0.25">
      <c r="A138" s="8" t="s">
        <v>895</v>
      </c>
      <c r="B138" s="8" t="s">
        <v>899</v>
      </c>
      <c r="C138" s="5" t="s">
        <v>8907</v>
      </c>
      <c r="E138" s="5" t="s">
        <v>243</v>
      </c>
      <c r="F138" s="5" t="s">
        <v>492</v>
      </c>
      <c r="G138" s="5" t="s">
        <v>9130</v>
      </c>
      <c r="H138" t="s">
        <v>553</v>
      </c>
      <c r="J138" t="s">
        <v>244</v>
      </c>
      <c r="K138" t="s">
        <v>552</v>
      </c>
      <c r="L138" t="s">
        <v>551</v>
      </c>
      <c r="M138" t="s">
        <v>257</v>
      </c>
      <c r="N138" t="s">
        <v>9207</v>
      </c>
      <c r="O138" t="s">
        <v>9132</v>
      </c>
      <c r="U138" t="str">
        <f>_xlfn.LET(_xlpm.x, _xlfn.XLOOKUP(B138,Sheet3!N:N,Sheet3!C:C,""), IF(_xlpm.x=0,"",_xlpm.x))</f>
        <v>劳动合同</v>
      </c>
      <c r="V138" s="5" t="s">
        <v>872</v>
      </c>
      <c r="X138" t="s">
        <v>4011</v>
      </c>
    </row>
    <row r="139" spans="1:24" ht="15.6" x14ac:dyDescent="0.25">
      <c r="A139" s="8" t="s">
        <v>614</v>
      </c>
      <c r="B139" s="8" t="s">
        <v>618</v>
      </c>
      <c r="C139" s="5" t="s">
        <v>8908</v>
      </c>
      <c r="E139" s="5" t="s">
        <v>243</v>
      </c>
      <c r="F139" s="5" t="s">
        <v>492</v>
      </c>
      <c r="G139" s="5" t="s">
        <v>9130</v>
      </c>
      <c r="H139" t="s">
        <v>553</v>
      </c>
      <c r="J139" t="s">
        <v>244</v>
      </c>
      <c r="K139" t="s">
        <v>552</v>
      </c>
      <c r="L139" t="s">
        <v>616</v>
      </c>
      <c r="M139" t="s">
        <v>63</v>
      </c>
      <c r="N139" t="s">
        <v>9207</v>
      </c>
      <c r="O139" t="s">
        <v>9131</v>
      </c>
      <c r="U139" t="str">
        <f>_xlfn.LET(_xlpm.x, _xlfn.XLOOKUP(B139,Sheet3!N:N,Sheet3!C:C,""), IF(_xlpm.x=0,"",_xlpm.x))</f>
        <v>劳动合同</v>
      </c>
      <c r="V139" s="5" t="s">
        <v>561</v>
      </c>
      <c r="X139" t="s">
        <v>4011</v>
      </c>
    </row>
    <row r="140" spans="1:24" ht="15.6" x14ac:dyDescent="0.25">
      <c r="A140" s="8" t="s">
        <v>591</v>
      </c>
      <c r="B140" s="8" t="s">
        <v>595</v>
      </c>
      <c r="C140" s="5" t="s">
        <v>8909</v>
      </c>
      <c r="E140" s="5" t="s">
        <v>243</v>
      </c>
      <c r="F140" s="5" t="s">
        <v>492</v>
      </c>
      <c r="G140" s="5" t="s">
        <v>9130</v>
      </c>
      <c r="H140" t="s">
        <v>553</v>
      </c>
      <c r="J140" t="s">
        <v>244</v>
      </c>
      <c r="K140" t="s">
        <v>552</v>
      </c>
      <c r="L140" t="s">
        <v>593</v>
      </c>
      <c r="M140" t="s">
        <v>257</v>
      </c>
      <c r="N140" t="s">
        <v>9207</v>
      </c>
      <c r="O140" t="s">
        <v>9132</v>
      </c>
      <c r="U140" t="str">
        <f>_xlfn.LET(_xlpm.x, _xlfn.XLOOKUP(B140,Sheet3!N:N,Sheet3!C:C,""), IF(_xlpm.x=0,"",_xlpm.x))</f>
        <v>劳动合同</v>
      </c>
      <c r="V140" s="5" t="s">
        <v>561</v>
      </c>
      <c r="X140" t="s">
        <v>4011</v>
      </c>
    </row>
    <row r="141" spans="1:24" ht="15.6" x14ac:dyDescent="0.25">
      <c r="A141" s="8" t="s">
        <v>3162</v>
      </c>
      <c r="B141" s="8" t="s">
        <v>3166</v>
      </c>
      <c r="C141" s="5" t="s">
        <v>8910</v>
      </c>
      <c r="E141" s="5" t="s">
        <v>243</v>
      </c>
      <c r="F141" s="5" t="s">
        <v>492</v>
      </c>
      <c r="G141" s="5" t="s">
        <v>242</v>
      </c>
      <c r="H141" t="s">
        <v>345</v>
      </c>
      <c r="I141" t="s">
        <v>346</v>
      </c>
      <c r="J141" t="s">
        <v>344</v>
      </c>
      <c r="L141" t="s">
        <v>2900</v>
      </c>
      <c r="M141" t="s">
        <v>9106</v>
      </c>
      <c r="N141" t="s">
        <v>9215</v>
      </c>
      <c r="O141" t="s">
        <v>9158</v>
      </c>
      <c r="U141" t="str">
        <f>_xlfn.LET(_xlpm.x, _xlfn.XLOOKUP(B141,Sheet3!N:N,Sheet3!C:C,""), IF(_xlpm.x=0,"",_xlpm.x))</f>
        <v>劳动合同</v>
      </c>
      <c r="V141" s="5" t="s">
        <v>4000</v>
      </c>
      <c r="X141" t="s">
        <v>3990</v>
      </c>
    </row>
    <row r="142" spans="1:24" ht="15.6" x14ac:dyDescent="0.25">
      <c r="A142" s="8" t="s">
        <v>3195</v>
      </c>
      <c r="B142" s="8" t="s">
        <v>3198</v>
      </c>
      <c r="C142" s="5" t="s">
        <v>8911</v>
      </c>
      <c r="E142" s="5" t="s">
        <v>243</v>
      </c>
      <c r="F142" s="5" t="s">
        <v>492</v>
      </c>
      <c r="G142" s="5" t="s">
        <v>242</v>
      </c>
      <c r="H142" t="s">
        <v>345</v>
      </c>
      <c r="I142" t="s">
        <v>346</v>
      </c>
      <c r="J142" t="s">
        <v>344</v>
      </c>
      <c r="L142" t="s">
        <v>3122</v>
      </c>
      <c r="M142" t="s">
        <v>9108</v>
      </c>
      <c r="N142" t="s">
        <v>9215</v>
      </c>
      <c r="O142" t="s">
        <v>9165</v>
      </c>
      <c r="U142" t="str">
        <f>_xlfn.LET(_xlpm.x, _xlfn.XLOOKUP(B142,Sheet3!N:N,Sheet3!C:C,""), IF(_xlpm.x=0,"",_xlpm.x))</f>
        <v>劳动合同</v>
      </c>
      <c r="V142" s="5" t="s">
        <v>4000</v>
      </c>
      <c r="X142" t="s">
        <v>3990</v>
      </c>
    </row>
    <row r="143" spans="1:24" ht="15.6" x14ac:dyDescent="0.25">
      <c r="A143" s="8" t="s">
        <v>924</v>
      </c>
      <c r="B143" s="8" t="s">
        <v>931</v>
      </c>
      <c r="C143" s="5" t="s">
        <v>8912</v>
      </c>
      <c r="E143" s="5" t="s">
        <v>243</v>
      </c>
      <c r="F143" s="5" t="s">
        <v>492</v>
      </c>
      <c r="G143" s="5" t="s">
        <v>9130</v>
      </c>
      <c r="H143" t="s">
        <v>553</v>
      </c>
      <c r="J143" t="s">
        <v>244</v>
      </c>
      <c r="K143" t="s">
        <v>552</v>
      </c>
      <c r="L143" t="s">
        <v>733</v>
      </c>
      <c r="M143" t="s">
        <v>63</v>
      </c>
      <c r="N143" t="s">
        <v>9207</v>
      </c>
      <c r="O143" t="s">
        <v>9131</v>
      </c>
      <c r="U143" t="str">
        <f>_xlfn.LET(_xlpm.x, _xlfn.XLOOKUP(B143,Sheet3!N:N,Sheet3!C:C,""), IF(_xlpm.x=0,"",_xlpm.x))</f>
        <v>劳动合同</v>
      </c>
      <c r="V143" s="5" t="s">
        <v>939</v>
      </c>
      <c r="X143" t="s">
        <v>3990</v>
      </c>
    </row>
    <row r="144" spans="1:24" ht="15.6" x14ac:dyDescent="0.25">
      <c r="A144" s="8" t="s">
        <v>2608</v>
      </c>
      <c r="B144" s="8" t="s">
        <v>3427</v>
      </c>
      <c r="C144" s="5" t="s">
        <v>8913</v>
      </c>
      <c r="E144" s="5" t="s">
        <v>243</v>
      </c>
      <c r="F144" s="5" t="s">
        <v>242</v>
      </c>
      <c r="G144" s="5" t="s">
        <v>242</v>
      </c>
      <c r="H144" t="s">
        <v>1967</v>
      </c>
      <c r="I144" t="s">
        <v>244</v>
      </c>
      <c r="J144" t="s">
        <v>244</v>
      </c>
      <c r="L144" t="s">
        <v>2024</v>
      </c>
      <c r="M144" t="s">
        <v>9104</v>
      </c>
      <c r="N144" t="s">
        <v>9218</v>
      </c>
      <c r="O144" t="s">
        <v>9154</v>
      </c>
      <c r="U144" t="str">
        <f>_xlfn.LET(_xlpm.x, _xlfn.XLOOKUP(B144,Sheet3!N:N,Sheet3!C:C,""), IF(_xlpm.x=0,"",_xlpm.x))</f>
        <v>劳动合同</v>
      </c>
      <c r="V144" s="5" t="s">
        <v>4000</v>
      </c>
      <c r="X144" t="s">
        <v>4011</v>
      </c>
    </row>
    <row r="145" spans="1:24" ht="15.6" x14ac:dyDescent="0.25">
      <c r="A145" s="8" t="s">
        <v>3413</v>
      </c>
      <c r="B145" s="8" t="s">
        <v>3417</v>
      </c>
      <c r="C145" s="5" t="s">
        <v>8914</v>
      </c>
      <c r="E145" s="5" t="s">
        <v>243</v>
      </c>
      <c r="F145" s="5" t="s">
        <v>492</v>
      </c>
      <c r="G145" s="5" t="s">
        <v>242</v>
      </c>
      <c r="H145" t="s">
        <v>345</v>
      </c>
      <c r="I145" t="s">
        <v>346</v>
      </c>
      <c r="J145" t="s">
        <v>344</v>
      </c>
      <c r="L145" t="s">
        <v>574</v>
      </c>
      <c r="M145" t="s">
        <v>9108</v>
      </c>
      <c r="N145" t="s">
        <v>9215</v>
      </c>
      <c r="O145" t="s">
        <v>9165</v>
      </c>
      <c r="U145" t="str">
        <f>_xlfn.LET(_xlpm.x, _xlfn.XLOOKUP(B145,Sheet3!N:N,Sheet3!C:C,""), IF(_xlpm.x=0,"",_xlpm.x))</f>
        <v>劳动合同</v>
      </c>
      <c r="V145" s="5" t="s">
        <v>4000</v>
      </c>
      <c r="X145" t="s">
        <v>3990</v>
      </c>
    </row>
    <row r="146" spans="1:24" ht="15.6" x14ac:dyDescent="0.25">
      <c r="A146" s="8" t="s">
        <v>2486</v>
      </c>
      <c r="B146" s="8" t="s">
        <v>2491</v>
      </c>
      <c r="C146" s="5" t="s">
        <v>8915</v>
      </c>
      <c r="E146" s="5" t="s">
        <v>243</v>
      </c>
      <c r="F146" s="5" t="s">
        <v>256</v>
      </c>
      <c r="G146" s="5" t="s">
        <v>256</v>
      </c>
      <c r="H146" t="s">
        <v>635</v>
      </c>
      <c r="I146" t="s">
        <v>244</v>
      </c>
      <c r="J146" t="s">
        <v>244</v>
      </c>
      <c r="L146" t="s">
        <v>2489</v>
      </c>
      <c r="M146" t="s">
        <v>9102</v>
      </c>
      <c r="N146" t="s">
        <v>9211</v>
      </c>
      <c r="O146" t="s">
        <v>9176</v>
      </c>
      <c r="U146" t="str">
        <f>_xlfn.LET(_xlpm.x, _xlfn.XLOOKUP(B146,Sheet3!N:N,Sheet3!C:C,""), IF(_xlpm.x=0,"",_xlpm.x))</f>
        <v>劳动合同</v>
      </c>
      <c r="V146" s="5" t="s">
        <v>4000</v>
      </c>
      <c r="X146" t="s">
        <v>4011</v>
      </c>
    </row>
    <row r="147" spans="1:24" ht="15.6" x14ac:dyDescent="0.25">
      <c r="A147" s="8" t="s">
        <v>2926</v>
      </c>
      <c r="B147" s="8" t="s">
        <v>2930</v>
      </c>
      <c r="C147" s="5" t="s">
        <v>8916</v>
      </c>
      <c r="E147" s="5" t="s">
        <v>243</v>
      </c>
      <c r="F147" s="5" t="s">
        <v>242</v>
      </c>
      <c r="G147" s="5" t="s">
        <v>242</v>
      </c>
      <c r="H147" t="s">
        <v>376</v>
      </c>
      <c r="I147" t="s">
        <v>244</v>
      </c>
      <c r="J147" t="s">
        <v>244</v>
      </c>
      <c r="L147" t="s">
        <v>997</v>
      </c>
      <c r="M147" t="s">
        <v>905</v>
      </c>
      <c r="N147" t="s">
        <v>9212</v>
      </c>
      <c r="O147" t="s">
        <v>9174</v>
      </c>
      <c r="U147" t="str">
        <f>_xlfn.LET(_xlpm.x, _xlfn.XLOOKUP(B147,Sheet3!N:N,Sheet3!C:C,""), IF(_xlpm.x=0,"",_xlpm.x))</f>
        <v>劳动合同</v>
      </c>
      <c r="V147" s="5" t="s">
        <v>4000</v>
      </c>
      <c r="X147" t="s">
        <v>4011</v>
      </c>
    </row>
    <row r="148" spans="1:24" ht="15.6" x14ac:dyDescent="0.25">
      <c r="A148" s="8" t="s">
        <v>454</v>
      </c>
      <c r="B148" s="8" t="s">
        <v>464</v>
      </c>
      <c r="C148" s="5" t="s">
        <v>8917</v>
      </c>
      <c r="E148" s="5" t="s">
        <v>243</v>
      </c>
      <c r="F148" s="5" t="s">
        <v>242</v>
      </c>
      <c r="G148" s="5" t="s">
        <v>242</v>
      </c>
      <c r="H148" t="s">
        <v>459</v>
      </c>
      <c r="I148" t="s">
        <v>244</v>
      </c>
      <c r="J148" t="s">
        <v>244</v>
      </c>
      <c r="L148" t="s">
        <v>458</v>
      </c>
      <c r="M148" t="s">
        <v>905</v>
      </c>
      <c r="N148" t="s">
        <v>9205</v>
      </c>
      <c r="O148" t="s">
        <v>9142</v>
      </c>
      <c r="U148" t="str">
        <f>_xlfn.LET(_xlpm.x, _xlfn.XLOOKUP(B148,Sheet3!N:N,Sheet3!C:C,""), IF(_xlpm.x=0,"",_xlpm.x))</f>
        <v>劳动合同</v>
      </c>
      <c r="V148" s="5" t="s">
        <v>470</v>
      </c>
      <c r="X148" t="s">
        <v>4011</v>
      </c>
    </row>
    <row r="149" spans="1:24" ht="15.6" x14ac:dyDescent="0.25">
      <c r="A149" s="8" t="s">
        <v>2564</v>
      </c>
      <c r="B149" s="8" t="s">
        <v>2567</v>
      </c>
      <c r="C149" s="5" t="s">
        <v>8918</v>
      </c>
      <c r="E149" s="5" t="s">
        <v>243</v>
      </c>
      <c r="F149" s="5" t="s">
        <v>242</v>
      </c>
      <c r="G149" s="5" t="s">
        <v>242</v>
      </c>
      <c r="H149" t="s">
        <v>298</v>
      </c>
      <c r="J149" t="s">
        <v>244</v>
      </c>
      <c r="K149" t="s">
        <v>709</v>
      </c>
      <c r="L149" t="s">
        <v>2155</v>
      </c>
      <c r="M149" t="s">
        <v>245</v>
      </c>
      <c r="N149" t="s">
        <v>9219</v>
      </c>
      <c r="O149" t="s">
        <v>9179</v>
      </c>
      <c r="U149" t="str">
        <f>_xlfn.LET(_xlpm.x, _xlfn.XLOOKUP(B149,Sheet3!N:N,Sheet3!C:C,""), IF(_xlpm.x=0,"",_xlpm.x))</f>
        <v>劳动合同</v>
      </c>
      <c r="V149" s="5" t="s">
        <v>1281</v>
      </c>
      <c r="X149" t="s">
        <v>3990</v>
      </c>
    </row>
    <row r="150" spans="1:24" ht="15.6" x14ac:dyDescent="0.25">
      <c r="A150" s="8" t="s">
        <v>2008</v>
      </c>
      <c r="B150" s="8" t="s">
        <v>2015</v>
      </c>
      <c r="C150" s="5" t="s">
        <v>8919</v>
      </c>
      <c r="E150" s="5" t="s">
        <v>243</v>
      </c>
      <c r="F150" s="5" t="s">
        <v>242</v>
      </c>
      <c r="G150" s="5" t="s">
        <v>242</v>
      </c>
      <c r="H150" t="s">
        <v>2012</v>
      </c>
      <c r="I150" t="s">
        <v>244</v>
      </c>
      <c r="J150" t="s">
        <v>244</v>
      </c>
      <c r="L150" t="s">
        <v>1394</v>
      </c>
      <c r="M150" t="s">
        <v>2152</v>
      </c>
      <c r="N150" t="s">
        <v>9205</v>
      </c>
      <c r="O150" t="s">
        <v>9192</v>
      </c>
      <c r="U150" t="str">
        <f>_xlfn.LET(_xlpm.x, _xlfn.XLOOKUP(B150,Sheet3!N:N,Sheet3!C:C,""), IF(_xlpm.x=0,"",_xlpm.x))</f>
        <v>劳动合同</v>
      </c>
      <c r="V150" s="5" t="s">
        <v>4000</v>
      </c>
      <c r="X150" t="s">
        <v>4011</v>
      </c>
    </row>
    <row r="151" spans="1:24" ht="15.6" x14ac:dyDescent="0.25">
      <c r="A151" s="8" t="s">
        <v>2571</v>
      </c>
      <c r="B151" s="8" t="s">
        <v>2575</v>
      </c>
      <c r="C151" s="5" t="s">
        <v>8920</v>
      </c>
      <c r="E151" s="5" t="s">
        <v>243</v>
      </c>
      <c r="F151" s="5" t="s">
        <v>492</v>
      </c>
      <c r="G151" s="5" t="s">
        <v>242</v>
      </c>
      <c r="H151" t="s">
        <v>345</v>
      </c>
      <c r="I151" t="s">
        <v>346</v>
      </c>
      <c r="J151" t="s">
        <v>344</v>
      </c>
      <c r="L151" t="s">
        <v>2573</v>
      </c>
      <c r="M151" t="s">
        <v>9106</v>
      </c>
      <c r="N151" t="s">
        <v>9215</v>
      </c>
      <c r="O151" t="s">
        <v>9158</v>
      </c>
      <c r="U151" t="str">
        <f>_xlfn.LET(_xlpm.x, _xlfn.XLOOKUP(B151,Sheet3!N:N,Sheet3!C:C,""), IF(_xlpm.x=0,"",_xlpm.x))</f>
        <v>劳动合同</v>
      </c>
      <c r="V151" s="5" t="s">
        <v>4000</v>
      </c>
      <c r="X151" t="s">
        <v>4011</v>
      </c>
    </row>
    <row r="152" spans="1:24" ht="15.6" x14ac:dyDescent="0.25">
      <c r="A152" s="8" t="s">
        <v>1947</v>
      </c>
      <c r="B152" s="8" t="s">
        <v>1952</v>
      </c>
      <c r="C152" s="5" t="s">
        <v>8921</v>
      </c>
      <c r="E152" s="5" t="s">
        <v>243</v>
      </c>
      <c r="F152" s="5" t="s">
        <v>242</v>
      </c>
      <c r="G152" s="5" t="s">
        <v>242</v>
      </c>
      <c r="H152" t="s">
        <v>241</v>
      </c>
      <c r="I152" t="s">
        <v>244</v>
      </c>
      <c r="J152" t="s">
        <v>244</v>
      </c>
      <c r="L152" t="s">
        <v>240</v>
      </c>
      <c r="M152" t="s">
        <v>9101</v>
      </c>
      <c r="N152" t="s">
        <v>9206</v>
      </c>
      <c r="O152" t="s">
        <v>9127</v>
      </c>
      <c r="U152" t="str">
        <f>_xlfn.LET(_xlpm.x, _xlfn.XLOOKUP(B152,Sheet3!N:N,Sheet3!C:C,""), IF(_xlpm.x=0,"",_xlpm.x))</f>
        <v>劳动合同</v>
      </c>
      <c r="V152" s="5" t="s">
        <v>4000</v>
      </c>
      <c r="X152" t="s">
        <v>4011</v>
      </c>
    </row>
    <row r="153" spans="1:24" ht="15.6" x14ac:dyDescent="0.25">
      <c r="A153" s="8" t="s">
        <v>1963</v>
      </c>
      <c r="B153" s="8" t="s">
        <v>1969</v>
      </c>
      <c r="C153" s="5" t="s">
        <v>8922</v>
      </c>
      <c r="E153" s="5" t="s">
        <v>243</v>
      </c>
      <c r="F153" s="5" t="s">
        <v>242</v>
      </c>
      <c r="G153" s="5" t="s">
        <v>242</v>
      </c>
      <c r="H153" t="s">
        <v>1967</v>
      </c>
      <c r="I153" t="s">
        <v>244</v>
      </c>
      <c r="J153" t="s">
        <v>244</v>
      </c>
      <c r="L153" t="s">
        <v>477</v>
      </c>
      <c r="M153" t="s">
        <v>9104</v>
      </c>
      <c r="N153" t="s">
        <v>9220</v>
      </c>
      <c r="O153" t="s">
        <v>9183</v>
      </c>
      <c r="U153" t="str">
        <f>_xlfn.LET(_xlpm.x, _xlfn.XLOOKUP(B153,Sheet3!N:N,Sheet3!C:C,""), IF(_xlpm.x=0,"",_xlpm.x))</f>
        <v>劳动合同</v>
      </c>
      <c r="V153" s="5" t="s">
        <v>4000</v>
      </c>
      <c r="X153" t="s">
        <v>4011</v>
      </c>
    </row>
    <row r="154" spans="1:24" ht="15.6" x14ac:dyDescent="0.25">
      <c r="A154" s="8" t="s">
        <v>571</v>
      </c>
      <c r="B154" s="8" t="s">
        <v>576</v>
      </c>
      <c r="C154" s="5" t="s">
        <v>8923</v>
      </c>
      <c r="E154" s="5" t="s">
        <v>243</v>
      </c>
      <c r="F154" s="5" t="s">
        <v>492</v>
      </c>
      <c r="G154" s="5" t="s">
        <v>242</v>
      </c>
      <c r="H154" t="s">
        <v>345</v>
      </c>
      <c r="I154" t="s">
        <v>346</v>
      </c>
      <c r="J154" t="s">
        <v>344</v>
      </c>
      <c r="L154" t="s">
        <v>574</v>
      </c>
      <c r="M154" t="s">
        <v>9108</v>
      </c>
      <c r="N154" t="s">
        <v>9215</v>
      </c>
      <c r="O154" t="s">
        <v>9165</v>
      </c>
      <c r="U154" t="str">
        <f>_xlfn.LET(_xlpm.x, _xlfn.XLOOKUP(B154,Sheet3!N:N,Sheet3!C:C,""), IF(_xlpm.x=0,"",_xlpm.x))</f>
        <v>劳动合同</v>
      </c>
      <c r="V154" s="5" t="s">
        <v>561</v>
      </c>
      <c r="X154" t="s">
        <v>3990</v>
      </c>
    </row>
    <row r="155" spans="1:24" ht="15.6" x14ac:dyDescent="0.25">
      <c r="A155" s="8" t="s">
        <v>2836</v>
      </c>
      <c r="B155" s="8" t="s">
        <v>2841</v>
      </c>
      <c r="C155" s="5" t="s">
        <v>8924</v>
      </c>
      <c r="E155" s="5" t="s">
        <v>243</v>
      </c>
      <c r="F155" s="5" t="s">
        <v>492</v>
      </c>
      <c r="G155" s="5" t="s">
        <v>242</v>
      </c>
      <c r="H155" t="s">
        <v>345</v>
      </c>
      <c r="I155" t="s">
        <v>346</v>
      </c>
      <c r="J155" t="s">
        <v>344</v>
      </c>
      <c r="L155" t="s">
        <v>2839</v>
      </c>
      <c r="M155" t="s">
        <v>9106</v>
      </c>
      <c r="N155" t="s">
        <v>9215</v>
      </c>
      <c r="O155" t="s">
        <v>9158</v>
      </c>
      <c r="U155" t="str">
        <f>_xlfn.LET(_xlpm.x, _xlfn.XLOOKUP(B155,Sheet3!N:N,Sheet3!C:C,""), IF(_xlpm.x=0,"",_xlpm.x))</f>
        <v>劳动合同</v>
      </c>
      <c r="V155" s="5" t="s">
        <v>4000</v>
      </c>
      <c r="X155" t="s">
        <v>3990</v>
      </c>
    </row>
    <row r="156" spans="1:24" ht="15.6" x14ac:dyDescent="0.25">
      <c r="A156" s="8" t="s">
        <v>1926</v>
      </c>
      <c r="B156" s="8" t="s">
        <v>1929</v>
      </c>
      <c r="C156" s="5" t="s">
        <v>8925</v>
      </c>
      <c r="E156" s="5" t="s">
        <v>243</v>
      </c>
      <c r="F156" s="5" t="s">
        <v>492</v>
      </c>
      <c r="G156" s="5" t="s">
        <v>492</v>
      </c>
      <c r="H156" t="s">
        <v>491</v>
      </c>
      <c r="I156" t="s">
        <v>244</v>
      </c>
      <c r="J156" t="s">
        <v>244</v>
      </c>
      <c r="L156" t="s">
        <v>240</v>
      </c>
      <c r="M156" t="s">
        <v>905</v>
      </c>
      <c r="N156" t="s">
        <v>9206</v>
      </c>
      <c r="O156" t="s">
        <v>9134</v>
      </c>
      <c r="U156" t="str">
        <f>_xlfn.LET(_xlpm.x, _xlfn.XLOOKUP(B156,Sheet3!N:N,Sheet3!C:C,""), IF(_xlpm.x=0,"",_xlpm.x))</f>
        <v>劳动合同</v>
      </c>
      <c r="V156" s="5" t="s">
        <v>4000</v>
      </c>
      <c r="X156" t="s">
        <v>4011</v>
      </c>
    </row>
    <row r="157" spans="1:24" ht="15.6" x14ac:dyDescent="0.25">
      <c r="A157" s="8" t="s">
        <v>1557</v>
      </c>
      <c r="B157" s="8" t="s">
        <v>1563</v>
      </c>
      <c r="C157" s="5" t="s">
        <v>8926</v>
      </c>
      <c r="E157" s="5" t="s">
        <v>243</v>
      </c>
      <c r="F157" s="5" t="s">
        <v>242</v>
      </c>
      <c r="G157" s="5" t="s">
        <v>242</v>
      </c>
      <c r="H157" t="s">
        <v>241</v>
      </c>
      <c r="I157" t="s">
        <v>244</v>
      </c>
      <c r="J157" t="s">
        <v>244</v>
      </c>
      <c r="L157" t="s">
        <v>506</v>
      </c>
      <c r="M157" t="s">
        <v>9101</v>
      </c>
      <c r="N157" t="s">
        <v>9206</v>
      </c>
      <c r="O157" t="s">
        <v>9127</v>
      </c>
      <c r="U157" t="str">
        <f>_xlfn.LET(_xlpm.x, _xlfn.XLOOKUP(B157,Sheet3!N:N,Sheet3!C:C,""), IF(_xlpm.x=0,"",_xlpm.x))</f>
        <v>劳动合同</v>
      </c>
      <c r="V157" s="5" t="s">
        <v>4000</v>
      </c>
      <c r="X157" t="s">
        <v>4011</v>
      </c>
    </row>
    <row r="158" spans="1:24" ht="15.6" x14ac:dyDescent="0.25">
      <c r="A158" s="8" t="s">
        <v>2408</v>
      </c>
      <c r="B158" s="8" t="s">
        <v>2412</v>
      </c>
      <c r="C158" s="5" t="s">
        <v>8927</v>
      </c>
      <c r="E158" s="5" t="s">
        <v>243</v>
      </c>
      <c r="F158" s="5" t="s">
        <v>492</v>
      </c>
      <c r="G158" s="5" t="s">
        <v>492</v>
      </c>
      <c r="H158" t="s">
        <v>553</v>
      </c>
      <c r="I158" t="s">
        <v>244</v>
      </c>
      <c r="J158" t="s">
        <v>244</v>
      </c>
      <c r="L158" t="s">
        <v>593</v>
      </c>
      <c r="M158" t="s">
        <v>905</v>
      </c>
      <c r="N158" t="s">
        <v>9207</v>
      </c>
      <c r="O158" t="s">
        <v>9153</v>
      </c>
      <c r="U158" t="str">
        <f>_xlfn.LET(_xlpm.x, _xlfn.XLOOKUP(B158,Sheet3!N:N,Sheet3!C:C,""), IF(_xlpm.x=0,"",_xlpm.x))</f>
        <v>劳动合同</v>
      </c>
      <c r="V158" s="5" t="s">
        <v>1090</v>
      </c>
      <c r="X158" t="s">
        <v>3990</v>
      </c>
    </row>
    <row r="159" spans="1:24" ht="15.6" x14ac:dyDescent="0.25">
      <c r="A159" s="8" t="s">
        <v>1427</v>
      </c>
      <c r="B159" s="8" t="s">
        <v>1432</v>
      </c>
      <c r="C159" s="5" t="s">
        <v>8928</v>
      </c>
      <c r="E159" s="5" t="s">
        <v>243</v>
      </c>
      <c r="F159" s="5" t="s">
        <v>256</v>
      </c>
      <c r="G159" s="5" t="s">
        <v>256</v>
      </c>
      <c r="H159" t="s">
        <v>255</v>
      </c>
      <c r="I159" t="s">
        <v>244</v>
      </c>
      <c r="J159" t="s">
        <v>244</v>
      </c>
      <c r="L159" t="s">
        <v>240</v>
      </c>
      <c r="M159" t="s">
        <v>9098</v>
      </c>
      <c r="N159" t="s">
        <v>9206</v>
      </c>
      <c r="O159" t="s">
        <v>9139</v>
      </c>
      <c r="U159" t="str">
        <f>_xlfn.LET(_xlpm.x, _xlfn.XLOOKUP(B159,Sheet3!N:N,Sheet3!C:C,""), IF(_xlpm.x=0,"",_xlpm.x))</f>
        <v>劳动合同</v>
      </c>
      <c r="V159" s="5" t="s">
        <v>1281</v>
      </c>
      <c r="X159" t="s">
        <v>4011</v>
      </c>
    </row>
    <row r="160" spans="1:24" ht="15.6" x14ac:dyDescent="0.25">
      <c r="A160" s="8" t="s">
        <v>2124</v>
      </c>
      <c r="B160" s="8" t="s">
        <v>2129</v>
      </c>
      <c r="C160" s="5" t="s">
        <v>8929</v>
      </c>
      <c r="E160" s="5" t="s">
        <v>243</v>
      </c>
      <c r="F160" s="5" t="s">
        <v>492</v>
      </c>
      <c r="G160" s="5" t="s">
        <v>492</v>
      </c>
      <c r="H160" t="s">
        <v>491</v>
      </c>
      <c r="I160" t="s">
        <v>244</v>
      </c>
      <c r="J160" t="s">
        <v>244</v>
      </c>
      <c r="L160" t="s">
        <v>1526</v>
      </c>
      <c r="M160" t="s">
        <v>9101</v>
      </c>
      <c r="N160" t="s">
        <v>9210</v>
      </c>
      <c r="O160" t="s">
        <v>9122</v>
      </c>
      <c r="U160" t="str">
        <f>_xlfn.LET(_xlpm.x, _xlfn.XLOOKUP(B160,Sheet3!N:N,Sheet3!C:C,""), IF(_xlpm.x=0,"",_xlpm.x))</f>
        <v>劳动合同</v>
      </c>
      <c r="V160" s="5" t="s">
        <v>1090</v>
      </c>
      <c r="X160" t="s">
        <v>4011</v>
      </c>
    </row>
    <row r="161" spans="1:24" ht="15.6" x14ac:dyDescent="0.25">
      <c r="A161" s="8" t="s">
        <v>2772</v>
      </c>
      <c r="B161" s="8" t="s">
        <v>2776</v>
      </c>
      <c r="C161" s="5" t="s">
        <v>8930</v>
      </c>
      <c r="E161" s="5" t="s">
        <v>243</v>
      </c>
      <c r="F161" s="5" t="s">
        <v>242</v>
      </c>
      <c r="G161" s="5" t="s">
        <v>242</v>
      </c>
      <c r="H161" t="s">
        <v>1967</v>
      </c>
      <c r="I161" t="s">
        <v>244</v>
      </c>
      <c r="J161" t="s">
        <v>244</v>
      </c>
      <c r="L161" t="s">
        <v>477</v>
      </c>
      <c r="M161" t="s">
        <v>9106</v>
      </c>
      <c r="N161" t="s">
        <v>9220</v>
      </c>
      <c r="O161" t="s">
        <v>9151</v>
      </c>
      <c r="U161" t="str">
        <f>_xlfn.LET(_xlpm.x, _xlfn.XLOOKUP(B161,Sheet3!N:N,Sheet3!C:C,""), IF(_xlpm.x=0,"",_xlpm.x))</f>
        <v>劳动合同</v>
      </c>
      <c r="V161" s="5" t="s">
        <v>4000</v>
      </c>
      <c r="X161" t="s">
        <v>4011</v>
      </c>
    </row>
    <row r="162" spans="1:24" ht="15.6" x14ac:dyDescent="0.25">
      <c r="A162" s="8" t="s">
        <v>2862</v>
      </c>
      <c r="B162" s="8" t="s">
        <v>2867</v>
      </c>
      <c r="C162" s="5" t="s">
        <v>8931</v>
      </c>
      <c r="E162" s="5" t="s">
        <v>243</v>
      </c>
      <c r="F162" s="5" t="s">
        <v>492</v>
      </c>
      <c r="G162" s="5" t="s">
        <v>242</v>
      </c>
      <c r="H162" t="s">
        <v>345</v>
      </c>
      <c r="I162" t="s">
        <v>346</v>
      </c>
      <c r="J162" t="s">
        <v>344</v>
      </c>
      <c r="L162" t="s">
        <v>2865</v>
      </c>
      <c r="M162" t="s">
        <v>9106</v>
      </c>
      <c r="N162" t="s">
        <v>9215</v>
      </c>
      <c r="O162" t="s">
        <v>9158</v>
      </c>
      <c r="U162" t="str">
        <f>_xlfn.LET(_xlpm.x, _xlfn.XLOOKUP(B162,Sheet3!N:N,Sheet3!C:C,""), IF(_xlpm.x=0,"",_xlpm.x))</f>
        <v>劳动合同</v>
      </c>
      <c r="V162" s="5" t="s">
        <v>4000</v>
      </c>
      <c r="X162" t="s">
        <v>3990</v>
      </c>
    </row>
    <row r="163" spans="1:24" ht="15.6" x14ac:dyDescent="0.25">
      <c r="A163" s="8" t="s">
        <v>1858</v>
      </c>
      <c r="B163" s="8" t="s">
        <v>1861</v>
      </c>
      <c r="C163" s="5" t="s">
        <v>8932</v>
      </c>
      <c r="E163" s="5" t="s">
        <v>243</v>
      </c>
      <c r="F163" s="5" t="s">
        <v>256</v>
      </c>
      <c r="G163" s="5" t="s">
        <v>256</v>
      </c>
      <c r="H163" t="s">
        <v>635</v>
      </c>
      <c r="I163" t="s">
        <v>244</v>
      </c>
      <c r="J163" t="s">
        <v>244</v>
      </c>
      <c r="L163" t="s">
        <v>634</v>
      </c>
      <c r="M163" t="s">
        <v>2152</v>
      </c>
      <c r="N163" t="s">
        <v>9206</v>
      </c>
      <c r="O163" t="s">
        <v>9182</v>
      </c>
      <c r="U163" t="str">
        <f>_xlfn.LET(_xlpm.x, _xlfn.XLOOKUP(B163,Sheet3!N:N,Sheet3!C:C,""), IF(_xlpm.x=0,"",_xlpm.x))</f>
        <v>劳动合同</v>
      </c>
      <c r="V163" s="5" t="s">
        <v>1090</v>
      </c>
      <c r="X163" t="s">
        <v>4011</v>
      </c>
    </row>
    <row r="164" spans="1:24" ht="15.6" x14ac:dyDescent="0.25">
      <c r="A164" s="8" t="s">
        <v>2091</v>
      </c>
      <c r="B164" s="8" t="s">
        <v>2096</v>
      </c>
      <c r="C164" s="5" t="s">
        <v>8933</v>
      </c>
      <c r="E164" s="5" t="s">
        <v>243</v>
      </c>
      <c r="F164" s="5" t="s">
        <v>242</v>
      </c>
      <c r="G164" s="5" t="s">
        <v>242</v>
      </c>
      <c r="H164" t="s">
        <v>1515</v>
      </c>
      <c r="I164" t="s">
        <v>244</v>
      </c>
      <c r="J164" t="s">
        <v>244</v>
      </c>
      <c r="L164" t="s">
        <v>1514</v>
      </c>
      <c r="M164" t="s">
        <v>58</v>
      </c>
      <c r="N164" t="s">
        <v>9213</v>
      </c>
      <c r="O164" t="s">
        <v>9189</v>
      </c>
      <c r="U164" t="str">
        <f>_xlfn.LET(_xlpm.x, _xlfn.XLOOKUP(B164,Sheet3!N:N,Sheet3!C:C,""), IF(_xlpm.x=0,"",_xlpm.x))</f>
        <v>劳动合同</v>
      </c>
      <c r="V164" s="5" t="s">
        <v>894</v>
      </c>
      <c r="X164" t="s">
        <v>3990</v>
      </c>
    </row>
    <row r="165" spans="1:24" ht="15.6" x14ac:dyDescent="0.25">
      <c r="A165" s="8" t="s">
        <v>502</v>
      </c>
      <c r="B165" s="8" t="s">
        <v>511</v>
      </c>
      <c r="C165" s="5" t="s">
        <v>8934</v>
      </c>
      <c r="E165" s="5" t="s">
        <v>243</v>
      </c>
      <c r="F165" s="5" t="s">
        <v>242</v>
      </c>
      <c r="G165" s="5" t="s">
        <v>242</v>
      </c>
      <c r="H165" t="s">
        <v>241</v>
      </c>
      <c r="I165" t="s">
        <v>244</v>
      </c>
      <c r="J165" t="s">
        <v>244</v>
      </c>
      <c r="L165" t="s">
        <v>506</v>
      </c>
      <c r="M165" t="s">
        <v>9098</v>
      </c>
      <c r="N165" t="s">
        <v>9206</v>
      </c>
      <c r="O165" t="s">
        <v>9139</v>
      </c>
      <c r="U165" t="str">
        <f>_xlfn.LET(_xlpm.x, _xlfn.XLOOKUP(B165,Sheet3!N:N,Sheet3!C:C,""), IF(_xlpm.x=0,"",_xlpm.x))</f>
        <v>劳动合同</v>
      </c>
      <c r="V165" s="5" t="s">
        <v>519</v>
      </c>
      <c r="X165" t="s">
        <v>4011</v>
      </c>
    </row>
    <row r="166" spans="1:24" ht="15.6" x14ac:dyDescent="0.25">
      <c r="A166" s="8" t="s">
        <v>1788</v>
      </c>
      <c r="B166" s="8" t="s">
        <v>1791</v>
      </c>
      <c r="C166" s="5" t="s">
        <v>8935</v>
      </c>
      <c r="E166" s="5" t="s">
        <v>243</v>
      </c>
      <c r="F166" s="5" t="s">
        <v>492</v>
      </c>
      <c r="G166" s="5" t="s">
        <v>9130</v>
      </c>
      <c r="H166" t="s">
        <v>553</v>
      </c>
      <c r="J166" t="s">
        <v>244</v>
      </c>
      <c r="K166" t="s">
        <v>552</v>
      </c>
      <c r="L166" t="s">
        <v>551</v>
      </c>
      <c r="M166" t="s">
        <v>58</v>
      </c>
      <c r="N166" t="s">
        <v>9207</v>
      </c>
      <c r="O166" t="s">
        <v>9159</v>
      </c>
      <c r="U166" t="str">
        <f>_xlfn.LET(_xlpm.x, _xlfn.XLOOKUP(B166,Sheet3!N:N,Sheet3!C:C,""), IF(_xlpm.x=0,"",_xlpm.x))</f>
        <v>劳动合同</v>
      </c>
      <c r="V166" s="5" t="s">
        <v>1229</v>
      </c>
      <c r="X166" t="s">
        <v>3990</v>
      </c>
    </row>
    <row r="167" spans="1:24" ht="15.6" x14ac:dyDescent="0.25">
      <c r="A167" s="8" t="s">
        <v>1415</v>
      </c>
      <c r="B167" s="8" t="s">
        <v>1421</v>
      </c>
      <c r="C167" s="5" t="s">
        <v>8936</v>
      </c>
      <c r="E167" s="5" t="s">
        <v>243</v>
      </c>
      <c r="F167" s="5" t="s">
        <v>256</v>
      </c>
      <c r="G167" s="5" t="s">
        <v>256</v>
      </c>
      <c r="H167" t="s">
        <v>255</v>
      </c>
      <c r="I167" t="s">
        <v>244</v>
      </c>
      <c r="J167" t="s">
        <v>244</v>
      </c>
      <c r="L167" t="s">
        <v>240</v>
      </c>
      <c r="M167" t="s">
        <v>905</v>
      </c>
      <c r="N167" t="s">
        <v>9206</v>
      </c>
      <c r="O167" t="s">
        <v>9134</v>
      </c>
      <c r="U167" t="str">
        <f>_xlfn.LET(_xlpm.x, _xlfn.XLOOKUP(B167,Sheet3!N:N,Sheet3!C:C,""), IF(_xlpm.x=0,"",_xlpm.x))</f>
        <v>劳动合同</v>
      </c>
      <c r="V167" s="5" t="s">
        <v>1229</v>
      </c>
      <c r="X167" t="s">
        <v>4011</v>
      </c>
    </row>
    <row r="168" spans="1:24" ht="15.6" x14ac:dyDescent="0.25">
      <c r="A168" s="8" t="s">
        <v>1109</v>
      </c>
      <c r="B168" s="8" t="s">
        <v>1116</v>
      </c>
      <c r="C168" s="5" t="s">
        <v>8937</v>
      </c>
      <c r="E168" s="5" t="s">
        <v>243</v>
      </c>
      <c r="F168" s="5" t="s">
        <v>256</v>
      </c>
      <c r="G168" s="5" t="s">
        <v>256</v>
      </c>
      <c r="H168" t="s">
        <v>255</v>
      </c>
      <c r="I168" t="s">
        <v>244</v>
      </c>
      <c r="J168" t="s">
        <v>244</v>
      </c>
      <c r="L168" t="s">
        <v>1113</v>
      </c>
      <c r="M168" t="s">
        <v>2152</v>
      </c>
      <c r="N168" t="s">
        <v>9214</v>
      </c>
      <c r="O168" t="s">
        <v>9126</v>
      </c>
      <c r="U168" t="str">
        <f>_xlfn.LET(_xlpm.x, _xlfn.XLOOKUP(B168,Sheet3!N:N,Sheet3!C:C,""), IF(_xlpm.x=0,"",_xlpm.x))</f>
        <v>劳动合同</v>
      </c>
      <c r="V168" s="5" t="s">
        <v>1126</v>
      </c>
      <c r="X168" t="s">
        <v>4011</v>
      </c>
    </row>
    <row r="169" spans="1:24" ht="15.6" x14ac:dyDescent="0.25">
      <c r="A169" s="8" t="s">
        <v>3056</v>
      </c>
      <c r="B169" s="8" t="s">
        <v>3062</v>
      </c>
      <c r="C169" s="5" t="s">
        <v>8938</v>
      </c>
      <c r="E169" s="5" t="s">
        <v>243</v>
      </c>
      <c r="F169" s="5" t="s">
        <v>492</v>
      </c>
      <c r="G169" s="5" t="s">
        <v>242</v>
      </c>
      <c r="H169" t="s">
        <v>345</v>
      </c>
      <c r="I169" t="s">
        <v>346</v>
      </c>
      <c r="J169" t="s">
        <v>344</v>
      </c>
      <c r="L169" t="s">
        <v>574</v>
      </c>
      <c r="M169" t="s">
        <v>9106</v>
      </c>
      <c r="N169" t="s">
        <v>9215</v>
      </c>
      <c r="O169" t="s">
        <v>9158</v>
      </c>
      <c r="U169" t="str">
        <f>_xlfn.LET(_xlpm.x, _xlfn.XLOOKUP(B169,Sheet3!N:N,Sheet3!C:C,""), IF(_xlpm.x=0,"",_xlpm.x))</f>
        <v>劳动合同</v>
      </c>
      <c r="V169" s="5" t="s">
        <v>4000</v>
      </c>
      <c r="X169" t="s">
        <v>4011</v>
      </c>
    </row>
    <row r="170" spans="1:24" ht="15.6" x14ac:dyDescent="0.25">
      <c r="A170" s="8" t="s">
        <v>2684</v>
      </c>
      <c r="B170" s="8" t="s">
        <v>2688</v>
      </c>
      <c r="C170" s="5" t="s">
        <v>8939</v>
      </c>
      <c r="E170" s="5" t="s">
        <v>243</v>
      </c>
      <c r="F170" s="5" t="s">
        <v>492</v>
      </c>
      <c r="G170" s="5" t="s">
        <v>242</v>
      </c>
      <c r="H170" t="s">
        <v>345</v>
      </c>
      <c r="I170" t="s">
        <v>346</v>
      </c>
      <c r="J170" t="s">
        <v>344</v>
      </c>
      <c r="L170" t="s">
        <v>2686</v>
      </c>
      <c r="M170" t="s">
        <v>2152</v>
      </c>
      <c r="N170" t="s">
        <v>9215</v>
      </c>
      <c r="O170" t="s">
        <v>9160</v>
      </c>
      <c r="U170" t="str">
        <f>_xlfn.LET(_xlpm.x, _xlfn.XLOOKUP(B170,Sheet3!N:N,Sheet3!C:C,""), IF(_xlpm.x=0,"",_xlpm.x))</f>
        <v>劳动合同</v>
      </c>
      <c r="V170" s="5" t="s">
        <v>663</v>
      </c>
      <c r="X170" t="s">
        <v>3990</v>
      </c>
    </row>
    <row r="171" spans="1:24" ht="15.6" x14ac:dyDescent="0.25">
      <c r="A171" s="8" t="s">
        <v>2416</v>
      </c>
      <c r="B171" s="8" t="s">
        <v>2420</v>
      </c>
      <c r="C171" s="5" t="s">
        <v>8940</v>
      </c>
      <c r="E171" s="5" t="s">
        <v>243</v>
      </c>
      <c r="F171" s="5" t="s">
        <v>492</v>
      </c>
      <c r="G171" s="5" t="s">
        <v>492</v>
      </c>
      <c r="H171" t="s">
        <v>553</v>
      </c>
      <c r="I171" t="s">
        <v>244</v>
      </c>
      <c r="J171" t="s">
        <v>244</v>
      </c>
      <c r="L171" t="s">
        <v>551</v>
      </c>
      <c r="M171" t="s">
        <v>905</v>
      </c>
      <c r="N171" t="s">
        <v>9207</v>
      </c>
      <c r="O171" t="s">
        <v>9153</v>
      </c>
      <c r="U171" t="str">
        <f>_xlfn.LET(_xlpm.x, _xlfn.XLOOKUP(B171,Sheet3!N:N,Sheet3!C:C,""), IF(_xlpm.x=0,"",_xlpm.x))</f>
        <v>劳动合同</v>
      </c>
      <c r="V171" s="5" t="s">
        <v>4000</v>
      </c>
      <c r="X171" t="s">
        <v>3990</v>
      </c>
    </row>
    <row r="172" spans="1:24" ht="15.6" x14ac:dyDescent="0.25">
      <c r="A172" s="8" t="s">
        <v>1781</v>
      </c>
      <c r="B172" s="8" t="s">
        <v>1785</v>
      </c>
      <c r="C172" s="5" t="s">
        <v>8941</v>
      </c>
      <c r="E172" s="5" t="s">
        <v>243</v>
      </c>
      <c r="F172" s="5" t="s">
        <v>492</v>
      </c>
      <c r="G172" s="5" t="s">
        <v>492</v>
      </c>
      <c r="H172" t="s">
        <v>553</v>
      </c>
      <c r="I172" t="s">
        <v>244</v>
      </c>
      <c r="J172" t="s">
        <v>244</v>
      </c>
      <c r="L172" t="s">
        <v>551</v>
      </c>
      <c r="M172" t="s">
        <v>61</v>
      </c>
      <c r="N172" t="s">
        <v>9207</v>
      </c>
      <c r="O172" t="s">
        <v>9177</v>
      </c>
      <c r="U172" t="str">
        <f>_xlfn.LET(_xlpm.x, _xlfn.XLOOKUP(B172,Sheet3!N:N,Sheet3!C:C,""), IF(_xlpm.x=0,"",_xlpm.x))</f>
        <v>劳动合同</v>
      </c>
      <c r="V172" s="5" t="s">
        <v>1090</v>
      </c>
      <c r="X172" t="s">
        <v>3990</v>
      </c>
    </row>
    <row r="173" spans="1:24" ht="15.6" x14ac:dyDescent="0.25">
      <c r="A173" s="8" t="s">
        <v>1641</v>
      </c>
      <c r="B173" s="8" t="s">
        <v>1644</v>
      </c>
      <c r="C173" s="5" t="s">
        <v>8942</v>
      </c>
      <c r="E173" s="5" t="s">
        <v>243</v>
      </c>
      <c r="F173" s="5" t="s">
        <v>492</v>
      </c>
      <c r="G173" s="5" t="s">
        <v>492</v>
      </c>
      <c r="H173" t="s">
        <v>553</v>
      </c>
      <c r="I173" t="s">
        <v>244</v>
      </c>
      <c r="J173" t="s">
        <v>244</v>
      </c>
      <c r="L173" t="s">
        <v>654</v>
      </c>
      <c r="M173" t="s">
        <v>58</v>
      </c>
      <c r="N173" t="s">
        <v>9207</v>
      </c>
      <c r="O173" t="s">
        <v>9159</v>
      </c>
      <c r="U173" t="str">
        <f>_xlfn.LET(_xlpm.x, _xlfn.XLOOKUP(B173,Sheet3!N:N,Sheet3!C:C,""), IF(_xlpm.x=0,"",_xlpm.x))</f>
        <v>劳动合同</v>
      </c>
      <c r="V173" s="5" t="s">
        <v>1311</v>
      </c>
      <c r="X173" t="s">
        <v>3990</v>
      </c>
    </row>
    <row r="174" spans="1:24" ht="15.6" x14ac:dyDescent="0.25">
      <c r="A174" s="8" t="s">
        <v>952</v>
      </c>
      <c r="B174" s="8" t="s">
        <v>955</v>
      </c>
      <c r="C174" s="5" t="s">
        <v>8943</v>
      </c>
      <c r="E174" s="5" t="s">
        <v>243</v>
      </c>
      <c r="F174" s="5" t="s">
        <v>256</v>
      </c>
      <c r="G174" s="5" t="s">
        <v>256</v>
      </c>
      <c r="H174" t="s">
        <v>566</v>
      </c>
      <c r="I174" t="s">
        <v>244</v>
      </c>
      <c r="J174" t="s">
        <v>244</v>
      </c>
      <c r="L174" t="s">
        <v>565</v>
      </c>
      <c r="M174" t="s">
        <v>257</v>
      </c>
      <c r="N174" t="s">
        <v>9207</v>
      </c>
      <c r="O174" t="s">
        <v>9132</v>
      </c>
      <c r="U174" t="str">
        <f>_xlfn.LET(_xlpm.x, _xlfn.XLOOKUP(B174,Sheet3!N:N,Sheet3!C:C,""), IF(_xlpm.x=0,"",_xlpm.x))</f>
        <v>劳动合同</v>
      </c>
      <c r="V174" s="5" t="s">
        <v>923</v>
      </c>
      <c r="X174" t="s">
        <v>3990</v>
      </c>
    </row>
    <row r="175" spans="1:24" ht="15.6" x14ac:dyDescent="0.25">
      <c r="A175" s="8" t="s">
        <v>963</v>
      </c>
      <c r="B175" s="8" t="s">
        <v>968</v>
      </c>
      <c r="C175" s="5" t="s">
        <v>8944</v>
      </c>
      <c r="E175" s="5" t="s">
        <v>243</v>
      </c>
      <c r="F175" s="5" t="s">
        <v>492</v>
      </c>
      <c r="G175" s="5" t="s">
        <v>492</v>
      </c>
      <c r="H175" t="s">
        <v>553</v>
      </c>
      <c r="I175" t="s">
        <v>244</v>
      </c>
      <c r="J175" t="s">
        <v>244</v>
      </c>
      <c r="L175" t="s">
        <v>733</v>
      </c>
      <c r="M175" t="s">
        <v>63</v>
      </c>
      <c r="N175" t="s">
        <v>9207</v>
      </c>
      <c r="O175" t="s">
        <v>9131</v>
      </c>
      <c r="U175" t="str">
        <f>_xlfn.LET(_xlpm.x, _xlfn.XLOOKUP(B175,Sheet3!N:N,Sheet3!C:C,""), IF(_xlpm.x=0,"",_xlpm.x))</f>
        <v>劳动合同</v>
      </c>
      <c r="V175" s="5" t="s">
        <v>939</v>
      </c>
      <c r="X175" t="s">
        <v>3990</v>
      </c>
    </row>
    <row r="176" spans="1:24" ht="15.6" x14ac:dyDescent="0.25">
      <c r="A176" s="8" t="s">
        <v>2742</v>
      </c>
      <c r="B176" s="8" t="s">
        <v>2746</v>
      </c>
      <c r="C176" s="5" t="s">
        <v>8945</v>
      </c>
      <c r="E176" s="5" t="s">
        <v>243</v>
      </c>
      <c r="F176" s="5" t="s">
        <v>492</v>
      </c>
      <c r="G176" s="5" t="s">
        <v>242</v>
      </c>
      <c r="H176" t="s">
        <v>345</v>
      </c>
      <c r="I176" t="s">
        <v>346</v>
      </c>
      <c r="J176" t="s">
        <v>344</v>
      </c>
      <c r="L176" t="s">
        <v>2744</v>
      </c>
      <c r="M176" t="s">
        <v>9098</v>
      </c>
      <c r="N176" t="s">
        <v>9211</v>
      </c>
      <c r="O176" t="s">
        <v>9135</v>
      </c>
      <c r="U176" t="str">
        <f>_xlfn.LET(_xlpm.x, _xlfn.XLOOKUP(B176,Sheet3!N:N,Sheet3!C:C,""), IF(_xlpm.x=0,"",_xlpm.x))</f>
        <v>劳动合同</v>
      </c>
      <c r="V176" s="5" t="s">
        <v>4000</v>
      </c>
      <c r="X176" t="s">
        <v>4011</v>
      </c>
    </row>
    <row r="177" spans="1:24" ht="15.6" x14ac:dyDescent="0.25">
      <c r="A177" s="8" t="s">
        <v>1886</v>
      </c>
      <c r="B177" s="8" t="s">
        <v>1889</v>
      </c>
      <c r="C177" s="5" t="s">
        <v>8946</v>
      </c>
      <c r="E177" s="5" t="s">
        <v>243</v>
      </c>
      <c r="F177" s="5" t="s">
        <v>492</v>
      </c>
      <c r="G177" s="5" t="s">
        <v>492</v>
      </c>
      <c r="H177" t="s">
        <v>553</v>
      </c>
      <c r="I177" t="s">
        <v>244</v>
      </c>
      <c r="J177" t="s">
        <v>244</v>
      </c>
      <c r="L177" t="s">
        <v>616</v>
      </c>
      <c r="M177" t="s">
        <v>61</v>
      </c>
      <c r="N177" t="s">
        <v>9207</v>
      </c>
      <c r="O177" t="s">
        <v>9177</v>
      </c>
      <c r="U177" t="str">
        <f>_xlfn.LET(_xlpm.x, _xlfn.XLOOKUP(B177,Sheet3!N:N,Sheet3!C:C,""), IF(_xlpm.x=0,"",_xlpm.x))</f>
        <v>劳动合同</v>
      </c>
      <c r="V177" s="5" t="s">
        <v>1166</v>
      </c>
      <c r="X177" t="s">
        <v>3990</v>
      </c>
    </row>
    <row r="178" spans="1:24" ht="15.6" x14ac:dyDescent="0.25">
      <c r="A178" s="8" t="s">
        <v>1726</v>
      </c>
      <c r="B178" s="8" t="s">
        <v>1732</v>
      </c>
      <c r="C178" s="5" t="s">
        <v>8947</v>
      </c>
      <c r="E178" s="5" t="s">
        <v>243</v>
      </c>
      <c r="F178" s="5" t="s">
        <v>242</v>
      </c>
      <c r="G178" s="5" t="s">
        <v>242</v>
      </c>
      <c r="H178" t="s">
        <v>655</v>
      </c>
      <c r="I178" t="s">
        <v>244</v>
      </c>
      <c r="J178" t="s">
        <v>244</v>
      </c>
      <c r="L178" t="s">
        <v>240</v>
      </c>
      <c r="M178" t="s">
        <v>9101</v>
      </c>
      <c r="N178" t="s">
        <v>9206</v>
      </c>
      <c r="O178" t="s">
        <v>9127</v>
      </c>
      <c r="U178" t="str">
        <f>_xlfn.LET(_xlpm.x, _xlfn.XLOOKUP(B178,Sheet3!N:N,Sheet3!C:C,""), IF(_xlpm.x=0,"",_xlpm.x))</f>
        <v>劳动合同</v>
      </c>
      <c r="V178" s="5" t="s">
        <v>1478</v>
      </c>
      <c r="X178" t="s">
        <v>4011</v>
      </c>
    </row>
    <row r="179" spans="1:24" ht="15.6" x14ac:dyDescent="0.25">
      <c r="A179" s="8" t="s">
        <v>988</v>
      </c>
      <c r="B179" s="8" t="s">
        <v>992</v>
      </c>
      <c r="C179" s="5" t="s">
        <v>8948</v>
      </c>
      <c r="E179" s="5" t="s">
        <v>243</v>
      </c>
      <c r="F179" s="5" t="s">
        <v>492</v>
      </c>
      <c r="G179" s="5" t="s">
        <v>9130</v>
      </c>
      <c r="H179" t="s">
        <v>553</v>
      </c>
      <c r="J179" t="s">
        <v>244</v>
      </c>
      <c r="K179" t="s">
        <v>552</v>
      </c>
      <c r="L179" t="s">
        <v>733</v>
      </c>
      <c r="M179" t="s">
        <v>63</v>
      </c>
      <c r="N179" t="s">
        <v>9207</v>
      </c>
      <c r="O179" t="s">
        <v>9131</v>
      </c>
      <c r="U179" t="str">
        <f>_xlfn.LET(_xlpm.x, _xlfn.XLOOKUP(B179,Sheet3!N:N,Sheet3!C:C,""), IF(_xlpm.x=0,"",_xlpm.x))</f>
        <v>劳动合同</v>
      </c>
      <c r="V179" s="5" t="s">
        <v>923</v>
      </c>
      <c r="X179" t="s">
        <v>3990</v>
      </c>
    </row>
    <row r="180" spans="1:24" ht="15.6" x14ac:dyDescent="0.25">
      <c r="A180" s="8" t="s">
        <v>1827</v>
      </c>
      <c r="B180" s="8" t="s">
        <v>3107</v>
      </c>
      <c r="C180" s="5" t="s">
        <v>8949</v>
      </c>
      <c r="E180" s="5" t="s">
        <v>243</v>
      </c>
      <c r="F180" s="5" t="s">
        <v>242</v>
      </c>
      <c r="G180" s="5" t="s">
        <v>242</v>
      </c>
      <c r="H180" t="s">
        <v>241</v>
      </c>
      <c r="I180" t="s">
        <v>244</v>
      </c>
      <c r="J180" t="s">
        <v>244</v>
      </c>
      <c r="L180" t="s">
        <v>506</v>
      </c>
      <c r="M180" t="s">
        <v>9102</v>
      </c>
      <c r="N180" t="s">
        <v>9206</v>
      </c>
      <c r="O180" t="s">
        <v>9149</v>
      </c>
      <c r="U180" t="str">
        <f>_xlfn.LET(_xlpm.x, _xlfn.XLOOKUP(B180,Sheet3!N:N,Sheet3!C:C,""), IF(_xlpm.x=0,"",_xlpm.x))</f>
        <v>劳动合同</v>
      </c>
      <c r="V180" s="5" t="s">
        <v>4000</v>
      </c>
      <c r="X180" t="s">
        <v>4011</v>
      </c>
    </row>
    <row r="181" spans="1:24" ht="15.6" x14ac:dyDescent="0.25">
      <c r="A181" s="8" t="s">
        <v>1688</v>
      </c>
      <c r="B181" s="8" t="s">
        <v>1692</v>
      </c>
      <c r="C181" s="5" t="s">
        <v>8950</v>
      </c>
      <c r="E181" s="5" t="s">
        <v>243</v>
      </c>
      <c r="F181" s="5" t="s">
        <v>492</v>
      </c>
      <c r="G181" s="5" t="s">
        <v>492</v>
      </c>
      <c r="H181" t="s">
        <v>491</v>
      </c>
      <c r="I181" t="s">
        <v>244</v>
      </c>
      <c r="J181" t="s">
        <v>244</v>
      </c>
      <c r="L181" t="s">
        <v>240</v>
      </c>
      <c r="M181" t="s">
        <v>9098</v>
      </c>
      <c r="N181" t="s">
        <v>9206</v>
      </c>
      <c r="O181" t="s">
        <v>9139</v>
      </c>
      <c r="U181" t="str">
        <f>_xlfn.LET(_xlpm.x, _xlfn.XLOOKUP(B181,Sheet3!N:N,Sheet3!C:C,""), IF(_xlpm.x=0,"",_xlpm.x))</f>
        <v>劳动合同</v>
      </c>
      <c r="V181" s="5" t="s">
        <v>1311</v>
      </c>
      <c r="X181" t="s">
        <v>4011</v>
      </c>
    </row>
    <row r="182" spans="1:24" ht="15.6" x14ac:dyDescent="0.25">
      <c r="A182" s="8" t="s">
        <v>1933</v>
      </c>
      <c r="B182" s="8" t="s">
        <v>1938</v>
      </c>
      <c r="C182" s="5" t="s">
        <v>8951</v>
      </c>
      <c r="E182" s="5" t="s">
        <v>243</v>
      </c>
      <c r="F182" s="5" t="s">
        <v>242</v>
      </c>
      <c r="G182" s="5" t="s">
        <v>242</v>
      </c>
      <c r="H182" t="s">
        <v>655</v>
      </c>
      <c r="I182" t="s">
        <v>244</v>
      </c>
      <c r="J182" t="s">
        <v>244</v>
      </c>
      <c r="L182" t="s">
        <v>240</v>
      </c>
      <c r="M182" t="s">
        <v>9102</v>
      </c>
      <c r="N182" t="s">
        <v>9206</v>
      </c>
      <c r="O182" t="s">
        <v>9149</v>
      </c>
      <c r="U182" t="str">
        <f>_xlfn.LET(_xlpm.x, _xlfn.XLOOKUP(B182,Sheet3!N:N,Sheet3!C:C,""), IF(_xlpm.x=0,"",_xlpm.x))</f>
        <v>劳动合同</v>
      </c>
      <c r="V182" s="5" t="s">
        <v>1281</v>
      </c>
      <c r="X182" t="s">
        <v>4011</v>
      </c>
    </row>
    <row r="183" spans="1:24" ht="15.6" x14ac:dyDescent="0.25">
      <c r="A183" s="8" t="s">
        <v>857</v>
      </c>
      <c r="B183" s="8" t="s">
        <v>866</v>
      </c>
      <c r="C183" s="5" t="s">
        <v>8952</v>
      </c>
      <c r="E183" s="5" t="s">
        <v>243</v>
      </c>
      <c r="F183" s="5" t="s">
        <v>242</v>
      </c>
      <c r="G183" s="5" t="s">
        <v>242</v>
      </c>
      <c r="H183" t="s">
        <v>861</v>
      </c>
      <c r="I183" t="s">
        <v>244</v>
      </c>
      <c r="J183" t="s">
        <v>244</v>
      </c>
      <c r="L183" t="s">
        <v>860</v>
      </c>
      <c r="M183" t="s">
        <v>905</v>
      </c>
      <c r="N183" t="s">
        <v>9206</v>
      </c>
      <c r="O183" t="s">
        <v>9134</v>
      </c>
      <c r="U183" t="str">
        <f>_xlfn.LET(_xlpm.x, _xlfn.XLOOKUP(B183,Sheet3!N:N,Sheet3!C:C,""), IF(_xlpm.x=0,"",_xlpm.x))</f>
        <v>劳动合同</v>
      </c>
      <c r="V183" s="5" t="s">
        <v>872</v>
      </c>
      <c r="X183" t="s">
        <v>4011</v>
      </c>
    </row>
    <row r="184" spans="1:24" ht="15.6" x14ac:dyDescent="0.25">
      <c r="A184" s="8" t="s">
        <v>817</v>
      </c>
      <c r="B184" s="8" t="s">
        <v>825</v>
      </c>
      <c r="C184" s="5" t="s">
        <v>8953</v>
      </c>
      <c r="E184" s="5" t="s">
        <v>243</v>
      </c>
      <c r="F184" s="5" t="s">
        <v>256</v>
      </c>
      <c r="G184" s="5" t="s">
        <v>256</v>
      </c>
      <c r="H184" t="s">
        <v>255</v>
      </c>
      <c r="I184" t="s">
        <v>244</v>
      </c>
      <c r="J184" t="s">
        <v>244</v>
      </c>
      <c r="L184" t="s">
        <v>506</v>
      </c>
      <c r="M184" t="s">
        <v>905</v>
      </c>
      <c r="N184" t="s">
        <v>9206</v>
      </c>
      <c r="O184" t="s">
        <v>9134</v>
      </c>
      <c r="U184" t="str">
        <f>_xlfn.LET(_xlpm.x, _xlfn.XLOOKUP(B184,Sheet3!N:N,Sheet3!C:C,""), IF(_xlpm.x=0,"",_xlpm.x))</f>
        <v>劳动合同</v>
      </c>
      <c r="V184" s="5" t="s">
        <v>834</v>
      </c>
      <c r="X184" t="s">
        <v>4011</v>
      </c>
    </row>
    <row r="185" spans="1:24" ht="15.6" x14ac:dyDescent="0.25">
      <c r="A185" s="8" t="s">
        <v>1091</v>
      </c>
      <c r="B185" s="8" t="s">
        <v>1101</v>
      </c>
      <c r="C185" s="5" t="s">
        <v>8954</v>
      </c>
      <c r="E185" s="5" t="s">
        <v>243</v>
      </c>
      <c r="F185" s="5" t="s">
        <v>492</v>
      </c>
      <c r="G185" s="5" t="s">
        <v>492</v>
      </c>
      <c r="H185" t="s">
        <v>861</v>
      </c>
      <c r="I185" t="s">
        <v>244</v>
      </c>
      <c r="J185" t="s">
        <v>244</v>
      </c>
      <c r="L185" t="s">
        <v>1097</v>
      </c>
      <c r="M185" t="s">
        <v>2152</v>
      </c>
      <c r="N185" t="s">
        <v>9210</v>
      </c>
      <c r="O185" t="s">
        <v>9143</v>
      </c>
      <c r="U185" t="str">
        <f>_xlfn.LET(_xlpm.x, _xlfn.XLOOKUP(B185,Sheet3!N:N,Sheet3!C:C,""), IF(_xlpm.x=0,"",_xlpm.x))</f>
        <v>劳动合同</v>
      </c>
      <c r="V185" s="5" t="s">
        <v>1090</v>
      </c>
      <c r="X185" t="s">
        <v>4011</v>
      </c>
    </row>
    <row r="186" spans="1:24" ht="15.6" x14ac:dyDescent="0.25">
      <c r="A186" s="8" t="s">
        <v>982</v>
      </c>
      <c r="B186" s="8" t="s">
        <v>986</v>
      </c>
      <c r="C186" s="5" t="s">
        <v>8955</v>
      </c>
      <c r="E186" s="5" t="s">
        <v>243</v>
      </c>
      <c r="F186" s="5" t="s">
        <v>492</v>
      </c>
      <c r="G186" s="5" t="s">
        <v>9130</v>
      </c>
      <c r="H186" t="s">
        <v>553</v>
      </c>
      <c r="J186" t="s">
        <v>244</v>
      </c>
      <c r="K186" t="s">
        <v>552</v>
      </c>
      <c r="L186" t="s">
        <v>733</v>
      </c>
      <c r="M186" t="s">
        <v>257</v>
      </c>
      <c r="N186" t="s">
        <v>9207</v>
      </c>
      <c r="O186" t="s">
        <v>9132</v>
      </c>
      <c r="U186" t="str">
        <f>_xlfn.LET(_xlpm.x, _xlfn.XLOOKUP(B186,Sheet3!N:N,Sheet3!C:C,""), IF(_xlpm.x=0,"",_xlpm.x))</f>
        <v>劳动合同</v>
      </c>
      <c r="V186" s="5" t="s">
        <v>939</v>
      </c>
      <c r="X186" t="s">
        <v>3990</v>
      </c>
    </row>
    <row r="187" spans="1:24" ht="15.6" x14ac:dyDescent="0.25">
      <c r="A187" s="8" t="s">
        <v>626</v>
      </c>
      <c r="B187" s="8" t="s">
        <v>629</v>
      </c>
      <c r="C187" s="5" t="s">
        <v>8956</v>
      </c>
      <c r="E187" s="5" t="s">
        <v>243</v>
      </c>
      <c r="F187" s="5" t="s">
        <v>492</v>
      </c>
      <c r="G187" s="5" t="s">
        <v>9130</v>
      </c>
      <c r="H187" t="s">
        <v>553</v>
      </c>
      <c r="J187" t="s">
        <v>244</v>
      </c>
      <c r="K187" t="s">
        <v>552</v>
      </c>
      <c r="L187" t="s">
        <v>593</v>
      </c>
      <c r="M187" t="s">
        <v>257</v>
      </c>
      <c r="N187" t="s">
        <v>9207</v>
      </c>
      <c r="O187" t="s">
        <v>9132</v>
      </c>
      <c r="U187" t="str">
        <f>_xlfn.LET(_xlpm.x, _xlfn.XLOOKUP(B187,Sheet3!N:N,Sheet3!C:C,""), IF(_xlpm.x=0,"",_xlpm.x))</f>
        <v>劳动合同</v>
      </c>
      <c r="V187" s="5" t="s">
        <v>561</v>
      </c>
      <c r="X187" t="s">
        <v>4011</v>
      </c>
    </row>
    <row r="188" spans="1:24" ht="15.6" x14ac:dyDescent="0.25">
      <c r="A188" s="8" t="s">
        <v>3357</v>
      </c>
      <c r="B188" s="8" t="s">
        <v>3360</v>
      </c>
      <c r="C188" s="5" t="s">
        <v>8957</v>
      </c>
      <c r="E188" s="5" t="s">
        <v>243</v>
      </c>
      <c r="F188" s="5" t="s">
        <v>242</v>
      </c>
      <c r="G188" s="5" t="s">
        <v>242</v>
      </c>
      <c r="H188" t="s">
        <v>241</v>
      </c>
      <c r="I188" t="s">
        <v>244</v>
      </c>
      <c r="J188" t="s">
        <v>244</v>
      </c>
      <c r="L188" t="s">
        <v>506</v>
      </c>
      <c r="M188" t="s">
        <v>9102</v>
      </c>
      <c r="N188" t="s">
        <v>9206</v>
      </c>
      <c r="O188" t="s">
        <v>9149</v>
      </c>
      <c r="U188" t="str">
        <f>_xlfn.LET(_xlpm.x, _xlfn.XLOOKUP(B188,Sheet3!N:N,Sheet3!C:C,""), IF(_xlpm.x=0,"",_xlpm.x))</f>
        <v>劳动合同</v>
      </c>
      <c r="V188" s="5" t="s">
        <v>4000</v>
      </c>
      <c r="X188" t="s">
        <v>4011</v>
      </c>
    </row>
    <row r="189" spans="1:24" ht="15.6" x14ac:dyDescent="0.25">
      <c r="A189" s="8" t="s">
        <v>2710</v>
      </c>
      <c r="B189" s="8" t="s">
        <v>2713</v>
      </c>
      <c r="C189" s="5" t="s">
        <v>8958</v>
      </c>
      <c r="E189" s="5" t="s">
        <v>243</v>
      </c>
      <c r="F189" s="5" t="s">
        <v>242</v>
      </c>
      <c r="G189" s="5" t="s">
        <v>242</v>
      </c>
      <c r="H189" t="s">
        <v>376</v>
      </c>
      <c r="I189" t="s">
        <v>244</v>
      </c>
      <c r="J189" t="s">
        <v>244</v>
      </c>
      <c r="L189" t="s">
        <v>997</v>
      </c>
      <c r="M189" t="s">
        <v>58</v>
      </c>
      <c r="N189" t="s">
        <v>9212</v>
      </c>
      <c r="O189" t="s">
        <v>9170</v>
      </c>
      <c r="U189" t="str">
        <f>_xlfn.LET(_xlpm.x, _xlfn.XLOOKUP(B189,Sheet3!N:N,Sheet3!C:C,""), IF(_xlpm.x=0,"",_xlpm.x))</f>
        <v>劳动合同</v>
      </c>
      <c r="V189" s="5" t="s">
        <v>4000</v>
      </c>
      <c r="X189" t="s">
        <v>4011</v>
      </c>
    </row>
    <row r="190" spans="1:24" ht="15.6" x14ac:dyDescent="0.25">
      <c r="A190" s="8" t="s">
        <v>2367</v>
      </c>
      <c r="B190" s="8" t="s">
        <v>2371</v>
      </c>
      <c r="C190" s="5" t="s">
        <v>8959</v>
      </c>
      <c r="E190" s="5" t="s">
        <v>243</v>
      </c>
      <c r="F190" s="5" t="s">
        <v>242</v>
      </c>
      <c r="G190" s="5" t="s">
        <v>242</v>
      </c>
      <c r="H190" t="s">
        <v>420</v>
      </c>
      <c r="I190" t="s">
        <v>244</v>
      </c>
      <c r="J190" t="s">
        <v>244</v>
      </c>
      <c r="L190" t="s">
        <v>2101</v>
      </c>
      <c r="M190" t="s">
        <v>9098</v>
      </c>
      <c r="N190" t="s">
        <v>9217</v>
      </c>
      <c r="O190" t="s">
        <v>9178</v>
      </c>
      <c r="U190" t="str">
        <f>_xlfn.LET(_xlpm.x, _xlfn.XLOOKUP(B190,Sheet3!N:N,Sheet3!C:C,""), IF(_xlpm.x=0,"",_xlpm.x))</f>
        <v>劳动合同</v>
      </c>
      <c r="V190" s="5" t="s">
        <v>894</v>
      </c>
      <c r="X190" t="s">
        <v>3990</v>
      </c>
    </row>
    <row r="191" spans="1:24" ht="15.6" x14ac:dyDescent="0.25">
      <c r="A191" s="8" t="s">
        <v>2391</v>
      </c>
      <c r="B191" s="8" t="s">
        <v>2395</v>
      </c>
      <c r="C191" s="5" t="s">
        <v>8960</v>
      </c>
      <c r="E191" s="5" t="s">
        <v>243</v>
      </c>
      <c r="F191" s="5" t="s">
        <v>492</v>
      </c>
      <c r="G191" s="5" t="s">
        <v>242</v>
      </c>
      <c r="H191" t="s">
        <v>345</v>
      </c>
      <c r="I191" t="s">
        <v>346</v>
      </c>
      <c r="J191" t="s">
        <v>344</v>
      </c>
      <c r="L191" t="s">
        <v>2393</v>
      </c>
      <c r="M191" t="s">
        <v>2152</v>
      </c>
      <c r="N191" t="s">
        <v>9215</v>
      </c>
      <c r="O191" t="s">
        <v>9160</v>
      </c>
      <c r="U191" t="str">
        <f>_xlfn.LET(_xlpm.x, _xlfn.XLOOKUP(B191,Sheet3!N:N,Sheet3!C:C,""), IF(_xlpm.x=0,"",_xlpm.x))</f>
        <v>劳动合同</v>
      </c>
      <c r="V191" s="5" t="s">
        <v>663</v>
      </c>
      <c r="X191" t="s">
        <v>3990</v>
      </c>
    </row>
    <row r="192" spans="1:24" ht="15.6" x14ac:dyDescent="0.25">
      <c r="A192" s="8" t="s">
        <v>1677</v>
      </c>
      <c r="B192" s="8" t="s">
        <v>1682</v>
      </c>
      <c r="C192" s="5" t="s">
        <v>8961</v>
      </c>
      <c r="E192" s="5" t="s">
        <v>243</v>
      </c>
      <c r="F192" s="5" t="s">
        <v>492</v>
      </c>
      <c r="G192" s="5" t="s">
        <v>492</v>
      </c>
      <c r="H192" t="s">
        <v>878</v>
      </c>
      <c r="I192" t="s">
        <v>244</v>
      </c>
      <c r="J192" t="s">
        <v>244</v>
      </c>
      <c r="L192" t="s">
        <v>1394</v>
      </c>
      <c r="M192" t="s">
        <v>9098</v>
      </c>
      <c r="N192" t="s">
        <v>9205</v>
      </c>
      <c r="O192" t="s">
        <v>9195</v>
      </c>
      <c r="U192" t="str">
        <f>_xlfn.LET(_xlpm.x, _xlfn.XLOOKUP(B192,Sheet3!N:N,Sheet3!C:C,""), IF(_xlpm.x=0,"",_xlpm.x))</f>
        <v>劳动合同</v>
      </c>
      <c r="V192" s="5" t="s">
        <v>1311</v>
      </c>
      <c r="X192" t="s">
        <v>3990</v>
      </c>
    </row>
    <row r="193" spans="1:24" ht="15.6" x14ac:dyDescent="0.25">
      <c r="A193" s="8" t="s">
        <v>1346</v>
      </c>
      <c r="B193" s="8" t="s">
        <v>1356</v>
      </c>
      <c r="C193" s="5" t="s">
        <v>8962</v>
      </c>
      <c r="E193" s="5" t="s">
        <v>243</v>
      </c>
      <c r="F193" s="5" t="s">
        <v>242</v>
      </c>
      <c r="G193" s="5" t="s">
        <v>242</v>
      </c>
      <c r="H193" t="s">
        <v>1353</v>
      </c>
      <c r="I193" t="s">
        <v>244</v>
      </c>
      <c r="J193" t="s">
        <v>244</v>
      </c>
      <c r="L193" t="s">
        <v>1352</v>
      </c>
      <c r="M193" t="s">
        <v>9106</v>
      </c>
      <c r="N193" t="s">
        <v>9205</v>
      </c>
      <c r="O193" t="s">
        <v>9200</v>
      </c>
      <c r="U193" t="str">
        <f>_xlfn.LET(_xlpm.x, _xlfn.XLOOKUP(B193,Sheet3!N:N,Sheet3!C:C,""), IF(_xlpm.x=0,"",_xlpm.x))</f>
        <v>劳动合同</v>
      </c>
      <c r="V193" s="5" t="s">
        <v>1281</v>
      </c>
      <c r="X193" t="s">
        <v>4011</v>
      </c>
    </row>
    <row r="194" spans="1:24" ht="15.6" x14ac:dyDescent="0.25">
      <c r="A194" s="8" t="s">
        <v>2692</v>
      </c>
      <c r="B194" s="8" t="s">
        <v>2696</v>
      </c>
      <c r="C194" s="5" t="s">
        <v>8963</v>
      </c>
      <c r="E194" s="5" t="s">
        <v>243</v>
      </c>
      <c r="F194" s="5" t="s">
        <v>492</v>
      </c>
      <c r="G194" s="5" t="s">
        <v>492</v>
      </c>
      <c r="H194" t="s">
        <v>491</v>
      </c>
      <c r="I194" t="s">
        <v>244</v>
      </c>
      <c r="J194" t="s">
        <v>244</v>
      </c>
      <c r="L194" t="s">
        <v>1848</v>
      </c>
      <c r="M194" t="s">
        <v>905</v>
      </c>
      <c r="N194" t="s">
        <v>9210</v>
      </c>
      <c r="O194" t="s">
        <v>9133</v>
      </c>
      <c r="U194" t="str">
        <f>_xlfn.LET(_xlpm.x, _xlfn.XLOOKUP(B194,Sheet3!N:N,Sheet3!C:C,""), IF(_xlpm.x=0,"",_xlpm.x))</f>
        <v>劳动合同</v>
      </c>
      <c r="V194" s="5" t="s">
        <v>663</v>
      </c>
      <c r="X194" t="s">
        <v>4011</v>
      </c>
    </row>
    <row r="195" spans="1:24" ht="15.6" x14ac:dyDescent="0.25">
      <c r="A195" s="8" t="s">
        <v>2995</v>
      </c>
      <c r="B195" s="8" t="s">
        <v>3000</v>
      </c>
      <c r="C195" s="5" t="s">
        <v>8964</v>
      </c>
      <c r="E195" s="5" t="s">
        <v>243</v>
      </c>
      <c r="F195" s="5" t="s">
        <v>492</v>
      </c>
      <c r="G195" s="5" t="s">
        <v>242</v>
      </c>
      <c r="H195" t="s">
        <v>345</v>
      </c>
      <c r="I195" t="s">
        <v>346</v>
      </c>
      <c r="J195" t="s">
        <v>344</v>
      </c>
      <c r="L195" t="s">
        <v>2998</v>
      </c>
      <c r="M195" t="s">
        <v>2152</v>
      </c>
      <c r="N195" t="s">
        <v>9215</v>
      </c>
      <c r="O195" t="s">
        <v>9160</v>
      </c>
      <c r="U195" t="str">
        <f>_xlfn.LET(_xlpm.x, _xlfn.XLOOKUP(B195,Sheet3!N:N,Sheet3!C:C,""), IF(_xlpm.x=0,"",_xlpm.x))</f>
        <v>劳动合同</v>
      </c>
      <c r="V195" s="5" t="s">
        <v>1311</v>
      </c>
      <c r="X195" t="s">
        <v>3990</v>
      </c>
    </row>
    <row r="196" spans="1:24" ht="15.6" x14ac:dyDescent="0.25">
      <c r="A196" s="8" t="s">
        <v>2700</v>
      </c>
      <c r="B196" s="8" t="s">
        <v>2704</v>
      </c>
      <c r="C196" s="5" t="s">
        <v>8965</v>
      </c>
      <c r="E196" s="5" t="s">
        <v>243</v>
      </c>
      <c r="F196" s="5" t="s">
        <v>492</v>
      </c>
      <c r="G196" s="5" t="s">
        <v>492</v>
      </c>
      <c r="H196" t="s">
        <v>553</v>
      </c>
      <c r="I196" t="s">
        <v>244</v>
      </c>
      <c r="J196" t="s">
        <v>244</v>
      </c>
      <c r="L196" t="s">
        <v>551</v>
      </c>
      <c r="M196" t="s">
        <v>9098</v>
      </c>
      <c r="N196" t="s">
        <v>9207</v>
      </c>
      <c r="O196" t="s">
        <v>9173</v>
      </c>
      <c r="U196" t="str">
        <f>_xlfn.LET(_xlpm.x, _xlfn.XLOOKUP(B196,Sheet3!N:N,Sheet3!C:C,""), IF(_xlpm.x=0,"",_xlpm.x))</f>
        <v>劳动合同</v>
      </c>
      <c r="V196" s="5" t="s">
        <v>4000</v>
      </c>
      <c r="X196" t="s">
        <v>4011</v>
      </c>
    </row>
    <row r="197" spans="1:24" ht="15.6" x14ac:dyDescent="0.25">
      <c r="A197" s="8" t="s">
        <v>2458</v>
      </c>
      <c r="B197" s="8" t="s">
        <v>2462</v>
      </c>
      <c r="C197" s="5" t="s">
        <v>8966</v>
      </c>
      <c r="E197" s="5" t="s">
        <v>243</v>
      </c>
      <c r="F197" s="5" t="s">
        <v>492</v>
      </c>
      <c r="G197" s="5" t="s">
        <v>242</v>
      </c>
      <c r="H197" t="s">
        <v>345</v>
      </c>
      <c r="I197" t="s">
        <v>346</v>
      </c>
      <c r="J197" t="s">
        <v>344</v>
      </c>
      <c r="L197" t="s">
        <v>574</v>
      </c>
      <c r="M197" t="s">
        <v>2152</v>
      </c>
      <c r="N197" t="s">
        <v>9215</v>
      </c>
      <c r="O197" t="s">
        <v>9160</v>
      </c>
      <c r="U197" t="str">
        <f>_xlfn.LET(_xlpm.x, _xlfn.XLOOKUP(B197,Sheet3!N:N,Sheet3!C:C,""), IF(_xlpm.x=0,"",_xlpm.x))</f>
        <v>劳动合同</v>
      </c>
      <c r="V197" s="5" t="s">
        <v>1090</v>
      </c>
      <c r="X197" t="s">
        <v>3990</v>
      </c>
    </row>
    <row r="198" spans="1:24" ht="15.6" x14ac:dyDescent="0.25">
      <c r="A198" s="8" t="s">
        <v>1836</v>
      </c>
      <c r="B198" s="8" t="s">
        <v>1841</v>
      </c>
      <c r="C198" s="5" t="s">
        <v>8967</v>
      </c>
      <c r="E198" s="5" t="s">
        <v>243</v>
      </c>
      <c r="F198" s="5" t="s">
        <v>242</v>
      </c>
      <c r="G198" s="5" t="s">
        <v>242</v>
      </c>
      <c r="H198" t="s">
        <v>241</v>
      </c>
      <c r="I198" t="s">
        <v>244</v>
      </c>
      <c r="J198" t="s">
        <v>244</v>
      </c>
      <c r="L198" t="s">
        <v>506</v>
      </c>
      <c r="M198" t="s">
        <v>2152</v>
      </c>
      <c r="N198" t="s">
        <v>9206</v>
      </c>
      <c r="O198" t="s">
        <v>9182</v>
      </c>
      <c r="U198" t="str">
        <f>_xlfn.LET(_xlpm.x, _xlfn.XLOOKUP(B198,Sheet3!N:N,Sheet3!C:C,""), IF(_xlpm.x=0,"",_xlpm.x))</f>
        <v>劳动合同</v>
      </c>
      <c r="V198" s="5" t="s">
        <v>4000</v>
      </c>
      <c r="X198" t="s">
        <v>4011</v>
      </c>
    </row>
    <row r="199" spans="1:24" ht="15.6" x14ac:dyDescent="0.25">
      <c r="A199" s="8" t="s">
        <v>2424</v>
      </c>
      <c r="B199" s="8" t="s">
        <v>2428</v>
      </c>
      <c r="C199" s="5" t="s">
        <v>8968</v>
      </c>
      <c r="E199" s="5" t="s">
        <v>243</v>
      </c>
      <c r="F199" s="5" t="s">
        <v>492</v>
      </c>
      <c r="G199" s="5" t="s">
        <v>492</v>
      </c>
      <c r="H199" t="s">
        <v>553</v>
      </c>
      <c r="I199" t="s">
        <v>244</v>
      </c>
      <c r="J199" t="s">
        <v>244</v>
      </c>
      <c r="L199" t="s">
        <v>551</v>
      </c>
      <c r="M199" t="s">
        <v>905</v>
      </c>
      <c r="N199" t="s">
        <v>9207</v>
      </c>
      <c r="O199" t="s">
        <v>9153</v>
      </c>
      <c r="U199" t="str">
        <f>_xlfn.LET(_xlpm.x, _xlfn.XLOOKUP(B199,Sheet3!N:N,Sheet3!C:C,""), IF(_xlpm.x=0,"",_xlpm.x))</f>
        <v>劳动合同</v>
      </c>
      <c r="V199" s="5" t="s">
        <v>4000</v>
      </c>
      <c r="X199" t="s">
        <v>3990</v>
      </c>
    </row>
    <row r="200" spans="1:24" ht="15.6" x14ac:dyDescent="0.25">
      <c r="A200" s="8" t="s">
        <v>1829</v>
      </c>
      <c r="B200" s="8" t="s">
        <v>1832</v>
      </c>
      <c r="C200" s="5" t="s">
        <v>8969</v>
      </c>
      <c r="E200" s="5" t="s">
        <v>243</v>
      </c>
      <c r="F200" s="5" t="s">
        <v>492</v>
      </c>
      <c r="G200" s="5" t="s">
        <v>492</v>
      </c>
      <c r="H200" t="s">
        <v>553</v>
      </c>
      <c r="I200" t="s">
        <v>244</v>
      </c>
      <c r="J200" t="s">
        <v>244</v>
      </c>
      <c r="L200" t="s">
        <v>551</v>
      </c>
      <c r="M200" t="s">
        <v>58</v>
      </c>
      <c r="N200" t="s">
        <v>9207</v>
      </c>
      <c r="O200" t="s">
        <v>9159</v>
      </c>
      <c r="U200" t="str">
        <f>_xlfn.LET(_xlpm.x, _xlfn.XLOOKUP(B200,Sheet3!N:N,Sheet3!C:C,""), IF(_xlpm.x=0,"",_xlpm.x))</f>
        <v>劳动合同</v>
      </c>
      <c r="V200" s="5" t="s">
        <v>663</v>
      </c>
      <c r="X200" t="s">
        <v>3990</v>
      </c>
    </row>
    <row r="201" spans="1:24" ht="15.6" x14ac:dyDescent="0.25">
      <c r="A201" s="8" t="s">
        <v>1893</v>
      </c>
      <c r="B201" s="8" t="s">
        <v>1898</v>
      </c>
      <c r="C201" s="5" t="s">
        <v>8970</v>
      </c>
      <c r="E201" s="5" t="s">
        <v>243</v>
      </c>
      <c r="F201" s="5" t="s">
        <v>242</v>
      </c>
      <c r="G201" s="5" t="s">
        <v>242</v>
      </c>
      <c r="H201" t="s">
        <v>1380</v>
      </c>
      <c r="I201" t="s">
        <v>244</v>
      </c>
      <c r="J201" t="s">
        <v>244</v>
      </c>
      <c r="L201" t="s">
        <v>1379</v>
      </c>
      <c r="M201" t="s">
        <v>2152</v>
      </c>
      <c r="N201" t="s">
        <v>9221</v>
      </c>
      <c r="O201" t="s">
        <v>9185</v>
      </c>
      <c r="U201" t="str">
        <f>_xlfn.LET(_xlpm.x, _xlfn.XLOOKUP(B201,Sheet3!N:N,Sheet3!C:C,""), IF(_xlpm.x=0,"",_xlpm.x))</f>
        <v>劳动合同</v>
      </c>
      <c r="V201" s="5" t="s">
        <v>894</v>
      </c>
      <c r="X201" t="s">
        <v>3990</v>
      </c>
    </row>
    <row r="202" spans="1:24" ht="15.6" x14ac:dyDescent="0.25">
      <c r="A202" s="8" t="s">
        <v>1036</v>
      </c>
      <c r="B202" s="8" t="s">
        <v>1043</v>
      </c>
      <c r="C202" s="5" t="s">
        <v>8971</v>
      </c>
      <c r="E202" s="5" t="s">
        <v>243</v>
      </c>
      <c r="F202" s="5" t="s">
        <v>256</v>
      </c>
      <c r="G202" s="5" t="s">
        <v>256</v>
      </c>
      <c r="H202" t="s">
        <v>255</v>
      </c>
      <c r="I202" t="s">
        <v>244</v>
      </c>
      <c r="J202" t="s">
        <v>244</v>
      </c>
      <c r="L202" t="s">
        <v>506</v>
      </c>
      <c r="M202" t="s">
        <v>58</v>
      </c>
      <c r="N202" t="s">
        <v>9206</v>
      </c>
      <c r="O202" t="s">
        <v>9128</v>
      </c>
      <c r="U202" t="str">
        <f>_xlfn.LET(_xlpm.x, _xlfn.XLOOKUP(B202,Sheet3!N:N,Sheet3!C:C,""), IF(_xlpm.x=0,"",_xlpm.x))</f>
        <v>劳动合同</v>
      </c>
      <c r="V202" s="5" t="s">
        <v>1035</v>
      </c>
      <c r="X202" t="s">
        <v>4011</v>
      </c>
    </row>
    <row r="203" spans="1:24" ht="15.6" x14ac:dyDescent="0.25">
      <c r="A203" s="8" t="s">
        <v>1183</v>
      </c>
      <c r="B203" s="8" t="s">
        <v>1189</v>
      </c>
      <c r="C203" s="5" t="s">
        <v>8972</v>
      </c>
      <c r="E203" s="5" t="s">
        <v>243</v>
      </c>
      <c r="F203" s="5" t="s">
        <v>256</v>
      </c>
      <c r="G203" s="5" t="s">
        <v>256</v>
      </c>
      <c r="H203" t="s">
        <v>255</v>
      </c>
      <c r="I203" t="s">
        <v>244</v>
      </c>
      <c r="J203" t="s">
        <v>244</v>
      </c>
      <c r="L203" t="s">
        <v>240</v>
      </c>
      <c r="M203" t="s">
        <v>58</v>
      </c>
      <c r="N203" t="s">
        <v>9206</v>
      </c>
      <c r="O203" t="s">
        <v>9128</v>
      </c>
      <c r="U203" t="str">
        <f>_xlfn.LET(_xlpm.x, _xlfn.XLOOKUP(B203,Sheet3!N:N,Sheet3!C:C,""), IF(_xlpm.x=0,"",_xlpm.x))</f>
        <v>劳动合同</v>
      </c>
      <c r="V203" s="5" t="s">
        <v>1193</v>
      </c>
      <c r="X203" t="s">
        <v>4011</v>
      </c>
    </row>
    <row r="204" spans="1:24" ht="15.6" x14ac:dyDescent="0.25">
      <c r="A204" s="8" t="s">
        <v>913</v>
      </c>
      <c r="B204" s="8" t="s">
        <v>919</v>
      </c>
      <c r="C204" s="5" t="s">
        <v>8973</v>
      </c>
      <c r="E204" s="5" t="s">
        <v>243</v>
      </c>
      <c r="F204" s="5" t="s">
        <v>242</v>
      </c>
      <c r="G204" s="5" t="s">
        <v>242</v>
      </c>
      <c r="H204" t="s">
        <v>459</v>
      </c>
      <c r="I204" t="s">
        <v>244</v>
      </c>
      <c r="J204" t="s">
        <v>244</v>
      </c>
      <c r="L204" t="s">
        <v>419</v>
      </c>
      <c r="M204" t="s">
        <v>61</v>
      </c>
      <c r="N204" t="s">
        <v>9205</v>
      </c>
      <c r="O204" t="s">
        <v>9146</v>
      </c>
      <c r="U204" t="str">
        <f>_xlfn.LET(_xlpm.x, _xlfn.XLOOKUP(B204,Sheet3!N:N,Sheet3!C:C,""), IF(_xlpm.x=0,"",_xlpm.x))</f>
        <v>劳动合同</v>
      </c>
      <c r="V204" s="5" t="s">
        <v>923</v>
      </c>
      <c r="X204" t="s">
        <v>3990</v>
      </c>
    </row>
    <row r="205" spans="1:24" ht="15.6" x14ac:dyDescent="0.25">
      <c r="A205" s="8" t="s">
        <v>957</v>
      </c>
      <c r="B205" s="8" t="s">
        <v>960</v>
      </c>
      <c r="C205" s="5" t="s">
        <v>8974</v>
      </c>
      <c r="E205" s="5" t="s">
        <v>243</v>
      </c>
      <c r="F205" s="5" t="s">
        <v>256</v>
      </c>
      <c r="G205" s="5" t="s">
        <v>256</v>
      </c>
      <c r="H205" t="s">
        <v>566</v>
      </c>
      <c r="I205" t="s">
        <v>244</v>
      </c>
      <c r="J205" t="s">
        <v>244</v>
      </c>
      <c r="L205" t="s">
        <v>565</v>
      </c>
      <c r="M205" t="s">
        <v>257</v>
      </c>
      <c r="N205" t="s">
        <v>9207</v>
      </c>
      <c r="O205" t="s">
        <v>9132</v>
      </c>
      <c r="U205" t="str">
        <f>_xlfn.LET(_xlpm.x, _xlfn.XLOOKUP(B205,Sheet3!N:N,Sheet3!C:C,""), IF(_xlpm.x=0,"",_xlpm.x))</f>
        <v>劳动合同</v>
      </c>
      <c r="V205" s="5" t="s">
        <v>923</v>
      </c>
      <c r="X205" t="s">
        <v>3990</v>
      </c>
    </row>
    <row r="206" spans="1:24" ht="15.6" x14ac:dyDescent="0.25">
      <c r="A206" s="8" t="s">
        <v>268</v>
      </c>
      <c r="B206" s="8" t="s">
        <v>280</v>
      </c>
      <c r="C206" s="5" t="s">
        <v>8975</v>
      </c>
      <c r="E206" s="5" t="s">
        <v>243</v>
      </c>
      <c r="F206" s="5" t="s">
        <v>242</v>
      </c>
      <c r="G206" s="5" t="s">
        <v>242</v>
      </c>
      <c r="H206" t="s">
        <v>241</v>
      </c>
      <c r="I206" t="s">
        <v>244</v>
      </c>
      <c r="J206" t="s">
        <v>244</v>
      </c>
      <c r="L206" t="s">
        <v>275</v>
      </c>
      <c r="M206" t="s">
        <v>61</v>
      </c>
      <c r="N206" t="s">
        <v>9205</v>
      </c>
      <c r="O206" t="s">
        <v>9146</v>
      </c>
      <c r="U206" t="str">
        <f>_xlfn.LET(_xlpm.x, _xlfn.XLOOKUP(B206,Sheet3!N:N,Sheet3!C:C,""), IF(_xlpm.x=0,"",_xlpm.x))</f>
        <v>劳动合同</v>
      </c>
      <c r="V206" s="5" t="s">
        <v>2228</v>
      </c>
      <c r="X206" t="s">
        <v>4011</v>
      </c>
    </row>
    <row r="207" spans="1:24" ht="15.6" x14ac:dyDescent="0.25">
      <c r="A207" s="8" t="s">
        <v>946</v>
      </c>
      <c r="B207" s="8" t="s">
        <v>950</v>
      </c>
      <c r="C207" s="5" t="s">
        <v>8976</v>
      </c>
      <c r="E207" s="5" t="s">
        <v>243</v>
      </c>
      <c r="F207" s="5" t="s">
        <v>256</v>
      </c>
      <c r="G207" s="5" t="s">
        <v>256</v>
      </c>
      <c r="H207" t="s">
        <v>566</v>
      </c>
      <c r="I207" t="s">
        <v>244</v>
      </c>
      <c r="J207" t="s">
        <v>244</v>
      </c>
      <c r="L207" t="s">
        <v>565</v>
      </c>
      <c r="M207" t="s">
        <v>257</v>
      </c>
      <c r="N207" t="s">
        <v>9207</v>
      </c>
      <c r="O207" t="s">
        <v>9132</v>
      </c>
      <c r="U207" t="str">
        <f>_xlfn.LET(_xlpm.x, _xlfn.XLOOKUP(B207,Sheet3!N:N,Sheet3!C:C,""), IF(_xlpm.x=0,"",_xlpm.x))</f>
        <v>劳动合同</v>
      </c>
      <c r="V207" s="5" t="s">
        <v>923</v>
      </c>
      <c r="X207" t="s">
        <v>3990</v>
      </c>
    </row>
    <row r="208" spans="1:24" ht="15.6" x14ac:dyDescent="0.25">
      <c r="A208" s="8" t="s">
        <v>600</v>
      </c>
      <c r="B208" s="8" t="s">
        <v>604</v>
      </c>
      <c r="C208" s="5" t="s">
        <v>8977</v>
      </c>
      <c r="E208" s="5" t="s">
        <v>243</v>
      </c>
      <c r="F208" s="5" t="s">
        <v>256</v>
      </c>
      <c r="G208" s="5" t="s">
        <v>256</v>
      </c>
      <c r="H208" t="s">
        <v>566</v>
      </c>
      <c r="I208" t="s">
        <v>244</v>
      </c>
      <c r="J208" t="s">
        <v>244</v>
      </c>
      <c r="L208" t="s">
        <v>565</v>
      </c>
      <c r="M208" t="s">
        <v>257</v>
      </c>
      <c r="N208" t="s">
        <v>9207</v>
      </c>
      <c r="O208" t="s">
        <v>9132</v>
      </c>
      <c r="U208" t="str">
        <f>_xlfn.LET(_xlpm.x, _xlfn.XLOOKUP(B208,Sheet3!N:N,Sheet3!C:C,""), IF(_xlpm.x=0,"",_xlpm.x))</f>
        <v>劳动合同</v>
      </c>
      <c r="V208" s="5" t="s">
        <v>561</v>
      </c>
      <c r="X208" t="s">
        <v>4011</v>
      </c>
    </row>
    <row r="209" spans="1:24" ht="15.6" x14ac:dyDescent="0.25">
      <c r="A209" s="8" t="s">
        <v>486</v>
      </c>
      <c r="B209" s="8" t="s">
        <v>496</v>
      </c>
      <c r="C209" s="5" t="s">
        <v>8978</v>
      </c>
      <c r="E209" s="5" t="s">
        <v>243</v>
      </c>
      <c r="F209" s="5" t="s">
        <v>492</v>
      </c>
      <c r="G209" s="5" t="s">
        <v>492</v>
      </c>
      <c r="H209" t="s">
        <v>491</v>
      </c>
      <c r="I209" t="s">
        <v>244</v>
      </c>
      <c r="J209" t="s">
        <v>244</v>
      </c>
      <c r="L209" t="s">
        <v>240</v>
      </c>
      <c r="M209" t="s">
        <v>58</v>
      </c>
      <c r="N209" t="s">
        <v>9206</v>
      </c>
      <c r="O209" t="s">
        <v>9128</v>
      </c>
      <c r="U209" t="str">
        <f>_xlfn.LET(_xlpm.x, _xlfn.XLOOKUP(B209,Sheet3!N:N,Sheet3!C:C,""), IF(_xlpm.x=0,"",_xlpm.x))</f>
        <v>劳动合同</v>
      </c>
      <c r="V209" s="5" t="s">
        <v>501</v>
      </c>
      <c r="X209" t="s">
        <v>4011</v>
      </c>
    </row>
    <row r="210" spans="1:24" ht="15.6" x14ac:dyDescent="0.25">
      <c r="A210" s="8" t="s">
        <v>1010</v>
      </c>
      <c r="B210" s="8" t="s">
        <v>1018</v>
      </c>
      <c r="C210" s="5" t="s">
        <v>8979</v>
      </c>
      <c r="E210" s="5" t="s">
        <v>243</v>
      </c>
      <c r="F210" s="5" t="s">
        <v>242</v>
      </c>
      <c r="G210" s="5" t="s">
        <v>242</v>
      </c>
      <c r="H210" t="s">
        <v>655</v>
      </c>
      <c r="I210" t="s">
        <v>244</v>
      </c>
      <c r="J210" t="s">
        <v>244</v>
      </c>
      <c r="L210" t="s">
        <v>240</v>
      </c>
      <c r="M210" t="s">
        <v>9101</v>
      </c>
      <c r="N210" t="s">
        <v>9206</v>
      </c>
      <c r="O210" t="s">
        <v>9127</v>
      </c>
      <c r="U210" t="str">
        <f>_xlfn.LET(_xlpm.x, _xlfn.XLOOKUP(B210,Sheet3!N:N,Sheet3!C:C,""), IF(_xlpm.x=0,"",_xlpm.x))</f>
        <v>劳动合同</v>
      </c>
      <c r="V210" s="5" t="s">
        <v>939</v>
      </c>
      <c r="X210" t="s">
        <v>4011</v>
      </c>
    </row>
    <row r="211" spans="1:24" ht="15.6" x14ac:dyDescent="0.25">
      <c r="A211" s="8" t="s">
        <v>1053</v>
      </c>
      <c r="B211" s="8" t="s">
        <v>1060</v>
      </c>
      <c r="C211" s="5" t="s">
        <v>8980</v>
      </c>
      <c r="E211" s="5" t="s">
        <v>243</v>
      </c>
      <c r="F211" s="5" t="s">
        <v>242</v>
      </c>
      <c r="G211" s="5" t="s">
        <v>242</v>
      </c>
      <c r="H211" t="s">
        <v>533</v>
      </c>
      <c r="I211" t="s">
        <v>244</v>
      </c>
      <c r="J211" t="s">
        <v>244</v>
      </c>
      <c r="L211" t="s">
        <v>477</v>
      </c>
      <c r="M211" t="s">
        <v>9102</v>
      </c>
      <c r="N211" t="s">
        <v>9220</v>
      </c>
      <c r="O211" t="s">
        <v>9202</v>
      </c>
      <c r="U211" t="str">
        <f>_xlfn.LET(_xlpm.x, _xlfn.XLOOKUP(B211,Sheet3!N:N,Sheet3!C:C,""), IF(_xlpm.x=0,"",_xlpm.x))</f>
        <v>劳动合同</v>
      </c>
      <c r="V211" s="5" t="s">
        <v>1066</v>
      </c>
      <c r="X211" t="s">
        <v>4011</v>
      </c>
    </row>
    <row r="212" spans="1:24" ht="15.6" x14ac:dyDescent="0.25">
      <c r="A212" s="8" t="s">
        <v>3064</v>
      </c>
      <c r="B212" s="8" t="s">
        <v>3068</v>
      </c>
      <c r="C212" s="5" t="s">
        <v>8981</v>
      </c>
      <c r="E212" s="5" t="s">
        <v>243</v>
      </c>
      <c r="F212" s="5" t="s">
        <v>242</v>
      </c>
      <c r="G212" s="5" t="s">
        <v>242</v>
      </c>
      <c r="H212" t="s">
        <v>655</v>
      </c>
      <c r="I212" t="s">
        <v>244</v>
      </c>
      <c r="J212" t="s">
        <v>244</v>
      </c>
      <c r="L212" t="s">
        <v>506</v>
      </c>
      <c r="M212" t="s">
        <v>9104</v>
      </c>
      <c r="N212" t="s">
        <v>9206</v>
      </c>
      <c r="O212" t="s">
        <v>9148</v>
      </c>
      <c r="U212" t="str">
        <f>_xlfn.LET(_xlpm.x, _xlfn.XLOOKUP(B212,Sheet3!N:N,Sheet3!C:C,""), IF(_xlpm.x=0,"",_xlpm.x))</f>
        <v>劳动合同</v>
      </c>
      <c r="V212" s="5" t="s">
        <v>4000</v>
      </c>
      <c r="X212" t="s">
        <v>4011</v>
      </c>
    </row>
    <row r="213" spans="1:24" ht="15.6" x14ac:dyDescent="0.25">
      <c r="A213" s="8" t="s">
        <v>1955</v>
      </c>
      <c r="B213" s="8" t="s">
        <v>1959</v>
      </c>
      <c r="C213" s="5" t="s">
        <v>8982</v>
      </c>
      <c r="E213" s="5" t="s">
        <v>243</v>
      </c>
      <c r="F213" s="5" t="s">
        <v>256</v>
      </c>
      <c r="G213" s="5" t="s">
        <v>256</v>
      </c>
      <c r="H213" t="s">
        <v>566</v>
      </c>
      <c r="I213" t="s">
        <v>244</v>
      </c>
      <c r="J213" t="s">
        <v>244</v>
      </c>
      <c r="L213" t="s">
        <v>565</v>
      </c>
      <c r="M213" t="s">
        <v>58</v>
      </c>
      <c r="N213" t="s">
        <v>9207</v>
      </c>
      <c r="O213" t="s">
        <v>9159</v>
      </c>
      <c r="U213" t="str">
        <f>_xlfn.LET(_xlpm.x, _xlfn.XLOOKUP(B213,Sheet3!N:N,Sheet3!C:C,""), IF(_xlpm.x=0,"",_xlpm.x))</f>
        <v>劳动合同</v>
      </c>
      <c r="V213" s="5" t="s">
        <v>4000</v>
      </c>
      <c r="X213" t="s">
        <v>3990</v>
      </c>
    </row>
    <row r="214" spans="1:24" ht="15.6" x14ac:dyDescent="0.25">
      <c r="A214" s="8" t="s">
        <v>1146</v>
      </c>
      <c r="B214" s="8" t="s">
        <v>1153</v>
      </c>
      <c r="C214" s="5" t="s">
        <v>8983</v>
      </c>
      <c r="E214" s="5" t="s">
        <v>243</v>
      </c>
      <c r="F214" s="5" t="s">
        <v>492</v>
      </c>
      <c r="G214" s="5" t="s">
        <v>492</v>
      </c>
      <c r="H214" t="s">
        <v>861</v>
      </c>
      <c r="I214" t="s">
        <v>244</v>
      </c>
      <c r="J214" t="s">
        <v>244</v>
      </c>
      <c r="L214" t="s">
        <v>1097</v>
      </c>
      <c r="M214" t="s">
        <v>9098</v>
      </c>
      <c r="N214" t="s">
        <v>9210</v>
      </c>
      <c r="O214" t="s">
        <v>9123</v>
      </c>
      <c r="U214" t="str">
        <f>_xlfn.LET(_xlpm.x, _xlfn.XLOOKUP(B214,Sheet3!N:N,Sheet3!C:C,""), IF(_xlpm.x=0,"",_xlpm.x))</f>
        <v>劳动合同</v>
      </c>
      <c r="V214" s="5" t="s">
        <v>1166</v>
      </c>
      <c r="X214" t="s">
        <v>4011</v>
      </c>
    </row>
    <row r="215" spans="1:24" ht="15.6" x14ac:dyDescent="0.25">
      <c r="A215" s="8" t="s">
        <v>1491</v>
      </c>
      <c r="B215" s="8" t="s">
        <v>1496</v>
      </c>
      <c r="C215" s="5" t="s">
        <v>8984</v>
      </c>
      <c r="E215" s="5" t="s">
        <v>243</v>
      </c>
      <c r="F215" s="5" t="s">
        <v>256</v>
      </c>
      <c r="G215" s="5" t="s">
        <v>256</v>
      </c>
      <c r="H215" t="s">
        <v>255</v>
      </c>
      <c r="I215" t="s">
        <v>244</v>
      </c>
      <c r="J215" t="s">
        <v>244</v>
      </c>
      <c r="L215" t="s">
        <v>240</v>
      </c>
      <c r="M215" t="s">
        <v>9101</v>
      </c>
      <c r="N215" t="s">
        <v>9206</v>
      </c>
      <c r="O215" t="s">
        <v>9127</v>
      </c>
      <c r="U215" t="str">
        <f>_xlfn.LET(_xlpm.x, _xlfn.XLOOKUP(B215,Sheet3!N:N,Sheet3!C:C,""), IF(_xlpm.x=0,"",_xlpm.x))</f>
        <v>劳动合同</v>
      </c>
      <c r="V215" s="5" t="s">
        <v>1090</v>
      </c>
      <c r="X215" t="s">
        <v>4011</v>
      </c>
    </row>
    <row r="216" spans="1:24" ht="15.6" x14ac:dyDescent="0.25">
      <c r="A216" s="8" t="s">
        <v>620</v>
      </c>
      <c r="B216" s="8" t="s">
        <v>624</v>
      </c>
      <c r="C216" s="5" t="s">
        <v>8985</v>
      </c>
      <c r="E216" s="5" t="s">
        <v>243</v>
      </c>
      <c r="F216" s="5" t="s">
        <v>492</v>
      </c>
      <c r="G216" s="5" t="s">
        <v>9130</v>
      </c>
      <c r="H216" t="s">
        <v>553</v>
      </c>
      <c r="J216" t="s">
        <v>244</v>
      </c>
      <c r="K216" t="s">
        <v>552</v>
      </c>
      <c r="L216" t="s">
        <v>593</v>
      </c>
      <c r="M216" t="s">
        <v>63</v>
      </c>
      <c r="N216" t="s">
        <v>9207</v>
      </c>
      <c r="O216" t="s">
        <v>9131</v>
      </c>
      <c r="U216" t="str">
        <f>_xlfn.LET(_xlpm.x, _xlfn.XLOOKUP(B216,Sheet3!N:N,Sheet3!C:C,""), IF(_xlpm.x=0,"",_xlpm.x))</f>
        <v>劳动合同</v>
      </c>
      <c r="V216" s="5" t="s">
        <v>561</v>
      </c>
      <c r="X216" t="s">
        <v>4011</v>
      </c>
    </row>
    <row r="217" spans="1:24" ht="15.6" x14ac:dyDescent="0.25">
      <c r="A217" s="8" t="s">
        <v>2440</v>
      </c>
      <c r="B217" s="8" t="s">
        <v>2443</v>
      </c>
      <c r="C217" s="5" t="s">
        <v>8986</v>
      </c>
      <c r="E217" s="5" t="s">
        <v>243</v>
      </c>
      <c r="F217" s="5" t="s">
        <v>256</v>
      </c>
      <c r="G217" s="5" t="s">
        <v>256</v>
      </c>
      <c r="H217" t="s">
        <v>566</v>
      </c>
      <c r="I217" t="s">
        <v>244</v>
      </c>
      <c r="J217" t="s">
        <v>244</v>
      </c>
      <c r="L217" t="s">
        <v>565</v>
      </c>
      <c r="M217" t="s">
        <v>9098</v>
      </c>
      <c r="N217" t="s">
        <v>9207</v>
      </c>
      <c r="O217" t="s">
        <v>9173</v>
      </c>
      <c r="U217" t="str">
        <f>_xlfn.LET(_xlpm.x, _xlfn.XLOOKUP(B217,Sheet3!N:N,Sheet3!C:C,""), IF(_xlpm.x=0,"",_xlpm.x))</f>
        <v>劳动合同</v>
      </c>
      <c r="V217" s="5" t="s">
        <v>4000</v>
      </c>
      <c r="X217" t="s">
        <v>3990</v>
      </c>
    </row>
    <row r="218" spans="1:24" ht="15.6" x14ac:dyDescent="0.25">
      <c r="A218" s="8" t="s">
        <v>1980</v>
      </c>
      <c r="B218" s="8" t="s">
        <v>1984</v>
      </c>
      <c r="C218" s="5" t="s">
        <v>8987</v>
      </c>
      <c r="E218" s="5" t="s">
        <v>243</v>
      </c>
      <c r="F218" s="5" t="s">
        <v>242</v>
      </c>
      <c r="G218" s="5" t="s">
        <v>242</v>
      </c>
      <c r="H218" t="s">
        <v>1967</v>
      </c>
      <c r="I218" t="s">
        <v>244</v>
      </c>
      <c r="J218" t="s">
        <v>244</v>
      </c>
      <c r="L218" t="s">
        <v>477</v>
      </c>
      <c r="M218" t="s">
        <v>9101</v>
      </c>
      <c r="N218" t="s">
        <v>9220</v>
      </c>
      <c r="O218" t="s">
        <v>9191</v>
      </c>
      <c r="U218" t="str">
        <f>_xlfn.LET(_xlpm.x, _xlfn.XLOOKUP(B218,Sheet3!N:N,Sheet3!C:C,""), IF(_xlpm.x=0,"",_xlpm.x))</f>
        <v>劳动合同</v>
      </c>
      <c r="V218" s="5" t="s">
        <v>4000</v>
      </c>
      <c r="X218" t="s">
        <v>4011</v>
      </c>
    </row>
    <row r="219" spans="1:24" ht="15.6" x14ac:dyDescent="0.25">
      <c r="A219" s="8" t="s">
        <v>1646</v>
      </c>
      <c r="B219" s="8" t="s">
        <v>1649</v>
      </c>
      <c r="C219" s="5" t="s">
        <v>8988</v>
      </c>
      <c r="E219" s="5" t="s">
        <v>243</v>
      </c>
      <c r="F219" s="5" t="s">
        <v>492</v>
      </c>
      <c r="G219" s="5" t="s">
        <v>492</v>
      </c>
      <c r="H219" t="s">
        <v>553</v>
      </c>
      <c r="I219" t="s">
        <v>244</v>
      </c>
      <c r="J219" t="s">
        <v>244</v>
      </c>
      <c r="L219" t="s">
        <v>654</v>
      </c>
      <c r="M219" t="s">
        <v>58</v>
      </c>
      <c r="N219" t="s">
        <v>9207</v>
      </c>
      <c r="O219" t="s">
        <v>9159</v>
      </c>
      <c r="U219" t="str">
        <f>_xlfn.LET(_xlpm.x, _xlfn.XLOOKUP(B219,Sheet3!N:N,Sheet3!C:C,""), IF(_xlpm.x=0,"",_xlpm.x))</f>
        <v>劳动合同</v>
      </c>
      <c r="V219" s="5" t="s">
        <v>663</v>
      </c>
      <c r="X219" t="s">
        <v>3990</v>
      </c>
    </row>
    <row r="220" spans="1:24" ht="15.6" x14ac:dyDescent="0.25">
      <c r="A220" s="8" t="s">
        <v>807</v>
      </c>
      <c r="B220" s="8" t="s">
        <v>812</v>
      </c>
      <c r="C220" s="5" t="s">
        <v>8989</v>
      </c>
      <c r="E220" s="5" t="s">
        <v>243</v>
      </c>
      <c r="F220" s="5" t="s">
        <v>256</v>
      </c>
      <c r="G220" s="5" t="s">
        <v>256</v>
      </c>
      <c r="H220" t="s">
        <v>635</v>
      </c>
      <c r="I220" t="s">
        <v>244</v>
      </c>
      <c r="J220" t="s">
        <v>244</v>
      </c>
      <c r="L220" t="s">
        <v>634</v>
      </c>
      <c r="M220" t="s">
        <v>2152</v>
      </c>
      <c r="N220" t="s">
        <v>9214</v>
      </c>
      <c r="O220" t="s">
        <v>9126</v>
      </c>
      <c r="U220" t="str">
        <f>_xlfn.LET(_xlpm.x, _xlfn.XLOOKUP(B220,Sheet3!N:N,Sheet3!C:C,""), IF(_xlpm.x=0,"",_xlpm.x))</f>
        <v>劳动合同</v>
      </c>
      <c r="V220" s="5" t="s">
        <v>806</v>
      </c>
      <c r="X220" t="s">
        <v>4011</v>
      </c>
    </row>
    <row r="221" spans="1:24" ht="15.6" x14ac:dyDescent="0.25">
      <c r="A221" s="8" t="s">
        <v>2871</v>
      </c>
      <c r="B221" s="8" t="s">
        <v>2878</v>
      </c>
      <c r="C221" s="5" t="s">
        <v>8990</v>
      </c>
      <c r="E221" s="5" t="s">
        <v>243</v>
      </c>
      <c r="F221" s="5" t="s">
        <v>242</v>
      </c>
      <c r="G221" s="5" t="s">
        <v>242</v>
      </c>
      <c r="H221" t="s">
        <v>1515</v>
      </c>
      <c r="I221" t="s">
        <v>244</v>
      </c>
      <c r="J221" t="s">
        <v>244</v>
      </c>
      <c r="L221" t="s">
        <v>2875</v>
      </c>
      <c r="M221" t="s">
        <v>9101</v>
      </c>
      <c r="N221" t="s">
        <v>9211</v>
      </c>
      <c r="O221" t="s">
        <v>9118</v>
      </c>
      <c r="U221" t="str">
        <f>_xlfn.LET(_xlpm.x, _xlfn.XLOOKUP(B221,Sheet3!N:N,Sheet3!C:C,""), IF(_xlpm.x=0,"",_xlpm.x))</f>
        <v>劳动合同</v>
      </c>
      <c r="V221" s="5" t="s">
        <v>4000</v>
      </c>
      <c r="X221" t="s">
        <v>4011</v>
      </c>
    </row>
    <row r="222" spans="1:24" ht="15.6" x14ac:dyDescent="0.25">
      <c r="A222" s="8" t="s">
        <v>562</v>
      </c>
      <c r="B222" s="8" t="s">
        <v>568</v>
      </c>
      <c r="C222" s="5" t="s">
        <v>8991</v>
      </c>
      <c r="E222" s="5" t="s">
        <v>243</v>
      </c>
      <c r="F222" s="5" t="s">
        <v>256</v>
      </c>
      <c r="G222" s="5" t="s">
        <v>256</v>
      </c>
      <c r="H222" t="s">
        <v>566</v>
      </c>
      <c r="I222" t="s">
        <v>244</v>
      </c>
      <c r="J222" t="s">
        <v>244</v>
      </c>
      <c r="L222" t="s">
        <v>565</v>
      </c>
      <c r="M222" t="s">
        <v>257</v>
      </c>
      <c r="N222" t="s">
        <v>9207</v>
      </c>
      <c r="O222" t="s">
        <v>9132</v>
      </c>
      <c r="U222" t="str">
        <f>_xlfn.LET(_xlpm.x, _xlfn.XLOOKUP(B222,Sheet3!N:N,Sheet3!C:C,""), IF(_xlpm.x=0,"",_xlpm.x))</f>
        <v>劳动合同</v>
      </c>
      <c r="V222" s="5" t="s">
        <v>561</v>
      </c>
      <c r="X222" t="s">
        <v>4011</v>
      </c>
    </row>
    <row r="223" spans="1:24" ht="15.6" x14ac:dyDescent="0.25">
      <c r="A223" s="8" t="s">
        <v>579</v>
      </c>
      <c r="B223" s="8" t="s">
        <v>582</v>
      </c>
      <c r="C223" s="5" t="s">
        <v>8992</v>
      </c>
      <c r="E223" s="5" t="s">
        <v>243</v>
      </c>
      <c r="F223" s="5" t="s">
        <v>492</v>
      </c>
      <c r="G223" s="5" t="s">
        <v>242</v>
      </c>
      <c r="H223" t="s">
        <v>345</v>
      </c>
      <c r="I223" t="s">
        <v>346</v>
      </c>
      <c r="J223" t="s">
        <v>344</v>
      </c>
      <c r="L223" t="s">
        <v>574</v>
      </c>
      <c r="M223" t="s">
        <v>9108</v>
      </c>
      <c r="N223" t="s">
        <v>9215</v>
      </c>
      <c r="O223" t="s">
        <v>9165</v>
      </c>
      <c r="U223" t="str">
        <f>_xlfn.LET(_xlpm.x, _xlfn.XLOOKUP(B223,Sheet3!N:N,Sheet3!C:C,""), IF(_xlpm.x=0,"",_xlpm.x))</f>
        <v>劳动合同</v>
      </c>
      <c r="V223" s="5" t="s">
        <v>561</v>
      </c>
      <c r="X223" t="s">
        <v>3990</v>
      </c>
    </row>
    <row r="224" spans="1:24" ht="15.6" x14ac:dyDescent="0.25">
      <c r="A224" s="8" t="s">
        <v>2765</v>
      </c>
      <c r="B224" s="8" t="s">
        <v>2768</v>
      </c>
      <c r="C224" s="5" t="s">
        <v>8993</v>
      </c>
      <c r="E224" s="5" t="s">
        <v>243</v>
      </c>
      <c r="F224" s="5" t="s">
        <v>492</v>
      </c>
      <c r="G224" s="5" t="s">
        <v>492</v>
      </c>
      <c r="H224" t="s">
        <v>491</v>
      </c>
      <c r="I224" t="s">
        <v>244</v>
      </c>
      <c r="J224" t="s">
        <v>244</v>
      </c>
      <c r="L224" t="s">
        <v>1848</v>
      </c>
      <c r="M224" t="s">
        <v>2152</v>
      </c>
      <c r="N224" t="s">
        <v>9210</v>
      </c>
      <c r="O224" t="s">
        <v>9143</v>
      </c>
      <c r="U224" t="str">
        <f>_xlfn.LET(_xlpm.x, _xlfn.XLOOKUP(B224,Sheet3!N:N,Sheet3!C:C,""), IF(_xlpm.x=0,"",_xlpm.x))</f>
        <v>劳动合同</v>
      </c>
      <c r="V224" s="5" t="s">
        <v>4000</v>
      </c>
      <c r="X224" t="s">
        <v>4011</v>
      </c>
    </row>
    <row r="225" spans="1:24" ht="15.6" x14ac:dyDescent="0.25">
      <c r="A225" s="8" t="s">
        <v>2496</v>
      </c>
      <c r="B225" s="8" t="s">
        <v>2500</v>
      </c>
      <c r="C225" s="5" t="s">
        <v>8994</v>
      </c>
      <c r="E225" s="5" t="s">
        <v>243</v>
      </c>
      <c r="F225" s="5" t="s">
        <v>242</v>
      </c>
      <c r="G225" s="5" t="s">
        <v>242</v>
      </c>
      <c r="H225" t="s">
        <v>459</v>
      </c>
      <c r="I225" t="s">
        <v>244</v>
      </c>
      <c r="J225" t="s">
        <v>244</v>
      </c>
      <c r="L225" t="s">
        <v>240</v>
      </c>
      <c r="M225" t="s">
        <v>2152</v>
      </c>
      <c r="N225" t="s">
        <v>9206</v>
      </c>
      <c r="O225" t="s">
        <v>9182</v>
      </c>
      <c r="U225" t="str">
        <f>_xlfn.LET(_xlpm.x, _xlfn.XLOOKUP(B225,Sheet3!N:N,Sheet3!C:C,""), IF(_xlpm.x=0,"",_xlpm.x))</f>
        <v>劳动合同</v>
      </c>
      <c r="V225" s="5" t="s">
        <v>4000</v>
      </c>
      <c r="X225" t="s">
        <v>4011</v>
      </c>
    </row>
    <row r="226" spans="1:24" ht="15.6" x14ac:dyDescent="0.25">
      <c r="A226" s="8" t="s">
        <v>3544</v>
      </c>
      <c r="B226" s="8" t="s">
        <v>3548</v>
      </c>
      <c r="C226" s="5" t="s">
        <v>8995</v>
      </c>
      <c r="E226" s="5" t="s">
        <v>243</v>
      </c>
      <c r="F226" s="5" t="s">
        <v>242</v>
      </c>
      <c r="G226" s="5" t="s">
        <v>242</v>
      </c>
      <c r="H226" t="s">
        <v>1380</v>
      </c>
      <c r="I226" t="s">
        <v>244</v>
      </c>
      <c r="J226" t="s">
        <v>244</v>
      </c>
      <c r="L226" t="s">
        <v>2672</v>
      </c>
      <c r="M226" t="s">
        <v>9102</v>
      </c>
      <c r="N226" t="s">
        <v>9217</v>
      </c>
      <c r="O226" t="s">
        <v>9096</v>
      </c>
      <c r="U226" t="str">
        <f>_xlfn.LET(_xlpm.x, _xlfn.XLOOKUP(B226,Sheet3!N:N,Sheet3!C:C,""), IF(_xlpm.x=0,"",_xlpm.x))</f>
        <v>劳动合同</v>
      </c>
      <c r="V226" s="5" t="s">
        <v>4000</v>
      </c>
      <c r="X226" t="s">
        <v>4011</v>
      </c>
    </row>
    <row r="227" spans="1:24" ht="15.6" x14ac:dyDescent="0.25">
      <c r="A227" s="8" t="s">
        <v>3285</v>
      </c>
      <c r="B227" s="8" t="s">
        <v>3288</v>
      </c>
      <c r="C227" s="5" t="s">
        <v>8996</v>
      </c>
      <c r="E227" s="5" t="s">
        <v>243</v>
      </c>
      <c r="F227" s="5" t="s">
        <v>242</v>
      </c>
      <c r="G227" s="5" t="s">
        <v>242</v>
      </c>
      <c r="H227" t="s">
        <v>298</v>
      </c>
      <c r="J227" t="s">
        <v>244</v>
      </c>
      <c r="K227" t="s">
        <v>2557</v>
      </c>
      <c r="L227" t="s">
        <v>2556</v>
      </c>
      <c r="M227" t="s">
        <v>245</v>
      </c>
      <c r="N227" t="s">
        <v>9219</v>
      </c>
      <c r="O227" t="s">
        <v>9179</v>
      </c>
      <c r="U227" t="str">
        <f>_xlfn.LET(_xlpm.x, _xlfn.XLOOKUP(B227,Sheet3!N:N,Sheet3!C:C,""), IF(_xlpm.x=0,"",_xlpm.x))</f>
        <v>劳动合同</v>
      </c>
      <c r="V227" s="5" t="s">
        <v>1281</v>
      </c>
      <c r="X227" t="s">
        <v>3990</v>
      </c>
    </row>
    <row r="228" spans="1:24" ht="15.6" x14ac:dyDescent="0.25">
      <c r="A228" s="8" t="s">
        <v>3025</v>
      </c>
      <c r="B228" s="8" t="s">
        <v>3028</v>
      </c>
      <c r="C228" s="5" t="s">
        <v>8997</v>
      </c>
      <c r="E228" s="5" t="s">
        <v>243</v>
      </c>
      <c r="F228" s="5" t="s">
        <v>242</v>
      </c>
      <c r="G228" s="5" t="s">
        <v>242</v>
      </c>
      <c r="H228" t="s">
        <v>1967</v>
      </c>
      <c r="I228" t="s">
        <v>244</v>
      </c>
      <c r="J228" t="s">
        <v>244</v>
      </c>
      <c r="L228" t="s">
        <v>2720</v>
      </c>
      <c r="M228" t="s">
        <v>58</v>
      </c>
      <c r="N228" t="s">
        <v>9209</v>
      </c>
      <c r="O228" t="s">
        <v>9114</v>
      </c>
      <c r="U228" t="str">
        <f>_xlfn.LET(_xlpm.x, _xlfn.XLOOKUP(B228,Sheet3!N:N,Sheet3!C:C,""), IF(_xlpm.x=0,"",_xlpm.x))</f>
        <v>劳动合同</v>
      </c>
      <c r="V228" s="5" t="s">
        <v>1615</v>
      </c>
      <c r="X228" t="s">
        <v>3990</v>
      </c>
    </row>
    <row r="229" spans="1:24" ht="15.6" x14ac:dyDescent="0.25">
      <c r="A229" s="8" t="s">
        <v>351</v>
      </c>
      <c r="B229" s="8" t="s">
        <v>363</v>
      </c>
      <c r="C229" s="5" t="s">
        <v>8998</v>
      </c>
      <c r="E229" s="5" t="s">
        <v>243</v>
      </c>
      <c r="F229" s="5" t="s">
        <v>256</v>
      </c>
      <c r="G229" s="5" t="s">
        <v>256</v>
      </c>
      <c r="H229" t="s">
        <v>358</v>
      </c>
      <c r="I229" t="s">
        <v>244</v>
      </c>
      <c r="J229" t="s">
        <v>244</v>
      </c>
      <c r="L229" t="s">
        <v>357</v>
      </c>
      <c r="M229" t="s">
        <v>63</v>
      </c>
      <c r="N229" t="s">
        <v>9209</v>
      </c>
      <c r="O229" t="s">
        <v>9145</v>
      </c>
      <c r="U229" t="str">
        <f>_xlfn.LET(_xlpm.x, _xlfn.XLOOKUP(B229,Sheet3!N:N,Sheet3!C:C,""), IF(_xlpm.x=0,"",_xlpm.x))</f>
        <v>劳动合同</v>
      </c>
      <c r="V229" s="5" t="s">
        <v>372</v>
      </c>
      <c r="X229" t="s">
        <v>3990</v>
      </c>
    </row>
    <row r="230" spans="1:24" ht="15.6" x14ac:dyDescent="0.25">
      <c r="A230" s="8" t="s">
        <v>2231</v>
      </c>
      <c r="B230" s="8" t="s">
        <v>2235</v>
      </c>
      <c r="C230" s="5" t="s">
        <v>8999</v>
      </c>
      <c r="E230" s="5" t="s">
        <v>243</v>
      </c>
      <c r="F230" s="5" t="s">
        <v>492</v>
      </c>
      <c r="G230" s="5" t="s">
        <v>242</v>
      </c>
      <c r="H230" t="s">
        <v>345</v>
      </c>
      <c r="I230" t="s">
        <v>346</v>
      </c>
      <c r="J230" t="s">
        <v>344</v>
      </c>
      <c r="L230" t="s">
        <v>2233</v>
      </c>
      <c r="M230" t="s">
        <v>9101</v>
      </c>
      <c r="N230" t="s">
        <v>9211</v>
      </c>
      <c r="O230" t="s">
        <v>9118</v>
      </c>
      <c r="U230" t="str">
        <f>_xlfn.LET(_xlpm.x, _xlfn.XLOOKUP(B230,Sheet3!N:N,Sheet3!C:C,""), IF(_xlpm.x=0,"",_xlpm.x))</f>
        <v>劳动合同</v>
      </c>
      <c r="V230" s="5" t="s">
        <v>4000</v>
      </c>
      <c r="X230" t="s">
        <v>4011</v>
      </c>
    </row>
    <row r="231" spans="1:24" ht="15.6" x14ac:dyDescent="0.25">
      <c r="A231" s="8" t="s">
        <v>2880</v>
      </c>
      <c r="B231" s="8" t="s">
        <v>2885</v>
      </c>
      <c r="C231" s="5" t="s">
        <v>9000</v>
      </c>
      <c r="E231" s="5" t="s">
        <v>243</v>
      </c>
      <c r="F231" s="5" t="s">
        <v>256</v>
      </c>
      <c r="G231" s="5" t="s">
        <v>256</v>
      </c>
      <c r="H231" t="s">
        <v>566</v>
      </c>
      <c r="I231" t="s">
        <v>244</v>
      </c>
      <c r="J231" t="s">
        <v>244</v>
      </c>
      <c r="L231" t="s">
        <v>2883</v>
      </c>
      <c r="M231" t="s">
        <v>9102</v>
      </c>
      <c r="N231" t="s">
        <v>9211</v>
      </c>
      <c r="O231" t="s">
        <v>9176</v>
      </c>
      <c r="U231" t="str">
        <f>_xlfn.LET(_xlpm.x, _xlfn.XLOOKUP(B231,Sheet3!N:N,Sheet3!C:C,""), IF(_xlpm.x=0,"",_xlpm.x))</f>
        <v>劳动合同</v>
      </c>
      <c r="V231" s="5" t="s">
        <v>4000</v>
      </c>
      <c r="X231" t="s">
        <v>4011</v>
      </c>
    </row>
    <row r="232" spans="1:24" ht="15.6" x14ac:dyDescent="0.25">
      <c r="A232" s="8" t="s">
        <v>1707</v>
      </c>
      <c r="B232" s="8" t="s">
        <v>1712</v>
      </c>
      <c r="C232" s="5" t="s">
        <v>9001</v>
      </c>
      <c r="E232" s="5" t="s">
        <v>243</v>
      </c>
      <c r="F232" s="5" t="s">
        <v>242</v>
      </c>
      <c r="G232" s="5" t="s">
        <v>242</v>
      </c>
      <c r="H232" t="s">
        <v>655</v>
      </c>
      <c r="I232" t="s">
        <v>244</v>
      </c>
      <c r="J232" t="s">
        <v>244</v>
      </c>
      <c r="L232" t="s">
        <v>506</v>
      </c>
      <c r="M232" t="s">
        <v>2152</v>
      </c>
      <c r="N232" t="s">
        <v>9206</v>
      </c>
      <c r="O232" t="s">
        <v>9182</v>
      </c>
      <c r="U232" t="str">
        <f>_xlfn.LET(_xlpm.x, _xlfn.XLOOKUP(B232,Sheet3!N:N,Sheet3!C:C,""), IF(_xlpm.x=0,"",_xlpm.x))</f>
        <v>劳动合同</v>
      </c>
      <c r="V232" s="5" t="s">
        <v>4000</v>
      </c>
      <c r="X232" t="s">
        <v>4011</v>
      </c>
    </row>
    <row r="233" spans="1:24" ht="15.6" x14ac:dyDescent="0.25">
      <c r="A233" s="8" t="s">
        <v>1870</v>
      </c>
      <c r="B233" s="8" t="s">
        <v>1874</v>
      </c>
      <c r="C233" s="5" t="s">
        <v>9002</v>
      </c>
      <c r="E233" s="5" t="s">
        <v>243</v>
      </c>
      <c r="F233" s="5" t="s">
        <v>242</v>
      </c>
      <c r="G233" s="5" t="s">
        <v>242</v>
      </c>
      <c r="H233" t="s">
        <v>655</v>
      </c>
      <c r="I233" t="s">
        <v>244</v>
      </c>
      <c r="J233" t="s">
        <v>244</v>
      </c>
      <c r="L233" t="s">
        <v>240</v>
      </c>
      <c r="M233" t="s">
        <v>9102</v>
      </c>
      <c r="N233" t="s">
        <v>9206</v>
      </c>
      <c r="O233" t="s">
        <v>9149</v>
      </c>
      <c r="U233" t="str">
        <f>_xlfn.LET(_xlpm.x, _xlfn.XLOOKUP(B233,Sheet3!N:N,Sheet3!C:C,""), IF(_xlpm.x=0,"",_xlpm.x))</f>
        <v>劳动合同</v>
      </c>
      <c r="V233" s="5" t="s">
        <v>1281</v>
      </c>
      <c r="X233" t="s">
        <v>4011</v>
      </c>
    </row>
    <row r="234" spans="1:24" ht="15.6" x14ac:dyDescent="0.25">
      <c r="A234" s="8" t="s">
        <v>2399</v>
      </c>
      <c r="B234" s="8" t="s">
        <v>2404</v>
      </c>
      <c r="C234" s="5" t="s">
        <v>9003</v>
      </c>
      <c r="E234" s="5" t="s">
        <v>243</v>
      </c>
      <c r="F234" s="5" t="s">
        <v>492</v>
      </c>
      <c r="G234" s="5" t="s">
        <v>492</v>
      </c>
      <c r="H234" t="s">
        <v>491</v>
      </c>
      <c r="I234" t="s">
        <v>244</v>
      </c>
      <c r="J234" t="s">
        <v>244</v>
      </c>
      <c r="L234" t="s">
        <v>1526</v>
      </c>
      <c r="M234" t="s">
        <v>905</v>
      </c>
      <c r="N234" t="s">
        <v>9210</v>
      </c>
      <c r="O234" t="s">
        <v>9133</v>
      </c>
      <c r="U234" t="str">
        <f>_xlfn.LET(_xlpm.x, _xlfn.XLOOKUP(B234,Sheet3!N:N,Sheet3!C:C,""), IF(_xlpm.x=0,"",_xlpm.x))</f>
        <v>劳动合同</v>
      </c>
      <c r="V234" s="5" t="s">
        <v>4000</v>
      </c>
      <c r="X234" t="s">
        <v>4011</v>
      </c>
    </row>
    <row r="235" spans="1:24" ht="15.6" x14ac:dyDescent="0.25">
      <c r="A235" s="8" t="s">
        <v>2545</v>
      </c>
      <c r="B235" s="8" t="s">
        <v>2550</v>
      </c>
      <c r="C235" s="5" t="s">
        <v>9004</v>
      </c>
      <c r="E235" s="5" t="s">
        <v>243</v>
      </c>
      <c r="F235" s="5" t="s">
        <v>242</v>
      </c>
      <c r="G235" s="5" t="s">
        <v>242</v>
      </c>
      <c r="H235" t="s">
        <v>1967</v>
      </c>
      <c r="I235" t="s">
        <v>244</v>
      </c>
      <c r="J235" t="s">
        <v>244</v>
      </c>
      <c r="L235" t="s">
        <v>2271</v>
      </c>
      <c r="M235" t="s">
        <v>9101</v>
      </c>
      <c r="N235" t="s">
        <v>9214</v>
      </c>
      <c r="O235" t="s">
        <v>9181</v>
      </c>
      <c r="U235" t="str">
        <f>_xlfn.LET(_xlpm.x, _xlfn.XLOOKUP(B235,Sheet3!N:N,Sheet3!C:C,""), IF(_xlpm.x=0,"",_xlpm.x))</f>
        <v>劳动合同</v>
      </c>
      <c r="V235" s="5" t="s">
        <v>4000</v>
      </c>
      <c r="X235" t="s">
        <v>4011</v>
      </c>
    </row>
    <row r="236" spans="1:24" ht="15.6" x14ac:dyDescent="0.25">
      <c r="A236" s="8" t="s">
        <v>2953</v>
      </c>
      <c r="B236" s="8" t="s">
        <v>2957</v>
      </c>
      <c r="C236" s="5" t="s">
        <v>9005</v>
      </c>
      <c r="E236" s="5" t="s">
        <v>243</v>
      </c>
      <c r="F236" s="5" t="s">
        <v>242</v>
      </c>
      <c r="G236" s="5" t="s">
        <v>242</v>
      </c>
      <c r="H236" t="s">
        <v>241</v>
      </c>
      <c r="I236" t="s">
        <v>244</v>
      </c>
      <c r="J236" t="s">
        <v>244</v>
      </c>
      <c r="L236" t="s">
        <v>240</v>
      </c>
      <c r="M236" t="s">
        <v>9101</v>
      </c>
      <c r="N236" t="s">
        <v>9206</v>
      </c>
      <c r="O236" t="s">
        <v>9127</v>
      </c>
      <c r="U236" t="str">
        <f>_xlfn.LET(_xlpm.x, _xlfn.XLOOKUP(B236,Sheet3!N:N,Sheet3!C:C,""), IF(_xlpm.x=0,"",_xlpm.x))</f>
        <v>劳动合同</v>
      </c>
      <c r="V236" s="5" t="s">
        <v>4000</v>
      </c>
      <c r="X236" t="s">
        <v>4011</v>
      </c>
    </row>
    <row r="237" spans="1:24" ht="15.6" x14ac:dyDescent="0.25">
      <c r="A237" s="8" t="s">
        <v>2133</v>
      </c>
      <c r="B237" s="8" t="s">
        <v>2138</v>
      </c>
      <c r="C237" s="5" t="s">
        <v>9006</v>
      </c>
      <c r="E237" s="5" t="s">
        <v>243</v>
      </c>
      <c r="F237" s="5" t="s">
        <v>492</v>
      </c>
      <c r="G237" s="5" t="s">
        <v>492</v>
      </c>
      <c r="H237" t="s">
        <v>553</v>
      </c>
      <c r="I237" t="s">
        <v>244</v>
      </c>
      <c r="J237" t="s">
        <v>244</v>
      </c>
      <c r="L237" t="s">
        <v>616</v>
      </c>
      <c r="M237" t="s">
        <v>9098</v>
      </c>
      <c r="N237" t="s">
        <v>9207</v>
      </c>
      <c r="O237" t="s">
        <v>9173</v>
      </c>
      <c r="U237" t="str">
        <f>_xlfn.LET(_xlpm.x, _xlfn.XLOOKUP(B237,Sheet3!N:N,Sheet3!C:C,""), IF(_xlpm.x=0,"",_xlpm.x))</f>
        <v>劳动合同</v>
      </c>
      <c r="V237" s="5" t="s">
        <v>4000</v>
      </c>
      <c r="X237" t="s">
        <v>3990</v>
      </c>
    </row>
    <row r="238" spans="1:24" ht="15.6" x14ac:dyDescent="0.25">
      <c r="A238" s="8" t="s">
        <v>1218</v>
      </c>
      <c r="B238" s="8" t="s">
        <v>7043</v>
      </c>
      <c r="C238" s="5" t="s">
        <v>9007</v>
      </c>
      <c r="E238" s="5" t="s">
        <v>243</v>
      </c>
      <c r="F238" s="5" t="s">
        <v>256</v>
      </c>
      <c r="G238" s="5" t="s">
        <v>256</v>
      </c>
      <c r="H238" t="s">
        <v>255</v>
      </c>
      <c r="I238" t="s">
        <v>244</v>
      </c>
      <c r="J238" t="s">
        <v>244</v>
      </c>
      <c r="L238" t="s">
        <v>2987</v>
      </c>
      <c r="M238" t="s">
        <v>9104</v>
      </c>
      <c r="N238" t="s">
        <v>9211</v>
      </c>
      <c r="O238" t="s">
        <v>9147</v>
      </c>
      <c r="U238" t="str">
        <f>_xlfn.LET(_xlpm.x, _xlfn.XLOOKUP(B238,Sheet3!N:N,Sheet3!C:C,""), IF(_xlpm.x=0,"",_xlpm.x))</f>
        <v>劳动合同</v>
      </c>
      <c r="V238" s="5" t="s">
        <v>4000</v>
      </c>
      <c r="X238" t="s">
        <v>4011</v>
      </c>
    </row>
    <row r="239" spans="1:24" ht="15.6" x14ac:dyDescent="0.25">
      <c r="A239" s="8" t="s">
        <v>2294</v>
      </c>
      <c r="B239" s="8" t="s">
        <v>2298</v>
      </c>
      <c r="C239" s="5" t="s">
        <v>9008</v>
      </c>
      <c r="E239" s="5" t="s">
        <v>243</v>
      </c>
      <c r="F239" s="5" t="s">
        <v>242</v>
      </c>
      <c r="G239" s="5" t="s">
        <v>242</v>
      </c>
      <c r="H239" t="s">
        <v>241</v>
      </c>
      <c r="I239" t="s">
        <v>244</v>
      </c>
      <c r="J239" t="s">
        <v>244</v>
      </c>
      <c r="L239" t="s">
        <v>240</v>
      </c>
      <c r="M239" t="s">
        <v>9104</v>
      </c>
      <c r="N239" t="s">
        <v>9206</v>
      </c>
      <c r="O239" t="s">
        <v>9148</v>
      </c>
      <c r="U239" t="str">
        <f>_xlfn.LET(_xlpm.x, _xlfn.XLOOKUP(B239,Sheet3!N:N,Sheet3!C:C,""), IF(_xlpm.x=0,"",_xlpm.x))</f>
        <v>劳动合同</v>
      </c>
      <c r="V239" s="5" t="s">
        <v>4000</v>
      </c>
      <c r="X239" t="s">
        <v>4011</v>
      </c>
    </row>
    <row r="240" spans="1:24" ht="15.6" x14ac:dyDescent="0.25">
      <c r="A240" s="8" t="s">
        <v>2384</v>
      </c>
      <c r="B240" s="8" t="s">
        <v>2388</v>
      </c>
      <c r="C240" s="5" t="s">
        <v>9009</v>
      </c>
      <c r="E240" s="5" t="s">
        <v>243</v>
      </c>
      <c r="F240" s="5" t="s">
        <v>242</v>
      </c>
      <c r="G240" s="5" t="s">
        <v>242</v>
      </c>
      <c r="H240" t="s">
        <v>1515</v>
      </c>
      <c r="I240" t="s">
        <v>244</v>
      </c>
      <c r="J240" t="s">
        <v>244</v>
      </c>
      <c r="L240" t="s">
        <v>1514</v>
      </c>
      <c r="M240" t="s">
        <v>9098</v>
      </c>
      <c r="N240" t="s">
        <v>9213</v>
      </c>
      <c r="O240" t="s">
        <v>9119</v>
      </c>
      <c r="U240" t="str">
        <f>_xlfn.LET(_xlpm.x, _xlfn.XLOOKUP(B240,Sheet3!N:N,Sheet3!C:C,""), IF(_xlpm.x=0,"",_xlpm.x))</f>
        <v>劳动合同</v>
      </c>
      <c r="V240" s="5" t="s">
        <v>872</v>
      </c>
      <c r="X240" t="s">
        <v>3990</v>
      </c>
    </row>
    <row r="241" spans="1:24" ht="15.6" x14ac:dyDescent="0.25">
      <c r="A241" s="8" t="s">
        <v>1468</v>
      </c>
      <c r="B241" s="8" t="s">
        <v>1473</v>
      </c>
      <c r="C241" s="5" t="s">
        <v>9010</v>
      </c>
      <c r="E241" s="5" t="s">
        <v>243</v>
      </c>
      <c r="F241" s="5" t="s">
        <v>242</v>
      </c>
      <c r="G241" s="5" t="s">
        <v>242</v>
      </c>
      <c r="H241" t="s">
        <v>241</v>
      </c>
      <c r="I241" t="s">
        <v>244</v>
      </c>
      <c r="J241" t="s">
        <v>244</v>
      </c>
      <c r="L241" t="s">
        <v>240</v>
      </c>
      <c r="M241" t="s">
        <v>2152</v>
      </c>
      <c r="N241" t="s">
        <v>9206</v>
      </c>
      <c r="O241" t="s">
        <v>9182</v>
      </c>
      <c r="U241" t="str">
        <f>_xlfn.LET(_xlpm.x, _xlfn.XLOOKUP(B241,Sheet3!N:N,Sheet3!C:C,""), IF(_xlpm.x=0,"",_xlpm.x))</f>
        <v>劳动合同</v>
      </c>
      <c r="V241" s="5" t="s">
        <v>1478</v>
      </c>
      <c r="X241" t="s">
        <v>4011</v>
      </c>
    </row>
    <row r="242" spans="1:24" ht="15.6" x14ac:dyDescent="0.25">
      <c r="A242" s="8" t="s">
        <v>2359</v>
      </c>
      <c r="B242" s="8" t="s">
        <v>2363</v>
      </c>
      <c r="C242" s="5" t="s">
        <v>9011</v>
      </c>
      <c r="E242" s="5" t="s">
        <v>243</v>
      </c>
      <c r="F242" s="5" t="s">
        <v>492</v>
      </c>
      <c r="G242" s="5" t="s">
        <v>492</v>
      </c>
      <c r="H242" t="s">
        <v>553</v>
      </c>
      <c r="I242" t="s">
        <v>244</v>
      </c>
      <c r="J242" t="s">
        <v>244</v>
      </c>
      <c r="L242" t="s">
        <v>2361</v>
      </c>
      <c r="M242" t="s">
        <v>58</v>
      </c>
      <c r="N242" t="s">
        <v>9205</v>
      </c>
      <c r="O242" t="s">
        <v>9184</v>
      </c>
      <c r="U242" t="str">
        <f>_xlfn.LET(_xlpm.x, _xlfn.XLOOKUP(B242,Sheet3!N:N,Sheet3!C:C,""), IF(_xlpm.x=0,"",_xlpm.x))</f>
        <v>劳动合同</v>
      </c>
      <c r="V242" s="5" t="s">
        <v>1166</v>
      </c>
      <c r="X242" t="s">
        <v>4011</v>
      </c>
    </row>
    <row r="243" spans="1:24" ht="15.6" x14ac:dyDescent="0.25">
      <c r="A243" s="8" t="s">
        <v>1941</v>
      </c>
      <c r="B243" s="8" t="s">
        <v>1944</v>
      </c>
      <c r="C243" s="5" t="s">
        <v>9012</v>
      </c>
      <c r="E243" s="5" t="s">
        <v>243</v>
      </c>
      <c r="F243" s="5" t="s">
        <v>256</v>
      </c>
      <c r="G243" s="5" t="s">
        <v>256</v>
      </c>
      <c r="H243" t="s">
        <v>566</v>
      </c>
      <c r="I243" t="s">
        <v>244</v>
      </c>
      <c r="J243" t="s">
        <v>244</v>
      </c>
      <c r="L243" t="s">
        <v>565</v>
      </c>
      <c r="M243" t="s">
        <v>58</v>
      </c>
      <c r="N243" t="s">
        <v>9207</v>
      </c>
      <c r="O243" t="s">
        <v>9159</v>
      </c>
      <c r="U243" t="str">
        <f>_xlfn.LET(_xlpm.x, _xlfn.XLOOKUP(B243,Sheet3!N:N,Sheet3!C:C,""), IF(_xlpm.x=0,"",_xlpm.x))</f>
        <v>劳动合同</v>
      </c>
      <c r="V243" s="5" t="s">
        <v>4000</v>
      </c>
      <c r="X243" t="s">
        <v>3990</v>
      </c>
    </row>
    <row r="244" spans="1:24" ht="15.6" x14ac:dyDescent="0.25">
      <c r="A244" s="8" t="s">
        <v>971</v>
      </c>
      <c r="B244" s="8" t="s">
        <v>978</v>
      </c>
      <c r="C244" s="5" t="s">
        <v>9013</v>
      </c>
      <c r="E244" s="5" t="s">
        <v>243</v>
      </c>
      <c r="F244" s="5" t="s">
        <v>242</v>
      </c>
      <c r="G244" s="5" t="s">
        <v>242</v>
      </c>
      <c r="H244" t="s">
        <v>533</v>
      </c>
      <c r="I244" t="s">
        <v>244</v>
      </c>
      <c r="J244" t="s">
        <v>244</v>
      </c>
      <c r="L244" t="s">
        <v>477</v>
      </c>
      <c r="M244" t="s">
        <v>58</v>
      </c>
      <c r="N244" t="s">
        <v>9220</v>
      </c>
      <c r="O244" t="s">
        <v>9141</v>
      </c>
      <c r="U244" t="str">
        <f>_xlfn.LET(_xlpm.x, _xlfn.XLOOKUP(B244,Sheet3!N:N,Sheet3!C:C,""), IF(_xlpm.x=0,"",_xlpm.x))</f>
        <v>劳动合同</v>
      </c>
      <c r="V244" s="5" t="s">
        <v>923</v>
      </c>
      <c r="X244" t="s">
        <v>4011</v>
      </c>
    </row>
    <row r="245" spans="1:24" ht="15.6" x14ac:dyDescent="0.25">
      <c r="A245" s="8" t="s">
        <v>3047</v>
      </c>
      <c r="B245" s="8" t="s">
        <v>3052</v>
      </c>
      <c r="C245" s="5" t="s">
        <v>9014</v>
      </c>
      <c r="E245" s="5" t="s">
        <v>243</v>
      </c>
      <c r="F245" s="5" t="s">
        <v>242</v>
      </c>
      <c r="G245" s="5" t="s">
        <v>242</v>
      </c>
      <c r="H245" t="s">
        <v>655</v>
      </c>
      <c r="I245" t="s">
        <v>244</v>
      </c>
      <c r="J245" t="s">
        <v>244</v>
      </c>
      <c r="L245" t="s">
        <v>3050</v>
      </c>
      <c r="M245" t="s">
        <v>9112</v>
      </c>
      <c r="N245" t="s">
        <v>9208</v>
      </c>
      <c r="O245" t="s">
        <v>9124</v>
      </c>
      <c r="U245" t="str">
        <f>_xlfn.LET(_xlpm.x, _xlfn.XLOOKUP(B245,Sheet3!N:N,Sheet3!C:C,""), IF(_xlpm.x=0,"",_xlpm.x))</f>
        <v>劳动合同</v>
      </c>
      <c r="V245" s="5" t="s">
        <v>4000</v>
      </c>
      <c r="X245" t="s">
        <v>4011</v>
      </c>
    </row>
    <row r="246" spans="1:24" ht="15.6" x14ac:dyDescent="0.25">
      <c r="A246" s="8" t="s">
        <v>719</v>
      </c>
      <c r="B246" s="8" t="s">
        <v>727</v>
      </c>
      <c r="C246" s="5" t="s">
        <v>9015</v>
      </c>
      <c r="E246" s="5" t="s">
        <v>243</v>
      </c>
      <c r="F246" s="5" t="s">
        <v>492</v>
      </c>
      <c r="G246" s="5" t="s">
        <v>492</v>
      </c>
      <c r="H246" t="s">
        <v>553</v>
      </c>
      <c r="I246" t="s">
        <v>244</v>
      </c>
      <c r="J246" t="s">
        <v>244</v>
      </c>
      <c r="L246" t="s">
        <v>723</v>
      </c>
      <c r="M246" t="s">
        <v>58</v>
      </c>
      <c r="N246" t="s">
        <v>9210</v>
      </c>
      <c r="O246" t="s">
        <v>9204</v>
      </c>
      <c r="U246" t="str">
        <f>_xlfn.LET(_xlpm.x, _xlfn.XLOOKUP(B246,Sheet3!N:N,Sheet3!C:C,""), IF(_xlpm.x=0,"",_xlpm.x))</f>
        <v>劳动合同</v>
      </c>
      <c r="V246" s="5" t="s">
        <v>7703</v>
      </c>
      <c r="X246" t="s">
        <v>4011</v>
      </c>
    </row>
    <row r="247" spans="1:24" ht="15.6" x14ac:dyDescent="0.25">
      <c r="A247" s="8" t="s">
        <v>3491</v>
      </c>
      <c r="B247" s="8" t="s">
        <v>3496</v>
      </c>
      <c r="C247" s="5" t="s">
        <v>9016</v>
      </c>
      <c r="E247" s="5" t="s">
        <v>243</v>
      </c>
      <c r="F247" s="5" t="s">
        <v>242</v>
      </c>
      <c r="G247" s="5" t="s">
        <v>242</v>
      </c>
      <c r="H247" t="s">
        <v>672</v>
      </c>
      <c r="I247" t="s">
        <v>244</v>
      </c>
      <c r="J247" t="s">
        <v>244</v>
      </c>
      <c r="L247" t="s">
        <v>3494</v>
      </c>
      <c r="M247" t="s">
        <v>9106</v>
      </c>
      <c r="N247" t="s">
        <v>9208</v>
      </c>
      <c r="O247" t="s">
        <v>9107</v>
      </c>
      <c r="U247" t="str">
        <f>_xlfn.LET(_xlpm.x, _xlfn.XLOOKUP(B247,Sheet3!N:N,Sheet3!C:C,""), IF(_xlpm.x=0,"",_xlpm.x))</f>
        <v>劳动合同</v>
      </c>
      <c r="V247" s="5" t="s">
        <v>4000</v>
      </c>
      <c r="X247" t="s">
        <v>4011</v>
      </c>
    </row>
    <row r="248" spans="1:24" ht="15.6" x14ac:dyDescent="0.25">
      <c r="A248" s="8" t="s">
        <v>3395</v>
      </c>
      <c r="B248" s="8" t="s">
        <v>3398</v>
      </c>
      <c r="C248" s="5" t="s">
        <v>9017</v>
      </c>
      <c r="E248" s="5" t="s">
        <v>243</v>
      </c>
      <c r="F248" s="5" t="s">
        <v>492</v>
      </c>
      <c r="G248" s="5" t="s">
        <v>492</v>
      </c>
      <c r="H248" t="s">
        <v>553</v>
      </c>
      <c r="I248" t="s">
        <v>244</v>
      </c>
      <c r="J248" t="s">
        <v>244</v>
      </c>
      <c r="L248" t="s">
        <v>551</v>
      </c>
      <c r="M248" t="s">
        <v>58</v>
      </c>
      <c r="N248" t="s">
        <v>9207</v>
      </c>
      <c r="O248" t="s">
        <v>9159</v>
      </c>
      <c r="U248" t="str">
        <f>_xlfn.LET(_xlpm.x, _xlfn.XLOOKUP(B248,Sheet3!N:N,Sheet3!C:C,""), IF(_xlpm.x=0,"",_xlpm.x))</f>
        <v>劳动合同</v>
      </c>
      <c r="V248" s="5" t="s">
        <v>4000</v>
      </c>
      <c r="X248" t="s">
        <v>4011</v>
      </c>
    </row>
    <row r="249" spans="1:24" ht="15.6" x14ac:dyDescent="0.25">
      <c r="A249" s="8" t="s">
        <v>2727</v>
      </c>
      <c r="B249" s="8" t="s">
        <v>2730</v>
      </c>
      <c r="C249" s="5" t="s">
        <v>9018</v>
      </c>
      <c r="E249" s="5" t="s">
        <v>243</v>
      </c>
      <c r="F249" s="5" t="s">
        <v>242</v>
      </c>
      <c r="G249" s="5" t="s">
        <v>242</v>
      </c>
      <c r="H249" t="s">
        <v>241</v>
      </c>
      <c r="I249" t="s">
        <v>244</v>
      </c>
      <c r="J249" t="s">
        <v>244</v>
      </c>
      <c r="L249" t="s">
        <v>733</v>
      </c>
      <c r="M249" t="s">
        <v>9098</v>
      </c>
      <c r="N249" t="s">
        <v>9213</v>
      </c>
      <c r="O249" t="s">
        <v>9119</v>
      </c>
      <c r="U249" t="str">
        <f>_xlfn.LET(_xlpm.x, _xlfn.XLOOKUP(B249,Sheet3!N:N,Sheet3!C:C,""), IF(_xlpm.x=0,"",_xlpm.x))</f>
        <v>劳动合同</v>
      </c>
      <c r="X249" t="s">
        <v>3990</v>
      </c>
    </row>
    <row r="250" spans="1:24" ht="15.6" x14ac:dyDescent="0.25">
      <c r="A250" s="8" t="s">
        <v>2253</v>
      </c>
      <c r="B250" s="8" t="s">
        <v>2257</v>
      </c>
      <c r="C250" s="5" t="s">
        <v>9019</v>
      </c>
      <c r="E250" s="5" t="s">
        <v>243</v>
      </c>
      <c r="F250" s="5" t="s">
        <v>492</v>
      </c>
      <c r="G250" s="5" t="s">
        <v>492</v>
      </c>
      <c r="H250" t="s">
        <v>553</v>
      </c>
      <c r="I250" t="s">
        <v>244</v>
      </c>
      <c r="J250" t="s">
        <v>244</v>
      </c>
      <c r="L250" t="s">
        <v>593</v>
      </c>
      <c r="M250" t="s">
        <v>905</v>
      </c>
      <c r="N250" t="s">
        <v>9207</v>
      </c>
      <c r="O250" t="s">
        <v>9153</v>
      </c>
      <c r="U250" t="str">
        <f>_xlfn.LET(_xlpm.x, _xlfn.XLOOKUP(B250,Sheet3!N:N,Sheet3!C:C,""), IF(_xlpm.x=0,"",_xlpm.x))</f>
        <v>劳动合同</v>
      </c>
      <c r="V250" s="5" t="s">
        <v>1090</v>
      </c>
      <c r="X250" t="s">
        <v>3990</v>
      </c>
    </row>
    <row r="251" spans="1:24" ht="15.6" x14ac:dyDescent="0.25">
      <c r="A251" s="8" t="s">
        <v>652</v>
      </c>
      <c r="B251" s="8" t="s">
        <v>658</v>
      </c>
      <c r="C251" s="5" t="s">
        <v>9020</v>
      </c>
      <c r="E251" s="5" t="s">
        <v>243</v>
      </c>
      <c r="F251" s="5" t="s">
        <v>242</v>
      </c>
      <c r="G251" s="5" t="s">
        <v>242</v>
      </c>
      <c r="H251" t="s">
        <v>655</v>
      </c>
      <c r="I251" t="s">
        <v>244</v>
      </c>
      <c r="J251" t="s">
        <v>244</v>
      </c>
      <c r="L251" t="s">
        <v>654</v>
      </c>
      <c r="M251" t="s">
        <v>905</v>
      </c>
      <c r="N251" t="s">
        <v>9213</v>
      </c>
      <c r="O251" t="s">
        <v>9194</v>
      </c>
      <c r="U251" t="str">
        <f>_xlfn.LET(_xlpm.x, _xlfn.XLOOKUP(B251,Sheet3!N:N,Sheet3!C:C,""), IF(_xlpm.x=0,"",_xlpm.x))</f>
        <v>劳动合同</v>
      </c>
      <c r="V251" s="5" t="s">
        <v>1090</v>
      </c>
      <c r="X251" t="s">
        <v>3990</v>
      </c>
    </row>
    <row r="252" spans="1:24" ht="15.6" x14ac:dyDescent="0.25">
      <c r="A252" s="8" t="s">
        <v>548</v>
      </c>
      <c r="B252" s="8" t="s">
        <v>557</v>
      </c>
      <c r="C252" s="5" t="s">
        <v>9021</v>
      </c>
      <c r="E252" s="5" t="s">
        <v>243</v>
      </c>
      <c r="F252" s="5" t="s">
        <v>492</v>
      </c>
      <c r="G252" s="5" t="s">
        <v>9130</v>
      </c>
      <c r="H252" t="s">
        <v>553</v>
      </c>
      <c r="J252" t="s">
        <v>244</v>
      </c>
      <c r="K252" t="s">
        <v>552</v>
      </c>
      <c r="L252" t="s">
        <v>551</v>
      </c>
      <c r="M252" t="s">
        <v>257</v>
      </c>
      <c r="N252" t="s">
        <v>9207</v>
      </c>
      <c r="O252" t="s">
        <v>9132</v>
      </c>
      <c r="U252" t="str">
        <f>_xlfn.LET(_xlpm.x, _xlfn.XLOOKUP(B252,Sheet3!N:N,Sheet3!C:C,""), IF(_xlpm.x=0,"",_xlpm.x))</f>
        <v>劳动合同</v>
      </c>
      <c r="V252" s="5" t="s">
        <v>561</v>
      </c>
      <c r="X252" t="s">
        <v>4011</v>
      </c>
    </row>
    <row r="253" spans="1:24" ht="15.6" x14ac:dyDescent="0.25">
      <c r="A253" s="8" t="s">
        <v>3387</v>
      </c>
      <c r="B253" s="8" t="s">
        <v>3392</v>
      </c>
      <c r="C253" s="5" t="s">
        <v>9022</v>
      </c>
      <c r="E253" s="5" t="s">
        <v>243</v>
      </c>
      <c r="F253" s="5" t="s">
        <v>492</v>
      </c>
      <c r="G253" s="5" t="s">
        <v>492</v>
      </c>
      <c r="H253" t="s">
        <v>553</v>
      </c>
      <c r="I253" t="s">
        <v>244</v>
      </c>
      <c r="J253" t="s">
        <v>244</v>
      </c>
      <c r="L253" t="s">
        <v>3211</v>
      </c>
      <c r="M253" t="s">
        <v>58</v>
      </c>
      <c r="N253" t="s">
        <v>9207</v>
      </c>
      <c r="O253" t="s">
        <v>9159</v>
      </c>
      <c r="U253" t="str">
        <f>_xlfn.LET(_xlpm.x, _xlfn.XLOOKUP(B253,Sheet3!N:N,Sheet3!C:C,""), IF(_xlpm.x=0,"",_xlpm.x))</f>
        <v>劳动合同</v>
      </c>
      <c r="V253" s="5" t="s">
        <v>4000</v>
      </c>
      <c r="X253" t="s">
        <v>3990</v>
      </c>
    </row>
    <row r="254" spans="1:24" ht="15.6" x14ac:dyDescent="0.25">
      <c r="A254" s="8" t="s">
        <v>2962</v>
      </c>
      <c r="B254" s="8" t="s">
        <v>2966</v>
      </c>
      <c r="C254" s="5" t="s">
        <v>9023</v>
      </c>
      <c r="E254" s="5" t="s">
        <v>243</v>
      </c>
      <c r="F254" s="5" t="s">
        <v>492</v>
      </c>
      <c r="G254" s="5" t="s">
        <v>492</v>
      </c>
      <c r="H254" t="s">
        <v>491</v>
      </c>
      <c r="I254" t="s">
        <v>244</v>
      </c>
      <c r="J254" t="s">
        <v>244</v>
      </c>
      <c r="L254" t="s">
        <v>1848</v>
      </c>
      <c r="M254" t="s">
        <v>905</v>
      </c>
      <c r="N254" t="s">
        <v>9210</v>
      </c>
      <c r="O254" t="s">
        <v>9133</v>
      </c>
      <c r="U254" t="str">
        <f>_xlfn.LET(_xlpm.x, _xlfn.XLOOKUP(B254,Sheet3!N:N,Sheet3!C:C,""), IF(_xlpm.x=0,"",_xlpm.x))</f>
        <v>劳动合同</v>
      </c>
      <c r="V254" s="5" t="s">
        <v>4000</v>
      </c>
      <c r="X254" t="s">
        <v>4011</v>
      </c>
    </row>
    <row r="255" spans="1:24" ht="15.6" x14ac:dyDescent="0.25">
      <c r="A255" s="8" t="s">
        <v>2050</v>
      </c>
      <c r="B255" s="8" t="s">
        <v>2055</v>
      </c>
      <c r="C255" s="5" t="s">
        <v>9024</v>
      </c>
      <c r="E255" s="5" t="s">
        <v>243</v>
      </c>
      <c r="F255" s="5" t="s">
        <v>492</v>
      </c>
      <c r="G255" s="5" t="s">
        <v>492</v>
      </c>
      <c r="H255" t="s">
        <v>553</v>
      </c>
      <c r="I255" t="s">
        <v>244</v>
      </c>
      <c r="J255" t="s">
        <v>244</v>
      </c>
      <c r="L255" t="s">
        <v>551</v>
      </c>
      <c r="M255" t="s">
        <v>58</v>
      </c>
      <c r="N255" t="s">
        <v>9207</v>
      </c>
      <c r="O255" t="s">
        <v>9159</v>
      </c>
      <c r="U255" t="str">
        <f>_xlfn.LET(_xlpm.x, _xlfn.XLOOKUP(B255,Sheet3!N:N,Sheet3!C:C,""), IF(_xlpm.x=0,"",_xlpm.x))</f>
        <v>劳动合同</v>
      </c>
      <c r="V255" s="5" t="s">
        <v>4000</v>
      </c>
      <c r="X255" t="s">
        <v>3990</v>
      </c>
    </row>
    <row r="256" spans="1:24" ht="15.6" x14ac:dyDescent="0.25">
      <c r="A256" s="8" t="s">
        <v>873</v>
      </c>
      <c r="B256" s="8" t="s">
        <v>884</v>
      </c>
      <c r="C256" s="5" t="s">
        <v>9025</v>
      </c>
      <c r="E256" s="5" t="s">
        <v>243</v>
      </c>
      <c r="F256" s="5" t="s">
        <v>492</v>
      </c>
      <c r="G256" s="5" t="s">
        <v>492</v>
      </c>
      <c r="H256" t="s">
        <v>878</v>
      </c>
      <c r="I256" t="s">
        <v>244</v>
      </c>
      <c r="J256" t="s">
        <v>244</v>
      </c>
      <c r="L256" t="s">
        <v>877</v>
      </c>
      <c r="M256" t="s">
        <v>9104</v>
      </c>
      <c r="N256" t="s">
        <v>9211</v>
      </c>
      <c r="O256" t="s">
        <v>9147</v>
      </c>
      <c r="U256" t="str">
        <f>_xlfn.LET(_xlpm.x, _xlfn.XLOOKUP(B256,Sheet3!N:N,Sheet3!C:C,""), IF(_xlpm.x=0,"",_xlpm.x))</f>
        <v>劳动合同</v>
      </c>
      <c r="V256" s="5" t="s">
        <v>894</v>
      </c>
      <c r="X256" t="s">
        <v>4011</v>
      </c>
    </row>
    <row r="257" spans="1:24" ht="15.6" x14ac:dyDescent="0.25">
      <c r="A257" s="8" t="s">
        <v>1501</v>
      </c>
      <c r="B257" s="8" t="s">
        <v>1506</v>
      </c>
      <c r="C257" s="5" t="s">
        <v>9026</v>
      </c>
      <c r="E257" s="5" t="s">
        <v>243</v>
      </c>
      <c r="F257" s="5" t="s">
        <v>242</v>
      </c>
      <c r="G257" s="5" t="s">
        <v>242</v>
      </c>
      <c r="H257" t="s">
        <v>533</v>
      </c>
      <c r="I257" t="s">
        <v>244</v>
      </c>
      <c r="J257" t="s">
        <v>244</v>
      </c>
      <c r="L257" t="s">
        <v>477</v>
      </c>
      <c r="M257" t="s">
        <v>9101</v>
      </c>
      <c r="N257" t="s">
        <v>9220</v>
      </c>
      <c r="O257" t="s">
        <v>9191</v>
      </c>
      <c r="U257" t="str">
        <f>_xlfn.LET(_xlpm.x, _xlfn.XLOOKUP(B257,Sheet3!N:N,Sheet3!C:C,""), IF(_xlpm.x=0,"",_xlpm.x))</f>
        <v>劳动合同</v>
      </c>
      <c r="V257" s="5" t="s">
        <v>1478</v>
      </c>
      <c r="X257" t="s">
        <v>4011</v>
      </c>
    </row>
    <row r="258" spans="1:24" ht="15.6" x14ac:dyDescent="0.25">
      <c r="A258" s="8" t="s">
        <v>2889</v>
      </c>
      <c r="B258" s="8" t="s">
        <v>2894</v>
      </c>
      <c r="C258" s="5" t="s">
        <v>9027</v>
      </c>
      <c r="E258" s="5" t="s">
        <v>243</v>
      </c>
      <c r="F258" s="5" t="s">
        <v>492</v>
      </c>
      <c r="G258" s="5" t="s">
        <v>492</v>
      </c>
      <c r="H258" t="s">
        <v>553</v>
      </c>
      <c r="I258" t="s">
        <v>244</v>
      </c>
      <c r="J258" t="s">
        <v>244</v>
      </c>
      <c r="L258" t="s">
        <v>551</v>
      </c>
      <c r="M258" t="s">
        <v>9098</v>
      </c>
      <c r="N258" t="s">
        <v>9207</v>
      </c>
      <c r="O258" t="s">
        <v>9173</v>
      </c>
      <c r="U258" t="str">
        <f>_xlfn.LET(_xlpm.x, _xlfn.XLOOKUP(B258,Sheet3!N:N,Sheet3!C:C,""), IF(_xlpm.x=0,"",_xlpm.x))</f>
        <v>劳动合同</v>
      </c>
      <c r="V258" s="5" t="s">
        <v>1166</v>
      </c>
      <c r="X258" t="s">
        <v>4011</v>
      </c>
    </row>
    <row r="259" spans="1:24" ht="15.6" x14ac:dyDescent="0.25">
      <c r="A259" s="8" t="s">
        <v>2193</v>
      </c>
      <c r="B259" s="8" t="s">
        <v>2199</v>
      </c>
      <c r="C259" s="5" t="s">
        <v>9028</v>
      </c>
      <c r="E259" s="5" t="s">
        <v>243</v>
      </c>
      <c r="F259" s="5" t="s">
        <v>242</v>
      </c>
      <c r="G259" s="5" t="s">
        <v>242</v>
      </c>
      <c r="H259" t="s">
        <v>459</v>
      </c>
      <c r="I259" t="s">
        <v>244</v>
      </c>
      <c r="J259" t="s">
        <v>244</v>
      </c>
      <c r="L259" t="s">
        <v>2195</v>
      </c>
      <c r="M259" t="s">
        <v>2152</v>
      </c>
      <c r="N259" t="s">
        <v>9222</v>
      </c>
      <c r="O259" t="s">
        <v>9188</v>
      </c>
      <c r="U259" t="str">
        <f>_xlfn.LET(_xlpm.x, _xlfn.XLOOKUP(B259,Sheet3!N:N,Sheet3!C:C,""), IF(_xlpm.x=0,"",_xlpm.x))</f>
        <v>劳动合同</v>
      </c>
      <c r="V259" s="5" t="s">
        <v>4000</v>
      </c>
      <c r="X259" t="s">
        <v>3990</v>
      </c>
    </row>
    <row r="260" spans="1:24" ht="15.6" x14ac:dyDescent="0.25">
      <c r="A260" s="8" t="s">
        <v>315</v>
      </c>
      <c r="B260" s="8" t="s">
        <v>326</v>
      </c>
      <c r="C260" s="5" t="s">
        <v>9029</v>
      </c>
      <c r="E260" s="5" t="s">
        <v>243</v>
      </c>
      <c r="F260" s="5" t="s">
        <v>242</v>
      </c>
      <c r="G260" s="5" t="s">
        <v>242</v>
      </c>
      <c r="H260" t="s">
        <v>298</v>
      </c>
      <c r="J260" t="s">
        <v>244</v>
      </c>
      <c r="K260" t="s">
        <v>320</v>
      </c>
      <c r="L260" t="s">
        <v>319</v>
      </c>
      <c r="M260" t="s">
        <v>61</v>
      </c>
      <c r="N260" t="s">
        <v>9205</v>
      </c>
      <c r="O260" t="s">
        <v>9146</v>
      </c>
      <c r="U260" t="str">
        <f>_xlfn.LET(_xlpm.x, _xlfn.XLOOKUP(B260,Sheet3!N:N,Sheet3!C:C,""), IF(_xlpm.x=0,"",_xlpm.x))</f>
        <v>劳动合同</v>
      </c>
      <c r="V260" s="5" t="s">
        <v>338</v>
      </c>
      <c r="X260" t="s">
        <v>4011</v>
      </c>
    </row>
    <row r="261" spans="1:24" ht="15.6" x14ac:dyDescent="0.25">
      <c r="A261" s="8" t="s">
        <v>2620</v>
      </c>
      <c r="B261" s="8" t="s">
        <v>2626</v>
      </c>
      <c r="C261" s="5" t="s">
        <v>9030</v>
      </c>
      <c r="E261" s="5" t="s">
        <v>243</v>
      </c>
      <c r="F261" s="5" t="s">
        <v>492</v>
      </c>
      <c r="G261" s="5" t="s">
        <v>242</v>
      </c>
      <c r="H261" t="s">
        <v>345</v>
      </c>
      <c r="I261" t="s">
        <v>346</v>
      </c>
      <c r="J261" t="s">
        <v>344</v>
      </c>
      <c r="L261" t="s">
        <v>2624</v>
      </c>
      <c r="M261" t="s">
        <v>9108</v>
      </c>
      <c r="N261" t="s">
        <v>9215</v>
      </c>
      <c r="O261" t="s">
        <v>9165</v>
      </c>
      <c r="U261" t="str">
        <f>_xlfn.LET(_xlpm.x, _xlfn.XLOOKUP(B261,Sheet3!N:N,Sheet3!C:C,""), IF(_xlpm.x=0,"",_xlpm.x))</f>
        <v>劳动合同</v>
      </c>
      <c r="V261" s="5" t="s">
        <v>1090</v>
      </c>
      <c r="X261" t="s">
        <v>3990</v>
      </c>
    </row>
    <row r="262" spans="1:24" ht="15.6" x14ac:dyDescent="0.25">
      <c r="A262" s="8" t="s">
        <v>1697</v>
      </c>
      <c r="B262" s="8" t="s">
        <v>1703</v>
      </c>
      <c r="C262" s="5" t="s">
        <v>9031</v>
      </c>
      <c r="E262" s="5" t="s">
        <v>243</v>
      </c>
      <c r="F262" s="5" t="s">
        <v>492</v>
      </c>
      <c r="G262" s="5" t="s">
        <v>242</v>
      </c>
      <c r="H262" t="s">
        <v>345</v>
      </c>
      <c r="I262" t="s">
        <v>346</v>
      </c>
      <c r="J262" t="s">
        <v>344</v>
      </c>
      <c r="L262" t="s">
        <v>1701</v>
      </c>
      <c r="M262" t="s">
        <v>9108</v>
      </c>
      <c r="N262" t="s">
        <v>9215</v>
      </c>
      <c r="O262" t="s">
        <v>9165</v>
      </c>
      <c r="U262" t="str">
        <f>_xlfn.LET(_xlpm.x, _xlfn.XLOOKUP(B262,Sheet3!N:N,Sheet3!C:C,""), IF(_xlpm.x=0,"",_xlpm.x))</f>
        <v>劳动合同</v>
      </c>
      <c r="V262" s="5" t="s">
        <v>1311</v>
      </c>
      <c r="X262" t="s">
        <v>3990</v>
      </c>
    </row>
    <row r="263" spans="1:24" ht="15.6" x14ac:dyDescent="0.25">
      <c r="A263" s="8" t="s">
        <v>2679</v>
      </c>
      <c r="B263" s="8" t="s">
        <v>2682</v>
      </c>
      <c r="C263" s="5" t="s">
        <v>9032</v>
      </c>
      <c r="E263" s="5" t="s">
        <v>243</v>
      </c>
      <c r="F263" s="5" t="s">
        <v>492</v>
      </c>
      <c r="G263" s="5" t="s">
        <v>242</v>
      </c>
      <c r="H263" t="s">
        <v>345</v>
      </c>
      <c r="I263" t="s">
        <v>346</v>
      </c>
      <c r="J263" t="s">
        <v>344</v>
      </c>
      <c r="L263" t="s">
        <v>574</v>
      </c>
      <c r="M263" t="s">
        <v>2152</v>
      </c>
      <c r="N263" t="s">
        <v>9215</v>
      </c>
      <c r="O263" t="s">
        <v>9160</v>
      </c>
      <c r="U263" t="str">
        <f>_xlfn.LET(_xlpm.x, _xlfn.XLOOKUP(B263,Sheet3!N:N,Sheet3!C:C,""), IF(_xlpm.x=0,"",_xlpm.x))</f>
        <v>劳动合同</v>
      </c>
      <c r="V263" s="5" t="s">
        <v>1090</v>
      </c>
      <c r="X263" t="s">
        <v>3990</v>
      </c>
    </row>
    <row r="264" spans="1:24" ht="15.6" x14ac:dyDescent="0.25">
      <c r="A264" s="8" t="s">
        <v>2375</v>
      </c>
      <c r="B264" s="8" t="s">
        <v>2379</v>
      </c>
      <c r="C264" s="5" t="s">
        <v>9033</v>
      </c>
      <c r="E264" s="5" t="s">
        <v>243</v>
      </c>
      <c r="F264" s="5" t="s">
        <v>242</v>
      </c>
      <c r="G264" s="5" t="s">
        <v>242</v>
      </c>
      <c r="H264" t="s">
        <v>1515</v>
      </c>
      <c r="I264" t="s">
        <v>244</v>
      </c>
      <c r="J264" t="s">
        <v>244</v>
      </c>
      <c r="L264" t="s">
        <v>1514</v>
      </c>
      <c r="M264" t="s">
        <v>9098</v>
      </c>
      <c r="N264" t="s">
        <v>9213</v>
      </c>
      <c r="O264" t="s">
        <v>9119</v>
      </c>
      <c r="U264" t="str">
        <f>_xlfn.LET(_xlpm.x, _xlfn.XLOOKUP(B264,Sheet3!N:N,Sheet3!C:C,""), IF(_xlpm.x=0,"",_xlpm.x))</f>
        <v>劳动合同</v>
      </c>
      <c r="V264" s="5" t="s">
        <v>872</v>
      </c>
      <c r="X264" t="s">
        <v>3990</v>
      </c>
    </row>
    <row r="265" spans="1:24" ht="15.6" x14ac:dyDescent="0.25">
      <c r="A265" s="8" t="s">
        <v>391</v>
      </c>
      <c r="B265" s="8" t="s">
        <v>401</v>
      </c>
      <c r="C265" s="5" t="s">
        <v>9034</v>
      </c>
      <c r="E265" s="5" t="s">
        <v>243</v>
      </c>
      <c r="F265" s="5" t="s">
        <v>242</v>
      </c>
      <c r="G265" s="5" t="s">
        <v>242</v>
      </c>
      <c r="H265" t="s">
        <v>241</v>
      </c>
      <c r="I265" t="s">
        <v>244</v>
      </c>
      <c r="J265" t="s">
        <v>244</v>
      </c>
      <c r="L265" t="s">
        <v>240</v>
      </c>
      <c r="M265" t="s">
        <v>905</v>
      </c>
      <c r="N265" t="s">
        <v>9206</v>
      </c>
      <c r="O265" t="s">
        <v>9134</v>
      </c>
      <c r="U265" t="str">
        <f>_xlfn.LET(_xlpm.x, _xlfn.XLOOKUP(B265,Sheet3!N:N,Sheet3!C:C,""), IF(_xlpm.x=0,"",_xlpm.x))</f>
        <v>劳动合同</v>
      </c>
      <c r="V265" s="5" t="s">
        <v>411</v>
      </c>
      <c r="X265" t="s">
        <v>4011</v>
      </c>
    </row>
    <row r="266" spans="1:24" ht="15.6" x14ac:dyDescent="0.25">
      <c r="A266" s="8" t="s">
        <v>3380</v>
      </c>
      <c r="B266" s="8" t="s">
        <v>3384</v>
      </c>
      <c r="C266" s="5" t="s">
        <v>9035</v>
      </c>
      <c r="E266" s="5" t="s">
        <v>243</v>
      </c>
      <c r="F266" s="5" t="s">
        <v>492</v>
      </c>
      <c r="G266" s="5" t="s">
        <v>242</v>
      </c>
      <c r="H266" t="s">
        <v>345</v>
      </c>
      <c r="I266" t="s">
        <v>346</v>
      </c>
      <c r="J266" t="s">
        <v>344</v>
      </c>
      <c r="L266" t="s">
        <v>2900</v>
      </c>
      <c r="M266" t="s">
        <v>9110</v>
      </c>
      <c r="N266" t="s">
        <v>9215</v>
      </c>
      <c r="O266" t="s">
        <v>9166</v>
      </c>
      <c r="U266" t="str">
        <f>_xlfn.LET(_xlpm.x, _xlfn.XLOOKUP(B266,Sheet3!N:N,Sheet3!C:C,""), IF(_xlpm.x=0,"",_xlpm.x))</f>
        <v>劳动合同</v>
      </c>
      <c r="V266" s="5" t="s">
        <v>4000</v>
      </c>
      <c r="X266" t="s">
        <v>3990</v>
      </c>
    </row>
    <row r="267" spans="1:24" ht="15.6" x14ac:dyDescent="0.25">
      <c r="A267" s="8" t="s">
        <v>3562</v>
      </c>
      <c r="B267" s="8" t="s">
        <v>3566</v>
      </c>
      <c r="C267" s="5" t="s">
        <v>9036</v>
      </c>
      <c r="E267" s="5" t="s">
        <v>243</v>
      </c>
      <c r="F267" s="5" t="s">
        <v>242</v>
      </c>
      <c r="G267" s="5" t="s">
        <v>242</v>
      </c>
      <c r="H267" t="s">
        <v>459</v>
      </c>
      <c r="I267" t="s">
        <v>244</v>
      </c>
      <c r="J267" t="s">
        <v>244</v>
      </c>
      <c r="L267" t="s">
        <v>551</v>
      </c>
      <c r="M267" t="s">
        <v>2152</v>
      </c>
      <c r="N267" t="s">
        <v>9213</v>
      </c>
      <c r="O267" t="s">
        <v>9152</v>
      </c>
      <c r="U267" t="str">
        <f>_xlfn.LET(_xlpm.x, _xlfn.XLOOKUP(B267,Sheet3!N:N,Sheet3!C:C,""), IF(_xlpm.x=0,"",_xlpm.x))</f>
        <v>劳务协议</v>
      </c>
      <c r="V267" s="5" t="s">
        <v>561</v>
      </c>
      <c r="X267" t="s">
        <v>4011</v>
      </c>
    </row>
    <row r="268" spans="1:24" ht="15.6" x14ac:dyDescent="0.25">
      <c r="A268" s="8" t="s">
        <v>3523</v>
      </c>
      <c r="B268" s="8" t="s">
        <v>3529</v>
      </c>
      <c r="C268" s="5" t="s">
        <v>9037</v>
      </c>
      <c r="E268" s="5" t="s">
        <v>243</v>
      </c>
      <c r="F268" s="5" t="s">
        <v>242</v>
      </c>
      <c r="G268" s="5" t="s">
        <v>242</v>
      </c>
      <c r="H268" t="s">
        <v>420</v>
      </c>
      <c r="I268" t="s">
        <v>244</v>
      </c>
      <c r="J268" t="s">
        <v>244</v>
      </c>
      <c r="L268" t="s">
        <v>3527</v>
      </c>
      <c r="M268" t="s">
        <v>9110</v>
      </c>
      <c r="N268" t="s">
        <v>9208</v>
      </c>
      <c r="O268" t="s">
        <v>9120</v>
      </c>
      <c r="U268" t="str">
        <f>_xlfn.LET(_xlpm.x, _xlfn.XLOOKUP(B268,Sheet3!N:N,Sheet3!C:C,""), IF(_xlpm.x=0,"",_xlpm.x))</f>
        <v>劳动合同</v>
      </c>
      <c r="V268" s="5" t="s">
        <v>4000</v>
      </c>
      <c r="X268" t="s">
        <v>4011</v>
      </c>
    </row>
    <row r="269" spans="1:24" ht="15.6" x14ac:dyDescent="0.25">
      <c r="A269" s="8" t="s">
        <v>2907</v>
      </c>
      <c r="B269" s="8" t="s">
        <v>2910</v>
      </c>
      <c r="C269" s="5" t="s">
        <v>9038</v>
      </c>
      <c r="E269" s="5" t="s">
        <v>243</v>
      </c>
      <c r="F269" s="5" t="s">
        <v>242</v>
      </c>
      <c r="G269" s="5" t="s">
        <v>242</v>
      </c>
      <c r="H269" t="s">
        <v>1967</v>
      </c>
      <c r="I269" t="s">
        <v>244</v>
      </c>
      <c r="J269" t="s">
        <v>244</v>
      </c>
      <c r="L269" t="s">
        <v>477</v>
      </c>
      <c r="M269" t="s">
        <v>9106</v>
      </c>
      <c r="N269" t="s">
        <v>9220</v>
      </c>
      <c r="O269" t="s">
        <v>9151</v>
      </c>
      <c r="U269" t="str">
        <f>_xlfn.LET(_xlpm.x, _xlfn.XLOOKUP(B269,Sheet3!N:N,Sheet3!C:C,""), IF(_xlpm.x=0,"",_xlpm.x))</f>
        <v>劳动合同</v>
      </c>
      <c r="V269" s="5" t="s">
        <v>1478</v>
      </c>
      <c r="X269" t="s">
        <v>4011</v>
      </c>
    </row>
    <row r="270" spans="1:24" ht="15.6" x14ac:dyDescent="0.25">
      <c r="A270" s="8" t="s">
        <v>3073</v>
      </c>
      <c r="B270" s="8" t="s">
        <v>3077</v>
      </c>
      <c r="C270" s="5" t="s">
        <v>9039</v>
      </c>
      <c r="E270" s="5" t="s">
        <v>243</v>
      </c>
      <c r="F270" s="5" t="s">
        <v>492</v>
      </c>
      <c r="G270" s="5" t="s">
        <v>492</v>
      </c>
      <c r="H270" t="s">
        <v>553</v>
      </c>
      <c r="I270" t="s">
        <v>244</v>
      </c>
      <c r="J270" t="s">
        <v>244</v>
      </c>
      <c r="L270" t="s">
        <v>551</v>
      </c>
      <c r="M270" t="s">
        <v>58</v>
      </c>
      <c r="N270" t="s">
        <v>9207</v>
      </c>
      <c r="O270" t="s">
        <v>9159</v>
      </c>
      <c r="U270" t="str">
        <f>_xlfn.LET(_xlpm.x, _xlfn.XLOOKUP(B270,Sheet3!N:N,Sheet3!C:C,""), IF(_xlpm.x=0,"",_xlpm.x))</f>
        <v>劳动合同</v>
      </c>
      <c r="V270" s="5" t="s">
        <v>1090</v>
      </c>
      <c r="X270" t="s">
        <v>3990</v>
      </c>
    </row>
    <row r="271" spans="1:24" ht="15.6" x14ac:dyDescent="0.25">
      <c r="A271" s="8" t="s">
        <v>3229</v>
      </c>
      <c r="B271" s="8" t="s">
        <v>3234</v>
      </c>
      <c r="C271" s="5" t="s">
        <v>9040</v>
      </c>
      <c r="E271" s="5" t="s">
        <v>243</v>
      </c>
      <c r="F271" s="5" t="s">
        <v>242</v>
      </c>
      <c r="G271" s="5" t="s">
        <v>242</v>
      </c>
      <c r="H271" t="s">
        <v>1967</v>
      </c>
      <c r="I271" t="s">
        <v>244</v>
      </c>
      <c r="J271" t="s">
        <v>244</v>
      </c>
      <c r="L271" t="s">
        <v>3232</v>
      </c>
      <c r="M271" t="s">
        <v>9115</v>
      </c>
      <c r="N271" t="s">
        <v>9208</v>
      </c>
      <c r="O271" t="s">
        <v>9150</v>
      </c>
      <c r="U271" t="str">
        <f>_xlfn.LET(_xlpm.x, _xlfn.XLOOKUP(B271,Sheet3!N:N,Sheet3!C:C,""), IF(_xlpm.x=0,"",_xlpm.x))</f>
        <v>劳动合同</v>
      </c>
      <c r="V271" s="5" t="s">
        <v>4000</v>
      </c>
      <c r="X271" t="s">
        <v>4011</v>
      </c>
    </row>
    <row r="272" spans="1:24" ht="15.6" x14ac:dyDescent="0.25">
      <c r="A272" s="8" t="s">
        <v>3119</v>
      </c>
      <c r="B272" s="8" t="s">
        <v>3124</v>
      </c>
      <c r="C272" s="5" t="s">
        <v>9041</v>
      </c>
      <c r="E272" s="5" t="s">
        <v>243</v>
      </c>
      <c r="F272" s="5" t="s">
        <v>492</v>
      </c>
      <c r="G272" s="5" t="s">
        <v>242</v>
      </c>
      <c r="H272" t="s">
        <v>345</v>
      </c>
      <c r="I272" t="s">
        <v>346</v>
      </c>
      <c r="J272" t="s">
        <v>344</v>
      </c>
      <c r="L272" t="s">
        <v>3122</v>
      </c>
      <c r="M272" t="s">
        <v>9108</v>
      </c>
      <c r="N272" t="s">
        <v>9215</v>
      </c>
      <c r="O272" t="s">
        <v>9165</v>
      </c>
      <c r="U272" t="str">
        <f>_xlfn.LET(_xlpm.x, _xlfn.XLOOKUP(B272,Sheet3!N:N,Sheet3!C:C,""), IF(_xlpm.x=0,"",_xlpm.x))</f>
        <v>劳动合同</v>
      </c>
      <c r="V272" s="5" t="s">
        <v>1166</v>
      </c>
      <c r="X272" t="s">
        <v>3990</v>
      </c>
    </row>
    <row r="273" spans="1:24" ht="15.6" x14ac:dyDescent="0.25">
      <c r="A273" s="8" t="s">
        <v>2060</v>
      </c>
      <c r="B273" s="8" t="s">
        <v>2065</v>
      </c>
      <c r="C273" s="5" t="s">
        <v>9042</v>
      </c>
      <c r="E273" s="5" t="s">
        <v>243</v>
      </c>
      <c r="F273" s="5" t="s">
        <v>492</v>
      </c>
      <c r="G273" s="5" t="s">
        <v>492</v>
      </c>
      <c r="H273" t="s">
        <v>553</v>
      </c>
      <c r="I273" t="s">
        <v>244</v>
      </c>
      <c r="J273" t="s">
        <v>244</v>
      </c>
      <c r="L273" t="s">
        <v>551</v>
      </c>
      <c r="M273" t="s">
        <v>905</v>
      </c>
      <c r="N273" t="s">
        <v>9207</v>
      </c>
      <c r="O273" t="s">
        <v>9153</v>
      </c>
      <c r="U273" t="str">
        <f>_xlfn.LET(_xlpm.x, _xlfn.XLOOKUP(B273,Sheet3!N:N,Sheet3!C:C,""), IF(_xlpm.x=0,"",_xlpm.x))</f>
        <v>劳动合同</v>
      </c>
      <c r="V273" s="5" t="s">
        <v>1166</v>
      </c>
      <c r="X273" t="s">
        <v>4011</v>
      </c>
    </row>
    <row r="274" spans="1:24" ht="15.6" x14ac:dyDescent="0.25">
      <c r="A274" s="8" t="s">
        <v>2260</v>
      </c>
      <c r="B274" s="8" t="s">
        <v>2265</v>
      </c>
      <c r="C274" s="5" t="s">
        <v>9043</v>
      </c>
      <c r="E274" s="5" t="s">
        <v>243</v>
      </c>
      <c r="F274" s="5" t="s">
        <v>492</v>
      </c>
      <c r="G274" s="5" t="s">
        <v>492</v>
      </c>
      <c r="H274" t="s">
        <v>553</v>
      </c>
      <c r="I274" t="s">
        <v>244</v>
      </c>
      <c r="J274" t="s">
        <v>244</v>
      </c>
      <c r="L274" t="s">
        <v>593</v>
      </c>
      <c r="M274" t="s">
        <v>58</v>
      </c>
      <c r="N274" t="s">
        <v>9207</v>
      </c>
      <c r="O274" t="s">
        <v>9159</v>
      </c>
      <c r="U274" t="str">
        <f>_xlfn.LET(_xlpm.x, _xlfn.XLOOKUP(B274,Sheet3!N:N,Sheet3!C:C,""), IF(_xlpm.x=0,"",_xlpm.x))</f>
        <v>劳动合同</v>
      </c>
      <c r="V274" s="5" t="s">
        <v>1090</v>
      </c>
      <c r="X274" t="s">
        <v>3990</v>
      </c>
    </row>
    <row r="275" spans="1:24" ht="15.6" x14ac:dyDescent="0.25">
      <c r="A275" s="8" t="s">
        <v>1456</v>
      </c>
      <c r="B275" s="8" t="s">
        <v>1463</v>
      </c>
      <c r="C275" s="5" t="s">
        <v>9044</v>
      </c>
      <c r="E275" s="5" t="s">
        <v>243</v>
      </c>
      <c r="F275" s="5" t="s">
        <v>242</v>
      </c>
      <c r="G275" s="5" t="s">
        <v>242</v>
      </c>
      <c r="H275" t="s">
        <v>655</v>
      </c>
      <c r="I275" t="s">
        <v>244</v>
      </c>
      <c r="J275" t="s">
        <v>244</v>
      </c>
      <c r="L275" t="s">
        <v>506</v>
      </c>
      <c r="M275" t="s">
        <v>9098</v>
      </c>
      <c r="N275" t="s">
        <v>9206</v>
      </c>
      <c r="O275" t="s">
        <v>9139</v>
      </c>
      <c r="U275" t="str">
        <f>_xlfn.LET(_xlpm.x, _xlfn.XLOOKUP(B275,Sheet3!N:N,Sheet3!C:C,""), IF(_xlpm.x=0,"",_xlpm.x))</f>
        <v>劳动合同</v>
      </c>
      <c r="V275" s="5" t="s">
        <v>872</v>
      </c>
      <c r="X275" t="s">
        <v>4011</v>
      </c>
    </row>
    <row r="276" spans="1:24" ht="15.6" x14ac:dyDescent="0.25">
      <c r="A276" s="8" t="s">
        <v>1777</v>
      </c>
      <c r="B276" s="8" t="s">
        <v>1780</v>
      </c>
      <c r="C276" s="5" t="s">
        <v>9045</v>
      </c>
      <c r="E276" s="5" t="s">
        <v>243</v>
      </c>
      <c r="F276" s="5" t="s">
        <v>242</v>
      </c>
      <c r="G276" s="5" t="s">
        <v>242</v>
      </c>
      <c r="H276" t="s">
        <v>655</v>
      </c>
      <c r="I276" t="s">
        <v>244</v>
      </c>
      <c r="J276" t="s">
        <v>244</v>
      </c>
      <c r="L276" t="s">
        <v>616</v>
      </c>
      <c r="M276" t="s">
        <v>58</v>
      </c>
      <c r="N276" t="s">
        <v>9213</v>
      </c>
      <c r="O276" t="s">
        <v>9189</v>
      </c>
      <c r="U276" t="str">
        <f>_xlfn.LET(_xlpm.x, _xlfn.XLOOKUP(B276,Sheet3!N:N,Sheet3!C:C,""), IF(_xlpm.x=0,"",_xlpm.x))</f>
        <v>劳动合同</v>
      </c>
      <c r="V276" s="5" t="s">
        <v>1090</v>
      </c>
      <c r="X276" t="s">
        <v>3990</v>
      </c>
    </row>
    <row r="277" spans="1:24" ht="15.6" x14ac:dyDescent="0.25">
      <c r="A277" s="8" t="s">
        <v>2945</v>
      </c>
      <c r="B277" s="8" t="s">
        <v>2950</v>
      </c>
      <c r="C277" s="5" t="s">
        <v>9046</v>
      </c>
      <c r="E277" s="5" t="s">
        <v>243</v>
      </c>
      <c r="F277" s="5" t="s">
        <v>492</v>
      </c>
      <c r="G277" s="5" t="s">
        <v>492</v>
      </c>
      <c r="H277" t="s">
        <v>861</v>
      </c>
      <c r="I277" t="s">
        <v>244</v>
      </c>
      <c r="J277" t="s">
        <v>244</v>
      </c>
      <c r="L277" t="s">
        <v>2948</v>
      </c>
      <c r="M277" t="s">
        <v>9098</v>
      </c>
      <c r="N277" t="s">
        <v>9211</v>
      </c>
      <c r="O277" t="s">
        <v>9135</v>
      </c>
      <c r="U277" t="str">
        <f>_xlfn.LET(_xlpm.x, _xlfn.XLOOKUP(B277,Sheet3!N:N,Sheet3!C:C,""), IF(_xlpm.x=0,"",_xlpm.x))</f>
        <v>劳动合同</v>
      </c>
      <c r="V277" s="5" t="s">
        <v>663</v>
      </c>
      <c r="X277" t="s">
        <v>4011</v>
      </c>
    </row>
    <row r="278" spans="1:24" ht="15.6" x14ac:dyDescent="0.25">
      <c r="A278" s="8" t="s">
        <v>3110</v>
      </c>
      <c r="B278" s="8" t="s">
        <v>3114</v>
      </c>
      <c r="C278" s="5" t="s">
        <v>9047</v>
      </c>
      <c r="E278" s="5" t="s">
        <v>243</v>
      </c>
      <c r="F278" s="5" t="s">
        <v>242</v>
      </c>
      <c r="G278" s="5" t="s">
        <v>242</v>
      </c>
      <c r="H278" t="s">
        <v>241</v>
      </c>
      <c r="I278" t="s">
        <v>244</v>
      </c>
      <c r="J278" t="s">
        <v>244</v>
      </c>
      <c r="L278" t="s">
        <v>506</v>
      </c>
      <c r="M278" t="s">
        <v>9104</v>
      </c>
      <c r="N278" t="s">
        <v>9206</v>
      </c>
      <c r="O278" t="s">
        <v>9148</v>
      </c>
      <c r="U278" t="str">
        <f>_xlfn.LET(_xlpm.x, _xlfn.XLOOKUP(B278,Sheet3!N:N,Sheet3!C:C,""), IF(_xlpm.x=0,"",_xlpm.x))</f>
        <v>劳动合同</v>
      </c>
      <c r="V278" s="5" t="s">
        <v>4000</v>
      </c>
      <c r="X278" t="s">
        <v>4011</v>
      </c>
    </row>
    <row r="279" spans="1:24" ht="15.6" x14ac:dyDescent="0.25">
      <c r="A279" s="8" t="s">
        <v>2528</v>
      </c>
      <c r="B279" s="8" t="s">
        <v>2533</v>
      </c>
      <c r="C279" s="5" t="s">
        <v>9048</v>
      </c>
      <c r="E279" s="5" t="s">
        <v>243</v>
      </c>
      <c r="F279" s="5" t="s">
        <v>492</v>
      </c>
      <c r="G279" s="5" t="s">
        <v>492</v>
      </c>
      <c r="H279" t="s">
        <v>491</v>
      </c>
      <c r="I279" t="s">
        <v>244</v>
      </c>
      <c r="J279" t="s">
        <v>244</v>
      </c>
      <c r="L279" t="s">
        <v>2531</v>
      </c>
      <c r="M279" t="s">
        <v>2152</v>
      </c>
      <c r="N279" t="s">
        <v>9211</v>
      </c>
      <c r="O279" t="s">
        <v>9103</v>
      </c>
      <c r="U279" t="str">
        <f>_xlfn.LET(_xlpm.x, _xlfn.XLOOKUP(B279,Sheet3!N:N,Sheet3!C:C,""), IF(_xlpm.x=0,"",_xlpm.x))</f>
        <v>劳动合同</v>
      </c>
      <c r="V279" s="5" t="s">
        <v>663</v>
      </c>
      <c r="X279" t="s">
        <v>4011</v>
      </c>
    </row>
    <row r="280" spans="1:24" ht="15.6" x14ac:dyDescent="0.25">
      <c r="A280" s="8" t="s">
        <v>2477</v>
      </c>
      <c r="B280" s="8" t="s">
        <v>2482</v>
      </c>
      <c r="C280" s="5" t="s">
        <v>9049</v>
      </c>
      <c r="E280" s="5" t="s">
        <v>243</v>
      </c>
      <c r="F280" s="5" t="s">
        <v>256</v>
      </c>
      <c r="G280" s="5" t="s">
        <v>256</v>
      </c>
      <c r="H280" t="s">
        <v>255</v>
      </c>
      <c r="I280" t="s">
        <v>244</v>
      </c>
      <c r="J280" t="s">
        <v>244</v>
      </c>
      <c r="L280" t="s">
        <v>506</v>
      </c>
      <c r="M280" t="s">
        <v>9098</v>
      </c>
      <c r="N280" t="s">
        <v>9206</v>
      </c>
      <c r="O280" t="s">
        <v>9139</v>
      </c>
      <c r="U280" t="str">
        <f>_xlfn.LET(_xlpm.x, _xlfn.XLOOKUP(B280,Sheet3!N:N,Sheet3!C:C,""), IF(_xlpm.x=0,"",_xlpm.x))</f>
        <v>劳动合同</v>
      </c>
      <c r="V280" s="5" t="s">
        <v>4000</v>
      </c>
      <c r="X280" t="s">
        <v>4011</v>
      </c>
    </row>
    <row r="281" spans="1:24" ht="15.6" x14ac:dyDescent="0.25">
      <c r="A281" s="8" t="s">
        <v>1523</v>
      </c>
      <c r="B281" s="8" t="s">
        <v>1529</v>
      </c>
      <c r="C281" s="5" t="s">
        <v>9050</v>
      </c>
      <c r="E281" s="5" t="s">
        <v>243</v>
      </c>
      <c r="F281" s="5" t="s">
        <v>492</v>
      </c>
      <c r="G281" s="5" t="s">
        <v>492</v>
      </c>
      <c r="H281" t="s">
        <v>491</v>
      </c>
      <c r="I281" t="s">
        <v>244</v>
      </c>
      <c r="J281" t="s">
        <v>244</v>
      </c>
      <c r="L281" t="s">
        <v>1526</v>
      </c>
      <c r="M281" t="s">
        <v>905</v>
      </c>
      <c r="N281" t="s">
        <v>9210</v>
      </c>
      <c r="O281" t="s">
        <v>9133</v>
      </c>
      <c r="U281" t="str">
        <f>_xlfn.LET(_xlpm.x, _xlfn.XLOOKUP(B281,Sheet3!N:N,Sheet3!C:C,""), IF(_xlpm.x=0,"",_xlpm.x))</f>
        <v>劳动合同</v>
      </c>
      <c r="V281" s="5" t="s">
        <v>1166</v>
      </c>
      <c r="X281" t="s">
        <v>4011</v>
      </c>
    </row>
    <row r="282" spans="1:24" ht="15.6" x14ac:dyDescent="0.25">
      <c r="A282" s="8" t="s">
        <v>1607</v>
      </c>
      <c r="B282" s="8" t="s">
        <v>1612</v>
      </c>
      <c r="C282" s="5" t="s">
        <v>9051</v>
      </c>
      <c r="E282" s="5" t="s">
        <v>243</v>
      </c>
      <c r="F282" s="5" t="s">
        <v>256</v>
      </c>
      <c r="G282" s="5" t="s">
        <v>256</v>
      </c>
      <c r="H282" t="s">
        <v>255</v>
      </c>
      <c r="I282" t="s">
        <v>244</v>
      </c>
      <c r="J282" t="s">
        <v>244</v>
      </c>
      <c r="L282" t="s">
        <v>240</v>
      </c>
      <c r="M282" t="s">
        <v>9098</v>
      </c>
      <c r="N282" t="s">
        <v>9206</v>
      </c>
      <c r="O282" t="s">
        <v>9139</v>
      </c>
      <c r="U282" t="str">
        <f>_xlfn.LET(_xlpm.x, _xlfn.XLOOKUP(B282,Sheet3!N:N,Sheet3!C:C,""), IF(_xlpm.x=0,"",_xlpm.x))</f>
        <v>劳动合同</v>
      </c>
      <c r="V282" s="5" t="s">
        <v>1615</v>
      </c>
      <c r="X282" t="s">
        <v>4011</v>
      </c>
    </row>
    <row r="283" spans="1:24" ht="15.6" x14ac:dyDescent="0.25">
      <c r="A283" s="8" t="s">
        <v>835</v>
      </c>
      <c r="B283" s="8" t="s">
        <v>846</v>
      </c>
      <c r="C283" s="5" t="s">
        <v>9052</v>
      </c>
      <c r="E283" s="5" t="s">
        <v>243</v>
      </c>
      <c r="F283" s="5" t="s">
        <v>242</v>
      </c>
      <c r="G283" s="5" t="s">
        <v>242</v>
      </c>
      <c r="H283" t="s">
        <v>533</v>
      </c>
      <c r="I283" t="s">
        <v>244</v>
      </c>
      <c r="J283" t="s">
        <v>244</v>
      </c>
      <c r="L283" t="s">
        <v>841</v>
      </c>
      <c r="M283" t="s">
        <v>905</v>
      </c>
      <c r="N283" t="s">
        <v>9210</v>
      </c>
      <c r="O283" t="s">
        <v>9133</v>
      </c>
      <c r="U283" t="str">
        <f>_xlfn.LET(_xlpm.x, _xlfn.XLOOKUP(B283,Sheet3!N:N,Sheet3!C:C,""), IF(_xlpm.x=0,"",_xlpm.x))</f>
        <v>劳动合同</v>
      </c>
      <c r="V283" s="5" t="s">
        <v>834</v>
      </c>
      <c r="X283" t="s">
        <v>4011</v>
      </c>
    </row>
    <row r="284" spans="1:24" ht="15.6" x14ac:dyDescent="0.25">
      <c r="A284" s="8" t="s">
        <v>2750</v>
      </c>
      <c r="B284" s="8" t="s">
        <v>2754</v>
      </c>
      <c r="C284" s="5" t="s">
        <v>9053</v>
      </c>
      <c r="E284" s="5" t="s">
        <v>243</v>
      </c>
      <c r="F284" s="5" t="s">
        <v>256</v>
      </c>
      <c r="G284" s="5" t="s">
        <v>256</v>
      </c>
      <c r="H284" t="s">
        <v>566</v>
      </c>
      <c r="I284" t="s">
        <v>244</v>
      </c>
      <c r="J284" t="s">
        <v>244</v>
      </c>
      <c r="L284" t="s">
        <v>565</v>
      </c>
      <c r="M284" t="s">
        <v>905</v>
      </c>
      <c r="N284" t="s">
        <v>9207</v>
      </c>
      <c r="O284" t="s">
        <v>9153</v>
      </c>
      <c r="U284" t="str">
        <f>_xlfn.LET(_xlpm.x, _xlfn.XLOOKUP(B284,Sheet3!N:N,Sheet3!C:C,""), IF(_xlpm.x=0,"",_xlpm.x))</f>
        <v>劳动合同</v>
      </c>
      <c r="V284" s="5" t="s">
        <v>4000</v>
      </c>
      <c r="X284" t="s">
        <v>3990</v>
      </c>
    </row>
    <row r="285" spans="1:24" ht="15.6" x14ac:dyDescent="0.25">
      <c r="A285" s="8" t="s">
        <v>2936</v>
      </c>
      <c r="B285" s="8" t="s">
        <v>2941</v>
      </c>
      <c r="C285" s="5" t="s">
        <v>9054</v>
      </c>
      <c r="E285" s="5" t="s">
        <v>243</v>
      </c>
      <c r="F285" s="5" t="s">
        <v>492</v>
      </c>
      <c r="G285" s="5" t="s">
        <v>242</v>
      </c>
      <c r="H285" t="s">
        <v>345</v>
      </c>
      <c r="I285" t="s">
        <v>346</v>
      </c>
      <c r="J285" t="s">
        <v>344</v>
      </c>
      <c r="L285" t="s">
        <v>2939</v>
      </c>
      <c r="M285" t="s">
        <v>9101</v>
      </c>
      <c r="N285" t="s">
        <v>9213</v>
      </c>
      <c r="O285" t="s">
        <v>9116</v>
      </c>
      <c r="U285" t="str">
        <f>_xlfn.LET(_xlpm.x, _xlfn.XLOOKUP(B285,Sheet3!N:N,Sheet3!C:C,""), IF(_xlpm.x=0,"",_xlpm.x))</f>
        <v>劳动合同</v>
      </c>
      <c r="V285" s="5" t="s">
        <v>4000</v>
      </c>
      <c r="X285" t="s">
        <v>3990</v>
      </c>
    </row>
    <row r="286" spans="1:24" ht="15.6" x14ac:dyDescent="0.25">
      <c r="A286" s="8" t="s">
        <v>1596</v>
      </c>
      <c r="B286" s="8" t="s">
        <v>1601</v>
      </c>
      <c r="C286" s="5" t="s">
        <v>9055</v>
      </c>
      <c r="E286" s="5" t="s">
        <v>243</v>
      </c>
      <c r="F286" s="5" t="s">
        <v>242</v>
      </c>
      <c r="G286" s="5" t="s">
        <v>242</v>
      </c>
      <c r="H286" t="s">
        <v>459</v>
      </c>
      <c r="I286" t="s">
        <v>244</v>
      </c>
      <c r="J286" t="s">
        <v>244</v>
      </c>
      <c r="L286" t="s">
        <v>458</v>
      </c>
      <c r="M286" t="s">
        <v>9112</v>
      </c>
      <c r="N286" t="s">
        <v>9205</v>
      </c>
      <c r="O286" t="s">
        <v>9197</v>
      </c>
      <c r="U286" t="str">
        <f>_xlfn.LET(_xlpm.x, _xlfn.XLOOKUP(B286,Sheet3!N:N,Sheet3!C:C,""), IF(_xlpm.x=0,"",_xlpm.x))</f>
        <v>劳动合同</v>
      </c>
      <c r="V286" s="5" t="s">
        <v>1281</v>
      </c>
      <c r="X286" t="s">
        <v>4011</v>
      </c>
    </row>
    <row r="287" spans="1:24" ht="15.6" x14ac:dyDescent="0.25">
      <c r="A287" s="8" t="s">
        <v>3536</v>
      </c>
      <c r="B287" s="8" t="s">
        <v>3540</v>
      </c>
      <c r="C287" s="5" t="s">
        <v>9056</v>
      </c>
      <c r="E287" s="5" t="s">
        <v>243</v>
      </c>
      <c r="F287" s="5" t="s">
        <v>492</v>
      </c>
      <c r="G287" s="5" t="s">
        <v>492</v>
      </c>
      <c r="H287" t="s">
        <v>553</v>
      </c>
      <c r="I287" t="s">
        <v>244</v>
      </c>
      <c r="J287" t="s">
        <v>244</v>
      </c>
      <c r="L287" t="s">
        <v>3538</v>
      </c>
      <c r="M287" t="s">
        <v>9101</v>
      </c>
      <c r="N287" t="s">
        <v>9211</v>
      </c>
      <c r="O287" t="s">
        <v>9118</v>
      </c>
      <c r="U287" t="str">
        <f>_xlfn.LET(_xlpm.x, _xlfn.XLOOKUP(B287,Sheet3!N:N,Sheet3!C:C,""), IF(_xlpm.x=0,"",_xlpm.x))</f>
        <v>劳动合同</v>
      </c>
      <c r="V287" s="5" t="s">
        <v>4000</v>
      </c>
      <c r="X287" t="s">
        <v>4011</v>
      </c>
    </row>
    <row r="288" spans="1:24" ht="15.6" x14ac:dyDescent="0.25">
      <c r="A288" s="8" t="s">
        <v>1793</v>
      </c>
      <c r="B288" s="8" t="s">
        <v>1799</v>
      </c>
      <c r="C288" s="5" t="s">
        <v>9057</v>
      </c>
      <c r="E288" s="5" t="s">
        <v>243</v>
      </c>
      <c r="F288" s="5" t="s">
        <v>242</v>
      </c>
      <c r="G288" s="5" t="s">
        <v>242</v>
      </c>
      <c r="H288" t="s">
        <v>241</v>
      </c>
      <c r="I288" t="s">
        <v>244</v>
      </c>
      <c r="J288" t="s">
        <v>244</v>
      </c>
      <c r="L288" t="s">
        <v>1796</v>
      </c>
      <c r="M288" t="s">
        <v>2152</v>
      </c>
      <c r="N288" t="s">
        <v>9209</v>
      </c>
      <c r="O288" t="s">
        <v>9196</v>
      </c>
      <c r="U288" t="str">
        <f>_xlfn.LET(_xlpm.x, _xlfn.XLOOKUP(B288,Sheet3!N:N,Sheet3!C:C,""), IF(_xlpm.x=0,"",_xlpm.x))</f>
        <v>劳动合同</v>
      </c>
      <c r="V288" s="5" t="s">
        <v>1478</v>
      </c>
      <c r="X288" t="s">
        <v>4011</v>
      </c>
    </row>
    <row r="289" spans="1:24" ht="15.6" x14ac:dyDescent="0.25">
      <c r="A289" s="8" t="s">
        <v>1479</v>
      </c>
      <c r="B289" s="8" t="s">
        <v>1485</v>
      </c>
      <c r="C289" s="5" t="s">
        <v>9058</v>
      </c>
      <c r="E289" s="5" t="s">
        <v>243</v>
      </c>
      <c r="F289" s="5" t="s">
        <v>256</v>
      </c>
      <c r="G289" s="5" t="s">
        <v>256</v>
      </c>
      <c r="H289" t="s">
        <v>255</v>
      </c>
      <c r="I289" t="s">
        <v>244</v>
      </c>
      <c r="J289" t="s">
        <v>244</v>
      </c>
      <c r="L289" t="s">
        <v>240</v>
      </c>
      <c r="M289" t="s">
        <v>2152</v>
      </c>
      <c r="N289" t="s">
        <v>9206</v>
      </c>
      <c r="O289" t="s">
        <v>9182</v>
      </c>
      <c r="U289" t="str">
        <f>_xlfn.LET(_xlpm.x, _xlfn.XLOOKUP(B289,Sheet3!N:N,Sheet3!C:C,""), IF(_xlpm.x=0,"",_xlpm.x))</f>
        <v>劳动合同</v>
      </c>
      <c r="V289" s="5" t="s">
        <v>663</v>
      </c>
      <c r="X289" t="s">
        <v>4011</v>
      </c>
    </row>
    <row r="290" spans="1:24" ht="15.6" x14ac:dyDescent="0.25">
      <c r="A290" s="8" t="s">
        <v>1337</v>
      </c>
      <c r="B290" s="8" t="s">
        <v>1341</v>
      </c>
      <c r="C290" s="5" t="s">
        <v>9059</v>
      </c>
      <c r="E290" s="5" t="s">
        <v>243</v>
      </c>
      <c r="F290" s="5" t="s">
        <v>492</v>
      </c>
      <c r="G290" s="5" t="s">
        <v>9130</v>
      </c>
      <c r="H290" t="s">
        <v>10026</v>
      </c>
      <c r="J290" t="s">
        <v>244</v>
      </c>
      <c r="K290" t="s">
        <v>552</v>
      </c>
      <c r="L290" t="s">
        <v>733</v>
      </c>
      <c r="M290" t="s">
        <v>905</v>
      </c>
      <c r="N290" t="s">
        <v>9207</v>
      </c>
      <c r="O290" t="s">
        <v>9153</v>
      </c>
      <c r="U290" t="str">
        <f>_xlfn.LET(_xlpm.x, _xlfn.XLOOKUP(B290,Sheet3!N:N,Sheet3!C:C,""), IF(_xlpm.x=0,"",_xlpm.x))</f>
        <v>劳动合同</v>
      </c>
      <c r="V290" s="5" t="s">
        <v>1229</v>
      </c>
      <c r="X290" t="s">
        <v>4011</v>
      </c>
    </row>
    <row r="291" spans="1:24" ht="15.6" x14ac:dyDescent="0.25">
      <c r="A291" s="8" t="s">
        <v>1194</v>
      </c>
      <c r="B291" s="8" t="s">
        <v>1198</v>
      </c>
      <c r="C291" s="5" t="s">
        <v>9060</v>
      </c>
      <c r="E291" s="5" t="s">
        <v>243</v>
      </c>
      <c r="F291" s="5" t="s">
        <v>242</v>
      </c>
      <c r="G291" s="5" t="s">
        <v>242</v>
      </c>
      <c r="H291" t="s">
        <v>533</v>
      </c>
      <c r="I291" t="s">
        <v>244</v>
      </c>
      <c r="J291" t="s">
        <v>244</v>
      </c>
      <c r="L291" t="s">
        <v>477</v>
      </c>
      <c r="M291" t="s">
        <v>9101</v>
      </c>
      <c r="N291" t="s">
        <v>9220</v>
      </c>
      <c r="O291" t="s">
        <v>9191</v>
      </c>
      <c r="U291" t="str">
        <f>_xlfn.LET(_xlpm.x, _xlfn.XLOOKUP(B291,Sheet3!N:N,Sheet3!C:C,""), IF(_xlpm.x=0,"",_xlpm.x))</f>
        <v>劳动合同</v>
      </c>
      <c r="V291" s="5" t="s">
        <v>1204</v>
      </c>
      <c r="X291" t="s">
        <v>4011</v>
      </c>
    </row>
    <row r="292" spans="1:24" ht="15.6" x14ac:dyDescent="0.25">
      <c r="A292" s="8" t="s">
        <v>994</v>
      </c>
      <c r="B292" s="8" t="s">
        <v>1002</v>
      </c>
      <c r="C292" s="5" t="s">
        <v>9061</v>
      </c>
      <c r="E292" s="5" t="s">
        <v>243</v>
      </c>
      <c r="F292" s="5" t="s">
        <v>242</v>
      </c>
      <c r="G292" s="5" t="s">
        <v>242</v>
      </c>
      <c r="H292" t="s">
        <v>376</v>
      </c>
      <c r="I292" t="s">
        <v>244</v>
      </c>
      <c r="J292" t="s">
        <v>244</v>
      </c>
      <c r="L292" t="s">
        <v>997</v>
      </c>
      <c r="M292" t="s">
        <v>905</v>
      </c>
      <c r="N292" t="s">
        <v>9212</v>
      </c>
      <c r="O292" t="s">
        <v>9174</v>
      </c>
      <c r="U292" t="str">
        <f>_xlfn.LET(_xlpm.x, _xlfn.XLOOKUP(B292,Sheet3!N:N,Sheet3!C:C,""), IF(_xlpm.x=0,"",_xlpm.x))</f>
        <v>劳动合同</v>
      </c>
      <c r="V292" s="5" t="s">
        <v>1009</v>
      </c>
      <c r="X292" t="s">
        <v>4011</v>
      </c>
    </row>
    <row r="293" spans="1:24" ht="15.6" x14ac:dyDescent="0.25">
      <c r="A293" s="8" t="s">
        <v>607</v>
      </c>
      <c r="B293" s="8" t="s">
        <v>611</v>
      </c>
      <c r="C293" s="5" t="s">
        <v>9062</v>
      </c>
      <c r="E293" s="5" t="s">
        <v>243</v>
      </c>
      <c r="F293" s="5" t="s">
        <v>256</v>
      </c>
      <c r="G293" s="5" t="s">
        <v>256</v>
      </c>
      <c r="H293" t="s">
        <v>566</v>
      </c>
      <c r="I293" t="s">
        <v>244</v>
      </c>
      <c r="J293" t="s">
        <v>244</v>
      </c>
      <c r="L293" t="s">
        <v>565</v>
      </c>
      <c r="M293" t="s">
        <v>257</v>
      </c>
      <c r="N293" t="s">
        <v>9207</v>
      </c>
      <c r="O293" t="s">
        <v>9132</v>
      </c>
      <c r="U293" t="str">
        <f>_xlfn.LET(_xlpm.x, _xlfn.XLOOKUP(B293,Sheet3!N:N,Sheet3!C:C,""), IF(_xlpm.x=0,"",_xlpm.x))</f>
        <v>劳动合同</v>
      </c>
      <c r="V293" s="5" t="s">
        <v>561</v>
      </c>
      <c r="X293" t="s">
        <v>4011</v>
      </c>
    </row>
    <row r="294" spans="1:24" ht="15.6" x14ac:dyDescent="0.25">
      <c r="A294" s="8" t="s">
        <v>2117</v>
      </c>
      <c r="B294" s="8" t="s">
        <v>2121</v>
      </c>
      <c r="C294" s="5" t="s">
        <v>9063</v>
      </c>
      <c r="E294" s="5" t="s">
        <v>243</v>
      </c>
      <c r="F294" s="5" t="s">
        <v>492</v>
      </c>
      <c r="G294" s="5" t="s">
        <v>492</v>
      </c>
      <c r="H294" t="s">
        <v>861</v>
      </c>
      <c r="I294" t="s">
        <v>244</v>
      </c>
      <c r="J294" t="s">
        <v>244</v>
      </c>
      <c r="L294" t="s">
        <v>1097</v>
      </c>
      <c r="M294" t="s">
        <v>905</v>
      </c>
      <c r="N294" t="s">
        <v>9210</v>
      </c>
      <c r="O294" t="s">
        <v>9133</v>
      </c>
      <c r="U294" t="str">
        <f>_xlfn.LET(_xlpm.x, _xlfn.XLOOKUP(B294,Sheet3!N:N,Sheet3!C:C,""), IF(_xlpm.x=0,"",_xlpm.x))</f>
        <v>劳动合同</v>
      </c>
      <c r="V294" s="5" t="s">
        <v>1166</v>
      </c>
      <c r="X294" t="s">
        <v>4011</v>
      </c>
    </row>
    <row r="295" spans="1:24" ht="15.6" x14ac:dyDescent="0.25">
      <c r="A295" s="8" t="s">
        <v>2447</v>
      </c>
      <c r="B295" s="8" t="s">
        <v>2452</v>
      </c>
      <c r="C295" s="5" t="s">
        <v>9064</v>
      </c>
      <c r="E295" s="5" t="s">
        <v>243</v>
      </c>
      <c r="F295" s="5" t="s">
        <v>242</v>
      </c>
      <c r="G295" s="5" t="s">
        <v>242</v>
      </c>
      <c r="H295" t="s">
        <v>459</v>
      </c>
      <c r="I295" t="s">
        <v>878</v>
      </c>
      <c r="J295" t="s">
        <v>244</v>
      </c>
      <c r="L295" t="s">
        <v>2450</v>
      </c>
      <c r="M295" t="s">
        <v>2152</v>
      </c>
      <c r="N295" t="s">
        <v>9211</v>
      </c>
      <c r="O295" t="s">
        <v>9103</v>
      </c>
      <c r="U295" t="str">
        <f>_xlfn.LET(_xlpm.x, _xlfn.XLOOKUP(B295,Sheet3!N:N,Sheet3!C:C,""), IF(_xlpm.x=0,"",_xlpm.x))</f>
        <v>劳动合同</v>
      </c>
      <c r="V295" s="5" t="s">
        <v>4000</v>
      </c>
      <c r="X295" t="s">
        <v>4011</v>
      </c>
    </row>
    <row r="296" spans="1:24" ht="15.6" x14ac:dyDescent="0.25">
      <c r="A296" s="8" t="s">
        <v>1127</v>
      </c>
      <c r="B296" s="8" t="s">
        <v>1135</v>
      </c>
      <c r="C296" s="5" t="s">
        <v>9065</v>
      </c>
      <c r="E296" s="5" t="s">
        <v>243</v>
      </c>
      <c r="F296" s="5" t="s">
        <v>256</v>
      </c>
      <c r="G296" s="5" t="s">
        <v>256</v>
      </c>
      <c r="H296" t="s">
        <v>255</v>
      </c>
      <c r="I296" t="s">
        <v>244</v>
      </c>
      <c r="J296" t="s">
        <v>244</v>
      </c>
      <c r="L296" t="s">
        <v>240</v>
      </c>
      <c r="M296" t="s">
        <v>58</v>
      </c>
      <c r="N296" t="s">
        <v>9206</v>
      </c>
      <c r="O296" t="s">
        <v>9128</v>
      </c>
      <c r="U296" t="str">
        <f>_xlfn.LET(_xlpm.x, _xlfn.XLOOKUP(B296,Sheet3!N:N,Sheet3!C:C,""), IF(_xlpm.x=0,"",_xlpm.x))</f>
        <v>劳动合同</v>
      </c>
      <c r="V296" s="5" t="s">
        <v>1126</v>
      </c>
      <c r="X296" t="s">
        <v>4011</v>
      </c>
    </row>
    <row r="297" spans="1:24" ht="15.6" x14ac:dyDescent="0.25">
      <c r="A297" s="8" t="s">
        <v>2734</v>
      </c>
      <c r="B297" s="8" t="s">
        <v>2738</v>
      </c>
      <c r="C297" s="5" t="s">
        <v>9066</v>
      </c>
      <c r="E297" s="5" t="s">
        <v>243</v>
      </c>
      <c r="F297" s="5" t="s">
        <v>242</v>
      </c>
      <c r="G297" s="5" t="s">
        <v>242</v>
      </c>
      <c r="H297" t="s">
        <v>1380</v>
      </c>
      <c r="I297" t="s">
        <v>244</v>
      </c>
      <c r="J297" t="s">
        <v>244</v>
      </c>
      <c r="L297" t="s">
        <v>2672</v>
      </c>
      <c r="M297" t="s">
        <v>9101</v>
      </c>
      <c r="N297" t="s">
        <v>9217</v>
      </c>
      <c r="O297" t="s">
        <v>9156</v>
      </c>
      <c r="U297" t="str">
        <f>_xlfn.LET(_xlpm.x, _xlfn.XLOOKUP(B297,Sheet3!N:N,Sheet3!C:C,""), IF(_xlpm.x=0,"",_xlpm.x))</f>
        <v>劳动合同</v>
      </c>
      <c r="V297" s="5" t="s">
        <v>4000</v>
      </c>
      <c r="X297" t="s">
        <v>3990</v>
      </c>
    </row>
    <row r="298" spans="1:24" ht="15.6" x14ac:dyDescent="0.25">
      <c r="A298" s="8" t="s">
        <v>3482</v>
      </c>
      <c r="B298" s="8" t="s">
        <v>3485</v>
      </c>
      <c r="C298" s="5" t="s">
        <v>9067</v>
      </c>
      <c r="E298" s="5" t="s">
        <v>243</v>
      </c>
      <c r="F298" s="5" t="s">
        <v>242</v>
      </c>
      <c r="G298" s="5" t="s">
        <v>242</v>
      </c>
      <c r="H298" t="s">
        <v>420</v>
      </c>
      <c r="I298" t="s">
        <v>244</v>
      </c>
      <c r="J298" t="s">
        <v>244</v>
      </c>
      <c r="L298" t="s">
        <v>419</v>
      </c>
      <c r="M298" t="s">
        <v>9101</v>
      </c>
      <c r="N298" t="s">
        <v>9210</v>
      </c>
      <c r="O298" t="s">
        <v>9122</v>
      </c>
      <c r="U298" t="str">
        <f>_xlfn.LET(_xlpm.x, _xlfn.XLOOKUP(B298,Sheet3!N:N,Sheet3!C:C,""), IF(_xlpm.x=0,"",_xlpm.x))</f>
        <v>劳动合同</v>
      </c>
      <c r="V298" s="5" t="s">
        <v>4000</v>
      </c>
      <c r="X298" t="s">
        <v>4011</v>
      </c>
    </row>
    <row r="299" spans="1:24" ht="15.6" x14ac:dyDescent="0.25">
      <c r="A299" s="8" t="s">
        <v>1919</v>
      </c>
      <c r="B299" s="8" t="s">
        <v>1922</v>
      </c>
      <c r="C299" s="5" t="s">
        <v>9068</v>
      </c>
      <c r="E299" s="5" t="s">
        <v>243</v>
      </c>
      <c r="F299" s="5" t="s">
        <v>492</v>
      </c>
      <c r="G299" s="5" t="s">
        <v>492</v>
      </c>
      <c r="H299" t="s">
        <v>491</v>
      </c>
      <c r="I299" t="s">
        <v>244</v>
      </c>
      <c r="J299" t="s">
        <v>244</v>
      </c>
      <c r="L299" t="s">
        <v>240</v>
      </c>
      <c r="M299" t="s">
        <v>9104</v>
      </c>
      <c r="N299" t="s">
        <v>9206</v>
      </c>
      <c r="O299" t="s">
        <v>9148</v>
      </c>
      <c r="U299" t="str">
        <f>_xlfn.LET(_xlpm.x, _xlfn.XLOOKUP(B299,Sheet3!N:N,Sheet3!C:C,""), IF(_xlpm.x=0,"",_xlpm.x))</f>
        <v>劳动合同</v>
      </c>
      <c r="V299" s="5" t="s">
        <v>1166</v>
      </c>
      <c r="X299" t="s">
        <v>4011</v>
      </c>
    </row>
    <row r="300" spans="1:24" ht="15.6" x14ac:dyDescent="0.25">
      <c r="A300" s="8" t="s">
        <v>432</v>
      </c>
      <c r="B300" s="8" t="s">
        <v>444</v>
      </c>
      <c r="C300" s="5" t="s">
        <v>9069</v>
      </c>
      <c r="E300" s="5" t="s">
        <v>243</v>
      </c>
      <c r="F300" s="5" t="s">
        <v>242</v>
      </c>
      <c r="G300" s="5" t="s">
        <v>242</v>
      </c>
      <c r="H300" t="s">
        <v>420</v>
      </c>
      <c r="I300" t="s">
        <v>244</v>
      </c>
      <c r="J300" t="s">
        <v>244</v>
      </c>
      <c r="L300" t="s">
        <v>419</v>
      </c>
      <c r="M300" t="s">
        <v>2152</v>
      </c>
      <c r="N300" t="s">
        <v>9210</v>
      </c>
      <c r="O300" t="s">
        <v>9143</v>
      </c>
      <c r="U300" t="str">
        <f>_xlfn.LET(_xlpm.x, _xlfn.XLOOKUP(B300,Sheet3!N:N,Sheet3!C:C,""), IF(_xlpm.x=0,"",_xlpm.x))</f>
        <v>劳动合同</v>
      </c>
      <c r="V300" s="5" t="s">
        <v>453</v>
      </c>
      <c r="X300" t="s">
        <v>4011</v>
      </c>
    </row>
    <row r="301" spans="1:24" ht="15.6" x14ac:dyDescent="0.25">
      <c r="A301" s="8" t="s">
        <v>1272</v>
      </c>
      <c r="B301" s="8" t="s">
        <v>1276</v>
      </c>
      <c r="C301" s="5" t="s">
        <v>9070</v>
      </c>
      <c r="E301" s="5" t="s">
        <v>243</v>
      </c>
      <c r="F301" s="5" t="s">
        <v>256</v>
      </c>
      <c r="G301" s="5" t="s">
        <v>256</v>
      </c>
      <c r="H301" t="s">
        <v>255</v>
      </c>
      <c r="I301" t="s">
        <v>244</v>
      </c>
      <c r="J301" t="s">
        <v>244</v>
      </c>
      <c r="L301" t="s">
        <v>240</v>
      </c>
      <c r="M301" t="s">
        <v>58</v>
      </c>
      <c r="N301" t="s">
        <v>9206</v>
      </c>
      <c r="O301" t="s">
        <v>9128</v>
      </c>
      <c r="U301" t="str">
        <f>_xlfn.LET(_xlpm.x, _xlfn.XLOOKUP(B301,Sheet3!N:N,Sheet3!C:C,""), IF(_xlpm.x=0,"",_xlpm.x))</f>
        <v>劳动合同</v>
      </c>
      <c r="V301" s="5" t="s">
        <v>1281</v>
      </c>
      <c r="X301" t="s">
        <v>4011</v>
      </c>
    </row>
    <row r="302" spans="1:24" ht="15.6" x14ac:dyDescent="0.25">
      <c r="A302" s="8" t="s">
        <v>1736</v>
      </c>
      <c r="B302" s="8" t="s">
        <v>1742</v>
      </c>
      <c r="C302" s="5" t="s">
        <v>9071</v>
      </c>
      <c r="E302" s="5" t="s">
        <v>243</v>
      </c>
      <c r="F302" s="5" t="s">
        <v>492</v>
      </c>
      <c r="G302" s="5" t="s">
        <v>242</v>
      </c>
      <c r="H302" t="s">
        <v>345</v>
      </c>
      <c r="I302" t="s">
        <v>346</v>
      </c>
      <c r="J302" t="s">
        <v>1740</v>
      </c>
      <c r="L302" t="s">
        <v>1739</v>
      </c>
      <c r="M302" t="s">
        <v>905</v>
      </c>
      <c r="N302" t="s">
        <v>9213</v>
      </c>
      <c r="O302" t="s">
        <v>9194</v>
      </c>
      <c r="U302" t="str">
        <f>_xlfn.LET(_xlpm.x, _xlfn.XLOOKUP(B302,Sheet3!N:N,Sheet3!C:C,""), IF(_xlpm.x=0,"",_xlpm.x))</f>
        <v>劳动合同</v>
      </c>
      <c r="V302" s="5" t="s">
        <v>663</v>
      </c>
      <c r="X302" t="s">
        <v>3990</v>
      </c>
    </row>
    <row r="303" spans="1:24" ht="15.6" x14ac:dyDescent="0.25">
      <c r="A303" s="8" t="s">
        <v>3335</v>
      </c>
      <c r="B303" s="8" t="s">
        <v>3340</v>
      </c>
      <c r="C303" s="5" t="s">
        <v>9072</v>
      </c>
      <c r="E303" s="5" t="s">
        <v>243</v>
      </c>
      <c r="F303" s="5" t="s">
        <v>242</v>
      </c>
      <c r="G303" s="5" t="s">
        <v>242</v>
      </c>
      <c r="H303" t="s">
        <v>241</v>
      </c>
      <c r="I303" t="s">
        <v>244</v>
      </c>
      <c r="J303" t="s">
        <v>244</v>
      </c>
      <c r="L303" t="s">
        <v>3338</v>
      </c>
      <c r="M303" t="s">
        <v>9112</v>
      </c>
      <c r="N303" t="s">
        <v>9208</v>
      </c>
      <c r="O303" t="s">
        <v>9124</v>
      </c>
      <c r="U303" t="str">
        <f>_xlfn.LET(_xlpm.x, _xlfn.XLOOKUP(B303,Sheet3!N:N,Sheet3!C:C,""), IF(_xlpm.x=0,"",_xlpm.x))</f>
        <v>劳动合同</v>
      </c>
      <c r="V303" s="5" t="s">
        <v>4000</v>
      </c>
      <c r="X303" t="s">
        <v>4011</v>
      </c>
    </row>
    <row r="304" spans="1:24" ht="15.6" x14ac:dyDescent="0.25">
      <c r="A304" s="8" t="s">
        <v>2536</v>
      </c>
      <c r="B304" s="8" t="s">
        <v>2541</v>
      </c>
      <c r="C304" s="5" t="s">
        <v>9073</v>
      </c>
      <c r="E304" s="5" t="s">
        <v>243</v>
      </c>
      <c r="F304" s="5" t="s">
        <v>492</v>
      </c>
      <c r="G304" s="5" t="s">
        <v>492</v>
      </c>
      <c r="H304" t="s">
        <v>491</v>
      </c>
      <c r="I304" t="s">
        <v>244</v>
      </c>
      <c r="J304" t="s">
        <v>244</v>
      </c>
      <c r="L304" t="s">
        <v>1526</v>
      </c>
      <c r="M304" t="s">
        <v>905</v>
      </c>
      <c r="N304" t="s">
        <v>9210</v>
      </c>
      <c r="O304" t="s">
        <v>9133</v>
      </c>
      <c r="U304" t="str">
        <f>_xlfn.LET(_xlpm.x, _xlfn.XLOOKUP(B304,Sheet3!N:N,Sheet3!C:C,""), IF(_xlpm.x=0,"",_xlpm.x))</f>
        <v>劳动合同</v>
      </c>
      <c r="V304" s="5" t="s">
        <v>4000</v>
      </c>
      <c r="X304" t="s">
        <v>4011</v>
      </c>
    </row>
    <row r="305" spans="1:24" ht="15.6" x14ac:dyDescent="0.25">
      <c r="A305" s="8" t="s">
        <v>2431</v>
      </c>
      <c r="B305" s="8" t="s">
        <v>2436</v>
      </c>
      <c r="C305" s="5" t="s">
        <v>9074</v>
      </c>
      <c r="E305" s="5" t="s">
        <v>243</v>
      </c>
      <c r="F305" s="5" t="s">
        <v>492</v>
      </c>
      <c r="G305" s="5" t="s">
        <v>492</v>
      </c>
      <c r="H305" t="s">
        <v>491</v>
      </c>
      <c r="I305" t="s">
        <v>244</v>
      </c>
      <c r="J305" t="s">
        <v>244</v>
      </c>
      <c r="L305" t="s">
        <v>2434</v>
      </c>
      <c r="M305" t="s">
        <v>9098</v>
      </c>
      <c r="N305" t="s">
        <v>9211</v>
      </c>
      <c r="O305" t="s">
        <v>9135</v>
      </c>
      <c r="U305" t="str">
        <f>_xlfn.LET(_xlpm.x, _xlfn.XLOOKUP(B305,Sheet3!N:N,Sheet3!C:C,""), IF(_xlpm.x=0,"",_xlpm.x))</f>
        <v>劳动合同</v>
      </c>
      <c r="V305" s="5" t="s">
        <v>1090</v>
      </c>
      <c r="X305" t="s">
        <v>4011</v>
      </c>
    </row>
    <row r="306" spans="1:24" ht="15.6" x14ac:dyDescent="0.25">
      <c r="A306" s="8" t="s">
        <v>940</v>
      </c>
      <c r="B306" s="8" t="s">
        <v>943</v>
      </c>
      <c r="C306" s="5" t="s">
        <v>9075</v>
      </c>
      <c r="E306" s="5" t="s">
        <v>243</v>
      </c>
      <c r="F306" s="5" t="s">
        <v>492</v>
      </c>
      <c r="G306" s="5" t="s">
        <v>242</v>
      </c>
      <c r="H306" t="s">
        <v>345</v>
      </c>
      <c r="I306" t="s">
        <v>346</v>
      </c>
      <c r="J306" t="s">
        <v>344</v>
      </c>
      <c r="L306" t="s">
        <v>574</v>
      </c>
      <c r="M306" t="s">
        <v>9108</v>
      </c>
      <c r="N306" t="s">
        <v>9215</v>
      </c>
      <c r="O306" t="s">
        <v>9165</v>
      </c>
      <c r="U306" t="str">
        <f>_xlfn.LET(_xlpm.x, _xlfn.XLOOKUP(B306,Sheet3!N:N,Sheet3!C:C,""), IF(_xlpm.x=0,"",_xlpm.x))</f>
        <v>劳动合同</v>
      </c>
      <c r="V306" s="5" t="s">
        <v>561</v>
      </c>
      <c r="X306" t="s">
        <v>3990</v>
      </c>
    </row>
    <row r="307" spans="1:24" ht="15.6" x14ac:dyDescent="0.25">
      <c r="A307" s="8" t="s">
        <v>1545</v>
      </c>
      <c r="B307" s="8" t="s">
        <v>1551</v>
      </c>
      <c r="C307" s="5" t="s">
        <v>9076</v>
      </c>
      <c r="E307" s="5" t="s">
        <v>243</v>
      </c>
      <c r="F307" s="5" t="s">
        <v>242</v>
      </c>
      <c r="G307" s="5" t="s">
        <v>242</v>
      </c>
      <c r="H307" t="s">
        <v>533</v>
      </c>
      <c r="I307" t="s">
        <v>244</v>
      </c>
      <c r="J307" t="s">
        <v>244</v>
      </c>
      <c r="L307" t="s">
        <v>1548</v>
      </c>
      <c r="M307" t="s">
        <v>9108</v>
      </c>
      <c r="N307" t="s">
        <v>9208</v>
      </c>
      <c r="O307" t="s">
        <v>9198</v>
      </c>
      <c r="U307" t="str">
        <f>_xlfn.LET(_xlpm.x, _xlfn.XLOOKUP(B307,Sheet3!N:N,Sheet3!C:C,""), IF(_xlpm.x=0,"",_xlpm.x))</f>
        <v>劳动合同</v>
      </c>
      <c r="V307" s="5" t="s">
        <v>4000</v>
      </c>
      <c r="X307" t="s">
        <v>4011</v>
      </c>
    </row>
    <row r="308" spans="1:24" ht="15.6" x14ac:dyDescent="0.25">
      <c r="A308" s="8" t="s">
        <v>584</v>
      </c>
      <c r="B308" s="8" t="s">
        <v>587</v>
      </c>
      <c r="C308" s="5" t="s">
        <v>9077</v>
      </c>
      <c r="E308" s="5" t="s">
        <v>243</v>
      </c>
      <c r="F308" s="5" t="s">
        <v>492</v>
      </c>
      <c r="G308" s="5" t="s">
        <v>9130</v>
      </c>
      <c r="H308" t="s">
        <v>553</v>
      </c>
      <c r="J308" t="s">
        <v>244</v>
      </c>
      <c r="K308" t="s">
        <v>552</v>
      </c>
      <c r="L308" t="s">
        <v>551</v>
      </c>
      <c r="M308" t="s">
        <v>63</v>
      </c>
      <c r="N308" t="s">
        <v>9207</v>
      </c>
      <c r="O308" t="s">
        <v>9131</v>
      </c>
      <c r="U308" t="str">
        <f>_xlfn.LET(_xlpm.x, _xlfn.XLOOKUP(B308,Sheet3!N:N,Sheet3!C:C,""), IF(_xlpm.x=0,"",_xlpm.x))</f>
        <v>劳动合同</v>
      </c>
      <c r="V308" s="5" t="s">
        <v>561</v>
      </c>
      <c r="X308" t="s">
        <v>4011</v>
      </c>
    </row>
    <row r="309" spans="1:24" ht="15.6" x14ac:dyDescent="0.25">
      <c r="A309" s="8" t="s">
        <v>3035</v>
      </c>
      <c r="B309" s="8" t="s">
        <v>3041</v>
      </c>
      <c r="C309" s="5" t="s">
        <v>9078</v>
      </c>
      <c r="E309" s="5" t="s">
        <v>243</v>
      </c>
      <c r="F309" s="5" t="s">
        <v>242</v>
      </c>
      <c r="G309" s="5" t="s">
        <v>242</v>
      </c>
      <c r="H309" t="s">
        <v>376</v>
      </c>
      <c r="I309" t="s">
        <v>244</v>
      </c>
      <c r="J309" t="s">
        <v>244</v>
      </c>
      <c r="L309" t="s">
        <v>3038</v>
      </c>
      <c r="M309" t="s">
        <v>9104</v>
      </c>
      <c r="N309" t="s">
        <v>9208</v>
      </c>
      <c r="O309" t="s">
        <v>9125</v>
      </c>
      <c r="U309" t="str">
        <f>_xlfn.LET(_xlpm.x, _xlfn.XLOOKUP(B309,Sheet3!N:N,Sheet3!C:C,""), IF(_xlpm.x=0,"",_xlpm.x))</f>
        <v>劳动合同</v>
      </c>
      <c r="V309" s="5" t="s">
        <v>4000</v>
      </c>
      <c r="X309" t="s">
        <v>4011</v>
      </c>
    </row>
    <row r="310" spans="1:24" ht="15.6" x14ac:dyDescent="0.25">
      <c r="A310" s="8" t="s">
        <v>2278</v>
      </c>
      <c r="B310" s="8" t="s">
        <v>2284</v>
      </c>
      <c r="C310" s="5" t="s">
        <v>9079</v>
      </c>
      <c r="E310" s="5" t="s">
        <v>243</v>
      </c>
      <c r="F310" s="5" t="s">
        <v>242</v>
      </c>
      <c r="G310" s="5" t="s">
        <v>242</v>
      </c>
      <c r="H310" t="s">
        <v>533</v>
      </c>
      <c r="I310" t="s">
        <v>244</v>
      </c>
      <c r="J310" t="s">
        <v>244</v>
      </c>
      <c r="L310" t="s">
        <v>477</v>
      </c>
      <c r="M310" t="s">
        <v>9106</v>
      </c>
      <c r="N310" t="s">
        <v>9220</v>
      </c>
      <c r="O310" t="s">
        <v>9151</v>
      </c>
      <c r="U310" t="str">
        <f>_xlfn.LET(_xlpm.x, _xlfn.XLOOKUP(B310,Sheet3!N:N,Sheet3!C:C,""), IF(_xlpm.x=0,"",_xlpm.x))</f>
        <v>劳动合同</v>
      </c>
      <c r="V310" s="5" t="s">
        <v>4000</v>
      </c>
      <c r="X310" t="s">
        <v>4011</v>
      </c>
    </row>
    <row r="311" spans="1:24" ht="15.6" x14ac:dyDescent="0.25">
      <c r="A311" s="8" t="s">
        <v>2669</v>
      </c>
      <c r="B311" s="8" t="s">
        <v>2674</v>
      </c>
      <c r="C311" s="5" t="s">
        <v>9080</v>
      </c>
      <c r="E311" s="5" t="s">
        <v>243</v>
      </c>
      <c r="F311" s="5" t="s">
        <v>492</v>
      </c>
      <c r="G311" s="5" t="s">
        <v>492</v>
      </c>
      <c r="H311" t="s">
        <v>878</v>
      </c>
      <c r="I311" t="s">
        <v>244</v>
      </c>
      <c r="J311" t="s">
        <v>244</v>
      </c>
      <c r="L311" t="s">
        <v>2672</v>
      </c>
      <c r="M311" t="s">
        <v>2152</v>
      </c>
      <c r="N311" t="s">
        <v>9217</v>
      </c>
      <c r="O311" t="s">
        <v>9155</v>
      </c>
      <c r="U311" t="str">
        <f>_xlfn.LET(_xlpm.x, _xlfn.XLOOKUP(B311,Sheet3!N:N,Sheet3!C:C,""), IF(_xlpm.x=0,"",_xlpm.x))</f>
        <v>劳动合同</v>
      </c>
      <c r="V311" s="5" t="s">
        <v>4000</v>
      </c>
      <c r="X311" t="s">
        <v>4011</v>
      </c>
    </row>
    <row r="312" spans="1:24" ht="15.6" x14ac:dyDescent="0.25">
      <c r="A312" s="8" t="s">
        <v>777</v>
      </c>
      <c r="B312" s="8" t="s">
        <v>784</v>
      </c>
      <c r="C312" s="5" t="s">
        <v>9081</v>
      </c>
      <c r="E312" s="5" t="s">
        <v>243</v>
      </c>
      <c r="F312" s="5" t="s">
        <v>256</v>
      </c>
      <c r="G312" s="5" t="s">
        <v>256</v>
      </c>
      <c r="H312" t="s">
        <v>635</v>
      </c>
      <c r="I312" t="s">
        <v>244</v>
      </c>
      <c r="J312" t="s">
        <v>244</v>
      </c>
      <c r="L312" t="s">
        <v>634</v>
      </c>
      <c r="M312" t="s">
        <v>63</v>
      </c>
      <c r="N312" t="s">
        <v>9206</v>
      </c>
      <c r="O312" t="s">
        <v>9203</v>
      </c>
      <c r="U312" t="str">
        <f>_xlfn.LET(_xlpm.x, _xlfn.XLOOKUP(B312,Sheet3!N:N,Sheet3!C:C,""), IF(_xlpm.x=0,"",_xlpm.x))</f>
        <v>劳动合同</v>
      </c>
      <c r="V312" s="5" t="s">
        <v>792</v>
      </c>
      <c r="X312" t="s">
        <v>4011</v>
      </c>
    </row>
    <row r="313" spans="1:24" ht="15.6" x14ac:dyDescent="0.25">
      <c r="A313" s="8" t="s">
        <v>793</v>
      </c>
      <c r="B313" s="8" t="s">
        <v>800</v>
      </c>
      <c r="C313" s="5" t="s">
        <v>9082</v>
      </c>
      <c r="E313" s="5" t="s">
        <v>243</v>
      </c>
      <c r="F313" s="5" t="s">
        <v>242</v>
      </c>
      <c r="G313" s="5" t="s">
        <v>242</v>
      </c>
      <c r="H313" t="s">
        <v>241</v>
      </c>
      <c r="I313" t="s">
        <v>244</v>
      </c>
      <c r="J313" t="s">
        <v>244</v>
      </c>
      <c r="L313" t="s">
        <v>506</v>
      </c>
      <c r="M313" t="s">
        <v>58</v>
      </c>
      <c r="N313" t="s">
        <v>9206</v>
      </c>
      <c r="O313" t="s">
        <v>9128</v>
      </c>
      <c r="U313" t="str">
        <f>_xlfn.LET(_xlpm.x, _xlfn.XLOOKUP(B313,Sheet3!N:N,Sheet3!C:C,""), IF(_xlpm.x=0,"",_xlpm.x))</f>
        <v>劳动合同</v>
      </c>
      <c r="V313" s="5" t="s">
        <v>806</v>
      </c>
      <c r="X313" t="s">
        <v>4011</v>
      </c>
    </row>
    <row r="314" spans="1:24" ht="15.6" x14ac:dyDescent="0.25">
      <c r="A314" s="8" t="s">
        <v>3326</v>
      </c>
      <c r="B314" s="8" t="s">
        <v>3331</v>
      </c>
      <c r="C314" s="5" t="s">
        <v>9083</v>
      </c>
      <c r="E314" s="5" t="s">
        <v>243</v>
      </c>
      <c r="F314" s="5" t="s">
        <v>242</v>
      </c>
      <c r="G314" s="5" t="s">
        <v>242</v>
      </c>
      <c r="H314" t="s">
        <v>420</v>
      </c>
      <c r="I314" t="s">
        <v>244</v>
      </c>
      <c r="J314" t="s">
        <v>244</v>
      </c>
      <c r="L314" t="s">
        <v>3329</v>
      </c>
      <c r="M314" t="s">
        <v>2152</v>
      </c>
      <c r="N314" t="s">
        <v>9217</v>
      </c>
      <c r="O314" t="s">
        <v>9155</v>
      </c>
      <c r="U314" t="str">
        <f>_xlfn.LET(_xlpm.x, _xlfn.XLOOKUP(B314,Sheet3!N:N,Sheet3!C:C,""), IF(_xlpm.x=0,"",_xlpm.x))</f>
        <v>劳动合同</v>
      </c>
      <c r="V314" s="5" t="s">
        <v>4000</v>
      </c>
      <c r="X314" t="s">
        <v>3990</v>
      </c>
    </row>
    <row r="315" spans="1:24" ht="15.6" x14ac:dyDescent="0.25">
      <c r="A315" s="8" t="s">
        <v>1323</v>
      </c>
      <c r="B315" s="8" t="s">
        <v>1330</v>
      </c>
      <c r="C315" s="5" t="s">
        <v>9084</v>
      </c>
      <c r="E315" s="5" t="s">
        <v>243</v>
      </c>
      <c r="F315" s="5" t="s">
        <v>492</v>
      </c>
      <c r="G315" s="5" t="s">
        <v>492</v>
      </c>
      <c r="H315" t="s">
        <v>553</v>
      </c>
      <c r="I315" t="s">
        <v>244</v>
      </c>
      <c r="J315" t="s">
        <v>244</v>
      </c>
      <c r="L315" t="s">
        <v>733</v>
      </c>
      <c r="M315" t="s">
        <v>905</v>
      </c>
      <c r="N315" t="s">
        <v>9207</v>
      </c>
      <c r="O315" t="s">
        <v>9153</v>
      </c>
      <c r="U315" t="str">
        <f>_xlfn.LET(_xlpm.x, _xlfn.XLOOKUP(B315,Sheet3!N:N,Sheet3!C:C,""), IF(_xlpm.x=0,"",_xlpm.x))</f>
        <v>劳动合同</v>
      </c>
      <c r="V315" s="5" t="s">
        <v>1229</v>
      </c>
      <c r="X315" t="s">
        <v>4011</v>
      </c>
    </row>
    <row r="316" spans="1:24" ht="15.6" x14ac:dyDescent="0.25">
      <c r="A316" s="8" t="s">
        <v>2239</v>
      </c>
      <c r="B316" s="8" t="s">
        <v>2246</v>
      </c>
      <c r="C316" s="5" t="s">
        <v>9085</v>
      </c>
      <c r="E316" s="5" t="s">
        <v>243</v>
      </c>
      <c r="F316" s="5" t="s">
        <v>492</v>
      </c>
      <c r="G316" s="5" t="s">
        <v>492</v>
      </c>
      <c r="H316" t="s">
        <v>553</v>
      </c>
      <c r="I316" t="s">
        <v>244</v>
      </c>
      <c r="J316" t="s">
        <v>244</v>
      </c>
      <c r="L316" t="s">
        <v>2244</v>
      </c>
      <c r="M316" t="s">
        <v>9098</v>
      </c>
      <c r="N316" t="s">
        <v>9211</v>
      </c>
      <c r="O316" t="s">
        <v>9135</v>
      </c>
      <c r="U316" t="str">
        <f>_xlfn.LET(_xlpm.x, _xlfn.XLOOKUP(B316,Sheet3!N:N,Sheet3!C:C,""), IF(_xlpm.x=0,"",_xlpm.x))</f>
        <v>劳动合同</v>
      </c>
      <c r="V316" s="5" t="s">
        <v>1090</v>
      </c>
      <c r="X316" t="s">
        <v>4011</v>
      </c>
    </row>
    <row r="317" spans="1:24" ht="15.6" x14ac:dyDescent="0.25">
      <c r="A317" s="8" t="s">
        <v>471</v>
      </c>
      <c r="B317" s="8" t="s">
        <v>481</v>
      </c>
      <c r="C317" s="5" t="s">
        <v>9086</v>
      </c>
      <c r="E317" s="5" t="s">
        <v>243</v>
      </c>
      <c r="F317" s="5" t="s">
        <v>242</v>
      </c>
      <c r="G317" s="5" t="s">
        <v>242</v>
      </c>
      <c r="H317" t="s">
        <v>459</v>
      </c>
      <c r="I317" t="s">
        <v>244</v>
      </c>
      <c r="J317" t="s">
        <v>244</v>
      </c>
      <c r="L317" t="s">
        <v>477</v>
      </c>
      <c r="M317" t="s">
        <v>58</v>
      </c>
      <c r="N317" t="s">
        <v>9220</v>
      </c>
      <c r="O317" t="s">
        <v>9141</v>
      </c>
      <c r="U317" t="str">
        <f>_xlfn.LET(_xlpm.x, _xlfn.XLOOKUP(B317,Sheet3!N:N,Sheet3!C:C,""), IF(_xlpm.x=0,"",_xlpm.x))</f>
        <v>劳动合同</v>
      </c>
      <c r="V317" s="5" t="s">
        <v>470</v>
      </c>
      <c r="X317" t="s">
        <v>4011</v>
      </c>
    </row>
    <row r="318" spans="1:24" ht="15.6" x14ac:dyDescent="0.25">
      <c r="A318" s="8" t="s">
        <v>688</v>
      </c>
      <c r="B318" s="8" t="s">
        <v>699</v>
      </c>
      <c r="C318" s="5" t="s">
        <v>9087</v>
      </c>
      <c r="E318" s="5" t="s">
        <v>243</v>
      </c>
      <c r="F318" s="5" t="s">
        <v>242</v>
      </c>
      <c r="G318" s="5" t="s">
        <v>242</v>
      </c>
      <c r="H318" t="s">
        <v>655</v>
      </c>
      <c r="I318" t="s">
        <v>244</v>
      </c>
      <c r="J318" t="s">
        <v>244</v>
      </c>
      <c r="L318" t="s">
        <v>240</v>
      </c>
      <c r="M318" t="s">
        <v>905</v>
      </c>
      <c r="N318" t="s">
        <v>9206</v>
      </c>
      <c r="O318" t="s">
        <v>9134</v>
      </c>
      <c r="U318" t="str">
        <f>_xlfn.LET(_xlpm.x, _xlfn.XLOOKUP(B318,Sheet3!N:N,Sheet3!C:C,""), IF(_xlpm.x=0,"",_xlpm.x))</f>
        <v>劳动合同</v>
      </c>
      <c r="V318" s="5" t="s">
        <v>1311</v>
      </c>
      <c r="X318" t="s">
        <v>4011</v>
      </c>
    </row>
    <row r="319" spans="1:24" ht="15.6" x14ac:dyDescent="0.25">
      <c r="A319" s="8" t="s">
        <v>2756</v>
      </c>
      <c r="B319" s="8" t="s">
        <v>2763</v>
      </c>
      <c r="C319" s="5" t="s">
        <v>9088</v>
      </c>
      <c r="E319" s="5" t="s">
        <v>243</v>
      </c>
      <c r="F319" s="5" t="s">
        <v>256</v>
      </c>
      <c r="G319" s="5" t="s">
        <v>256</v>
      </c>
      <c r="H319" t="s">
        <v>255</v>
      </c>
      <c r="I319" t="s">
        <v>244</v>
      </c>
      <c r="J319" t="s">
        <v>244</v>
      </c>
      <c r="L319" t="s">
        <v>2761</v>
      </c>
      <c r="M319" t="s">
        <v>9098</v>
      </c>
      <c r="N319" t="s">
        <v>9206</v>
      </c>
      <c r="O319" t="s">
        <v>9139</v>
      </c>
      <c r="U319" t="str">
        <f>_xlfn.LET(_xlpm.x, _xlfn.XLOOKUP(B319,Sheet3!N:N,Sheet3!C:C,""), IF(_xlpm.x=0,"",_xlpm.x))</f>
        <v>劳动合同</v>
      </c>
      <c r="V319" s="5" t="s">
        <v>4000</v>
      </c>
      <c r="X319" t="s">
        <v>4011</v>
      </c>
    </row>
    <row r="320" spans="1:24" ht="15.6" x14ac:dyDescent="0.25">
      <c r="A320" s="8" t="s">
        <v>738</v>
      </c>
      <c r="B320" s="8" t="s">
        <v>750</v>
      </c>
      <c r="C320" s="5" t="s">
        <v>9089</v>
      </c>
      <c r="E320" s="5" t="s">
        <v>243</v>
      </c>
      <c r="F320" s="5" t="s">
        <v>242</v>
      </c>
      <c r="G320" s="5" t="s">
        <v>242</v>
      </c>
      <c r="H320" t="s">
        <v>655</v>
      </c>
      <c r="I320" t="s">
        <v>244</v>
      </c>
      <c r="J320" t="s">
        <v>244</v>
      </c>
      <c r="L320" t="s">
        <v>240</v>
      </c>
      <c r="M320" t="s">
        <v>58</v>
      </c>
      <c r="N320" t="s">
        <v>9206</v>
      </c>
      <c r="O320" t="s">
        <v>9128</v>
      </c>
      <c r="U320" t="str">
        <f>_xlfn.LET(_xlpm.x, _xlfn.XLOOKUP(B320,Sheet3!N:N,Sheet3!C:C,""), IF(_xlpm.x=0,"",_xlpm.x))</f>
        <v>劳动合同</v>
      </c>
      <c r="V320" s="5" t="s">
        <v>7703</v>
      </c>
      <c r="X320" t="s">
        <v>4011</v>
      </c>
    </row>
    <row r="321" spans="1:24" ht="15.6" x14ac:dyDescent="0.25">
      <c r="A321" s="8" t="s">
        <v>2312</v>
      </c>
      <c r="B321" s="8" t="s">
        <v>2318</v>
      </c>
      <c r="C321" s="5" t="s">
        <v>9090</v>
      </c>
      <c r="E321" s="5" t="s">
        <v>243</v>
      </c>
      <c r="F321" s="5" t="s">
        <v>492</v>
      </c>
      <c r="G321" s="5" t="s">
        <v>242</v>
      </c>
      <c r="H321" t="s">
        <v>345</v>
      </c>
      <c r="I321" t="s">
        <v>346</v>
      </c>
      <c r="J321" t="s">
        <v>344</v>
      </c>
      <c r="L321" t="s">
        <v>2316</v>
      </c>
      <c r="M321" t="s">
        <v>9102</v>
      </c>
      <c r="N321" t="s">
        <v>9213</v>
      </c>
      <c r="O321" t="s">
        <v>9172</v>
      </c>
      <c r="U321" t="str">
        <f>_xlfn.LET(_xlpm.x, _xlfn.XLOOKUP(B321,Sheet3!N:N,Sheet3!C:C,""), IF(_xlpm.x=0,"",_xlpm.x))</f>
        <v>劳动合同</v>
      </c>
      <c r="V321" s="5" t="s">
        <v>1166</v>
      </c>
      <c r="X321" t="s">
        <v>4011</v>
      </c>
    </row>
    <row r="322" spans="1:24" ht="15.6" x14ac:dyDescent="0.25">
      <c r="A322" s="8" t="s">
        <v>2162</v>
      </c>
      <c r="B322" s="8" t="s">
        <v>2167</v>
      </c>
      <c r="C322" s="5" t="s">
        <v>9091</v>
      </c>
      <c r="E322" s="5" t="s">
        <v>243</v>
      </c>
      <c r="F322" s="5" t="s">
        <v>242</v>
      </c>
      <c r="G322" s="5" t="s">
        <v>242</v>
      </c>
      <c r="H322" t="s">
        <v>533</v>
      </c>
      <c r="I322" t="s">
        <v>244</v>
      </c>
      <c r="J322" t="s">
        <v>244</v>
      </c>
      <c r="L322" t="s">
        <v>1209</v>
      </c>
      <c r="M322" t="s">
        <v>2152</v>
      </c>
      <c r="N322" t="s">
        <v>9210</v>
      </c>
      <c r="O322" t="s">
        <v>9143</v>
      </c>
      <c r="U322" t="str">
        <f>_xlfn.LET(_xlpm.x, _xlfn.XLOOKUP(B322,Sheet3!N:N,Sheet3!C:C,""), IF(_xlpm.x=0,"",_xlpm.x))</f>
        <v>劳动合同</v>
      </c>
      <c r="V322" s="5" t="s">
        <v>894</v>
      </c>
      <c r="X322" t="s">
        <v>4011</v>
      </c>
    </row>
    <row r="323" spans="1:24" ht="15.6" x14ac:dyDescent="0.25">
      <c r="A323" s="8" t="s">
        <v>3503</v>
      </c>
      <c r="B323" s="8" t="s">
        <v>3509</v>
      </c>
      <c r="C323" s="5" t="s">
        <v>9092</v>
      </c>
      <c r="E323" s="5" t="s">
        <v>243</v>
      </c>
      <c r="F323" s="5" t="s">
        <v>492</v>
      </c>
      <c r="G323" s="5" t="s">
        <v>492</v>
      </c>
      <c r="H323" t="s">
        <v>491</v>
      </c>
      <c r="I323" t="s">
        <v>244</v>
      </c>
      <c r="J323" t="s">
        <v>244</v>
      </c>
      <c r="L323" t="s">
        <v>3507</v>
      </c>
      <c r="M323" t="s">
        <v>9106</v>
      </c>
      <c r="N323" t="s">
        <v>9210</v>
      </c>
      <c r="O323" t="s">
        <v>9121</v>
      </c>
      <c r="U323" t="str">
        <f>_xlfn.LET(_xlpm.x, _xlfn.XLOOKUP(B323,Sheet3!N:N,Sheet3!C:C,""), IF(_xlpm.x=0,"",_xlpm.x))</f>
        <v>劳动合同</v>
      </c>
      <c r="V323" s="5" t="s">
        <v>4000</v>
      </c>
      <c r="X323" t="s">
        <v>4011</v>
      </c>
    </row>
  </sheetData>
  <mergeCells count="2">
    <mergeCell ref="A2:Y2"/>
    <mergeCell ref="A1:Y1"/>
  </mergeCells>
  <phoneticPr fontId="6" type="noConversion"/>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4" activePane="bottomLeft" state="frozen"/>
      <selection pane="bottomLeft" activeCell="I47" sqref="I47"/>
    </sheetView>
  </sheetViews>
  <sheetFormatPr defaultRowHeight="14.4" x14ac:dyDescent="0.25"/>
  <cols>
    <col min="1" max="1" width="22.44140625" bestFit="1" customWidth="1"/>
    <col min="2" max="2" width="21.109375" style="5" bestFit="1" customWidth="1"/>
    <col min="3" max="3" width="25.5546875" customWidth="1"/>
    <col min="4" max="4" width="20.33203125" customWidth="1"/>
    <col min="5" max="5" width="24.33203125" customWidth="1"/>
    <col min="6" max="6" width="18.88671875" customWidth="1"/>
    <col min="7" max="7" width="18.6640625" customWidth="1"/>
    <col min="8" max="8" width="24.33203125" customWidth="1"/>
    <col min="9" max="9" width="22.33203125" style="5" customWidth="1"/>
    <col min="10" max="10" width="25" style="5" customWidth="1"/>
    <col min="11" max="11" width="33.88671875" customWidth="1"/>
    <col min="12" max="12" width="23.21875" customWidth="1"/>
    <col min="13" max="13" width="29" customWidth="1"/>
    <col min="14" max="14" width="25.21875" customWidth="1"/>
    <col min="15" max="15" width="27.109375" customWidth="1"/>
    <col min="16" max="16" width="27.109375" bestFit="1" customWidth="1"/>
    <col min="17" max="17" width="27.88671875" bestFit="1" customWidth="1"/>
    <col min="18" max="18" width="0" hidden="1" customWidth="1"/>
  </cols>
  <sheetData>
    <row r="1" spans="1:17" ht="28.05" customHeight="1" x14ac:dyDescent="0.25">
      <c r="A1" s="87" t="s">
        <v>64</v>
      </c>
      <c r="B1" s="88"/>
      <c r="C1" s="88"/>
      <c r="D1" s="88"/>
      <c r="E1" s="88"/>
      <c r="F1" s="88"/>
      <c r="G1" s="88"/>
      <c r="H1" s="88"/>
      <c r="I1" s="88"/>
      <c r="J1" s="88"/>
      <c r="K1" s="88"/>
      <c r="L1" s="88"/>
      <c r="M1" s="88"/>
      <c r="N1" s="88"/>
      <c r="O1" s="88"/>
      <c r="P1" s="88"/>
      <c r="Q1" s="88"/>
    </row>
    <row r="2" spans="1:17" ht="18" customHeight="1" x14ac:dyDescent="0.25">
      <c r="A2" s="86" t="s">
        <v>65</v>
      </c>
      <c r="B2" s="86"/>
      <c r="C2" s="86"/>
      <c r="D2" s="86"/>
      <c r="E2" s="86"/>
      <c r="F2" s="86"/>
      <c r="G2" s="86"/>
      <c r="H2" s="86"/>
      <c r="I2" s="86"/>
      <c r="J2" s="86"/>
      <c r="K2" s="86"/>
      <c r="L2" s="86"/>
      <c r="M2" s="86"/>
      <c r="N2" s="86"/>
      <c r="O2" s="86"/>
      <c r="P2" s="86"/>
      <c r="Q2" s="86"/>
    </row>
    <row r="3" spans="1:17" ht="22.05" customHeight="1" x14ac:dyDescent="0.25">
      <c r="A3" s="3" t="s">
        <v>37</v>
      </c>
      <c r="B3" s="6" t="s">
        <v>3</v>
      </c>
      <c r="C3" s="7" t="s">
        <v>70</v>
      </c>
      <c r="D3" s="7" t="s">
        <v>76</v>
      </c>
      <c r="E3" s="1" t="s">
        <v>66</v>
      </c>
      <c r="F3" s="1" t="s">
        <v>67</v>
      </c>
      <c r="G3" s="1" t="s">
        <v>68</v>
      </c>
      <c r="H3" s="1" t="s">
        <v>69</v>
      </c>
      <c r="I3" s="4" t="s">
        <v>71</v>
      </c>
      <c r="J3" s="4" t="s">
        <v>72</v>
      </c>
      <c r="K3" s="1" t="s">
        <v>73</v>
      </c>
      <c r="L3" s="1" t="s">
        <v>74</v>
      </c>
      <c r="M3" s="1" t="s">
        <v>75</v>
      </c>
      <c r="N3" s="1" t="s">
        <v>77</v>
      </c>
      <c r="O3" s="1" t="s">
        <v>78</v>
      </c>
      <c r="P3" s="1" t="s">
        <v>79</v>
      </c>
      <c r="Q3" s="1" t="s">
        <v>80</v>
      </c>
    </row>
    <row r="4" spans="1:17" x14ac:dyDescent="0.25">
      <c r="A4" s="11" t="s">
        <v>2926</v>
      </c>
      <c r="B4" s="5" t="s">
        <v>2930</v>
      </c>
      <c r="C4" s="11" t="s">
        <v>1032</v>
      </c>
      <c r="D4" s="11" t="s">
        <v>133</v>
      </c>
      <c r="E4">
        <v>1</v>
      </c>
      <c r="F4" s="11" t="s">
        <v>6881</v>
      </c>
      <c r="G4" s="12"/>
      <c r="H4" s="12"/>
      <c r="J4" s="5" t="s">
        <v>3990</v>
      </c>
      <c r="K4" s="11" t="s">
        <v>85</v>
      </c>
      <c r="N4" s="11" t="s">
        <v>6862</v>
      </c>
      <c r="O4" s="11" t="s">
        <v>2932</v>
      </c>
      <c r="P4" s="5" t="s">
        <v>6882</v>
      </c>
      <c r="Q4" s="5"/>
    </row>
    <row r="5" spans="1:17" x14ac:dyDescent="0.25">
      <c r="A5" s="11" t="s">
        <v>1801</v>
      </c>
      <c r="B5" s="5" t="s">
        <v>1805</v>
      </c>
      <c r="C5" s="11" t="s">
        <v>1508</v>
      </c>
      <c r="D5" s="11" t="s">
        <v>1160</v>
      </c>
      <c r="E5">
        <v>1</v>
      </c>
      <c r="F5" s="12"/>
      <c r="G5" s="12"/>
      <c r="H5" s="11" t="s">
        <v>6863</v>
      </c>
      <c r="J5" s="5" t="s">
        <v>3990</v>
      </c>
      <c r="K5" s="12"/>
      <c r="N5" s="11" t="s">
        <v>6862</v>
      </c>
      <c r="O5" s="11" t="s">
        <v>6861</v>
      </c>
      <c r="P5" s="5" t="s">
        <v>7383</v>
      </c>
      <c r="Q5" s="5"/>
    </row>
    <row r="6" spans="1:17" x14ac:dyDescent="0.25">
      <c r="A6" s="11" t="s">
        <v>2880</v>
      </c>
      <c r="B6" s="5" t="s">
        <v>2885</v>
      </c>
      <c r="C6" s="11" t="s">
        <v>559</v>
      </c>
      <c r="D6" s="11" t="s">
        <v>1877</v>
      </c>
      <c r="E6">
        <v>1</v>
      </c>
      <c r="F6" s="11" t="s">
        <v>6895</v>
      </c>
      <c r="G6" s="12"/>
      <c r="H6" s="12"/>
      <c r="J6" s="5" t="s">
        <v>3990</v>
      </c>
      <c r="K6" s="11" t="s">
        <v>1906</v>
      </c>
      <c r="N6" s="11" t="s">
        <v>6862</v>
      </c>
      <c r="O6" s="11" t="s">
        <v>149</v>
      </c>
      <c r="P6" s="5" t="s">
        <v>7478</v>
      </c>
      <c r="Q6" s="5"/>
    </row>
    <row r="7" spans="1:17" x14ac:dyDescent="0.25">
      <c r="A7" s="11" t="s">
        <v>3064</v>
      </c>
      <c r="B7" s="5" t="s">
        <v>3068</v>
      </c>
      <c r="C7" s="11" t="s">
        <v>3070</v>
      </c>
      <c r="D7" s="11" t="s">
        <v>1924</v>
      </c>
      <c r="E7">
        <v>1</v>
      </c>
      <c r="F7" s="11" t="s">
        <v>81</v>
      </c>
      <c r="G7" s="12"/>
      <c r="H7" s="11" t="s">
        <v>6864</v>
      </c>
      <c r="J7" s="5" t="s">
        <v>3990</v>
      </c>
      <c r="K7" s="11" t="s">
        <v>786</v>
      </c>
      <c r="N7" s="11" t="s">
        <v>6867</v>
      </c>
      <c r="O7" s="11" t="s">
        <v>1925</v>
      </c>
      <c r="P7" s="5" t="s">
        <v>4951</v>
      </c>
      <c r="Q7" s="5" t="s">
        <v>4949</v>
      </c>
    </row>
    <row r="8" spans="1:17" x14ac:dyDescent="0.25">
      <c r="A8" s="11" t="s">
        <v>1439</v>
      </c>
      <c r="B8" s="5" t="s">
        <v>1447</v>
      </c>
      <c r="C8" s="11" t="s">
        <v>1449</v>
      </c>
      <c r="D8" s="11" t="s">
        <v>1450</v>
      </c>
      <c r="E8">
        <v>1</v>
      </c>
      <c r="F8" s="11" t="s">
        <v>4246</v>
      </c>
      <c r="G8" s="12"/>
      <c r="H8" s="11" t="s">
        <v>6864</v>
      </c>
      <c r="J8" s="5" t="s">
        <v>3990</v>
      </c>
      <c r="K8" s="11" t="s">
        <v>1451</v>
      </c>
      <c r="N8" s="11" t="s">
        <v>6862</v>
      </c>
      <c r="O8" s="11" t="s">
        <v>740</v>
      </c>
      <c r="P8" s="5" t="s">
        <v>244</v>
      </c>
      <c r="Q8" s="5"/>
    </row>
    <row r="9" spans="1:17" x14ac:dyDescent="0.25">
      <c r="A9" s="11" t="s">
        <v>1010</v>
      </c>
      <c r="B9" s="5" t="s">
        <v>1018</v>
      </c>
      <c r="C9" s="11" t="s">
        <v>827</v>
      </c>
      <c r="D9" s="11" t="s">
        <v>1434</v>
      </c>
      <c r="E9">
        <v>1</v>
      </c>
      <c r="F9" s="11" t="s">
        <v>6881</v>
      </c>
      <c r="G9" s="11" t="s">
        <v>6998</v>
      </c>
      <c r="H9" s="11" t="s">
        <v>6864</v>
      </c>
      <c r="I9" s="5" t="s">
        <v>4474</v>
      </c>
      <c r="J9" s="5" t="s">
        <v>4011</v>
      </c>
      <c r="K9" s="11" t="s">
        <v>264</v>
      </c>
      <c r="N9" s="11" t="s">
        <v>6884</v>
      </c>
      <c r="O9" s="11" t="s">
        <v>1020</v>
      </c>
      <c r="P9" s="5" t="s">
        <v>5021</v>
      </c>
      <c r="Q9" s="5" t="s">
        <v>5019</v>
      </c>
    </row>
    <row r="10" spans="1:17" x14ac:dyDescent="0.25">
      <c r="A10" s="11" t="s">
        <v>2416</v>
      </c>
      <c r="B10" s="5" t="s">
        <v>2420</v>
      </c>
      <c r="C10" s="11" t="s">
        <v>559</v>
      </c>
      <c r="D10" s="11" t="s">
        <v>1843</v>
      </c>
      <c r="E10">
        <v>1</v>
      </c>
      <c r="F10" s="11" t="s">
        <v>6895</v>
      </c>
      <c r="G10" s="12"/>
      <c r="H10" s="11" t="s">
        <v>6864</v>
      </c>
      <c r="J10" s="5" t="s">
        <v>3990</v>
      </c>
      <c r="K10" s="11" t="s">
        <v>2067</v>
      </c>
      <c r="N10" s="11" t="s">
        <v>6862</v>
      </c>
      <c r="O10" s="11" t="s">
        <v>62</v>
      </c>
      <c r="P10" s="5" t="s">
        <v>6051</v>
      </c>
      <c r="Q10" s="5"/>
    </row>
    <row r="11" spans="1:17" x14ac:dyDescent="0.25">
      <c r="A11" s="11" t="s">
        <v>2684</v>
      </c>
      <c r="B11" s="5" t="s">
        <v>2688</v>
      </c>
      <c r="C11" s="11" t="s">
        <v>1410</v>
      </c>
      <c r="D11" s="11" t="s">
        <v>1694</v>
      </c>
      <c r="E11">
        <v>1</v>
      </c>
      <c r="F11" s="12"/>
      <c r="G11" s="12"/>
      <c r="H11" s="12"/>
      <c r="J11" s="5" t="s">
        <v>3990</v>
      </c>
      <c r="K11" s="12"/>
      <c r="N11" s="11" t="s">
        <v>6862</v>
      </c>
      <c r="O11" s="11" t="s">
        <v>2140</v>
      </c>
      <c r="P11" s="5" t="s">
        <v>7384</v>
      </c>
      <c r="Q11" s="5"/>
    </row>
    <row r="12" spans="1:17" x14ac:dyDescent="0.25">
      <c r="A12" s="11" t="s">
        <v>7372</v>
      </c>
      <c r="B12" s="5" t="s">
        <v>1914</v>
      </c>
      <c r="C12" s="11" t="s">
        <v>1916</v>
      </c>
      <c r="D12" s="11" t="s">
        <v>1917</v>
      </c>
      <c r="E12">
        <v>1</v>
      </c>
      <c r="F12" s="11" t="s">
        <v>6881</v>
      </c>
      <c r="G12" s="12"/>
      <c r="H12" s="11" t="s">
        <v>6883</v>
      </c>
      <c r="J12" s="5" t="s">
        <v>3990</v>
      </c>
      <c r="K12" s="11" t="s">
        <v>1595</v>
      </c>
      <c r="N12" s="11" t="s">
        <v>6867</v>
      </c>
      <c r="O12" s="11" t="s">
        <v>1918</v>
      </c>
      <c r="P12" s="5" t="s">
        <v>4280</v>
      </c>
      <c r="Q12" s="5"/>
    </row>
    <row r="13" spans="1:17" x14ac:dyDescent="0.25">
      <c r="A13" s="11" t="s">
        <v>1910</v>
      </c>
      <c r="B13" s="5" t="s">
        <v>1914</v>
      </c>
      <c r="C13" s="11" t="s">
        <v>6902</v>
      </c>
      <c r="D13" s="11" t="s">
        <v>1358</v>
      </c>
      <c r="E13">
        <v>0</v>
      </c>
      <c r="F13" s="11" t="s">
        <v>6895</v>
      </c>
      <c r="G13" s="12"/>
      <c r="H13" s="11" t="s">
        <v>6864</v>
      </c>
      <c r="J13" s="5" t="s">
        <v>3990</v>
      </c>
      <c r="K13" s="11" t="s">
        <v>2022</v>
      </c>
      <c r="N13" s="11" t="s">
        <v>6862</v>
      </c>
      <c r="O13" s="11" t="s">
        <v>6901</v>
      </c>
      <c r="P13" s="5"/>
      <c r="Q13" s="5"/>
    </row>
    <row r="14" spans="1:17" x14ac:dyDescent="0.25">
      <c r="A14" s="11" t="s">
        <v>913</v>
      </c>
      <c r="B14" s="5" t="s">
        <v>919</v>
      </c>
      <c r="C14" s="11" t="s">
        <v>327</v>
      </c>
      <c r="D14" s="11" t="s">
        <v>328</v>
      </c>
      <c r="E14">
        <v>1</v>
      </c>
      <c r="F14" s="11" t="s">
        <v>6881</v>
      </c>
      <c r="G14" s="11" t="s">
        <v>6998</v>
      </c>
      <c r="H14" s="11" t="s">
        <v>6864</v>
      </c>
      <c r="J14" s="5" t="s">
        <v>3990</v>
      </c>
      <c r="K14" s="11" t="s">
        <v>330</v>
      </c>
      <c r="N14" s="11" t="s">
        <v>6884</v>
      </c>
      <c r="O14" s="11" t="s">
        <v>329</v>
      </c>
      <c r="P14" s="5" t="s">
        <v>7385</v>
      </c>
      <c r="Q14" s="5" t="s">
        <v>7480</v>
      </c>
    </row>
    <row r="15" spans="1:17" x14ac:dyDescent="0.25">
      <c r="A15" s="11" t="s">
        <v>1427</v>
      </c>
      <c r="B15" s="5" t="s">
        <v>1432</v>
      </c>
      <c r="C15" s="11" t="s">
        <v>426</v>
      </c>
      <c r="D15" s="11" t="s">
        <v>1434</v>
      </c>
      <c r="E15">
        <v>1</v>
      </c>
      <c r="F15" s="11" t="s">
        <v>7035</v>
      </c>
      <c r="G15" s="11" t="s">
        <v>7036</v>
      </c>
      <c r="H15" s="11" t="s">
        <v>6864</v>
      </c>
      <c r="I15" s="5">
        <v>211</v>
      </c>
      <c r="J15" s="5" t="s">
        <v>3990</v>
      </c>
      <c r="K15" s="11" t="s">
        <v>1156</v>
      </c>
      <c r="N15" s="11" t="s">
        <v>6884</v>
      </c>
      <c r="O15" s="11" t="s">
        <v>1435</v>
      </c>
      <c r="P15" s="5" t="s">
        <v>5623</v>
      </c>
      <c r="Q15" s="5" t="s">
        <v>5622</v>
      </c>
    </row>
    <row r="16" spans="1:17" x14ac:dyDescent="0.25">
      <c r="A16" s="11" t="s">
        <v>1127</v>
      </c>
      <c r="B16" s="5" t="s">
        <v>1135</v>
      </c>
      <c r="C16" s="11" t="s">
        <v>1137</v>
      </c>
      <c r="D16" s="11" t="s">
        <v>121</v>
      </c>
      <c r="E16">
        <v>1</v>
      </c>
      <c r="F16" s="11" t="s">
        <v>6990</v>
      </c>
      <c r="G16" s="11" t="s">
        <v>6998</v>
      </c>
      <c r="H16" s="11" t="s">
        <v>6864</v>
      </c>
      <c r="J16" s="5" t="s">
        <v>3990</v>
      </c>
      <c r="K16" s="11" t="s">
        <v>405</v>
      </c>
      <c r="N16" s="11" t="s">
        <v>6884</v>
      </c>
      <c r="O16" s="11" t="s">
        <v>1086</v>
      </c>
      <c r="P16" s="5" t="s">
        <v>7386</v>
      </c>
      <c r="Q16" s="5" t="s">
        <v>7481</v>
      </c>
    </row>
    <row r="17" spans="1:17" x14ac:dyDescent="0.25">
      <c r="A17" s="11" t="s">
        <v>3370</v>
      </c>
      <c r="B17" s="5" t="s">
        <v>3374</v>
      </c>
      <c r="C17" s="11" t="s">
        <v>6875</v>
      </c>
      <c r="D17" s="11" t="s">
        <v>1660</v>
      </c>
      <c r="E17">
        <v>1</v>
      </c>
      <c r="F17" s="12"/>
      <c r="G17" s="12"/>
      <c r="H17" s="12"/>
      <c r="J17" s="5" t="s">
        <v>3990</v>
      </c>
      <c r="K17" s="11" t="s">
        <v>6876</v>
      </c>
      <c r="N17" s="11" t="s">
        <v>6862</v>
      </c>
      <c r="O17" s="11" t="s">
        <v>1925</v>
      </c>
      <c r="P17" s="5" t="s">
        <v>5312</v>
      </c>
      <c r="Q17" s="5"/>
    </row>
    <row r="18" spans="1:17" x14ac:dyDescent="0.25">
      <c r="A18" s="11" t="s">
        <v>946</v>
      </c>
      <c r="B18" s="5" t="s">
        <v>950</v>
      </c>
      <c r="C18" s="11" t="s">
        <v>559</v>
      </c>
      <c r="D18" s="11" t="s">
        <v>283</v>
      </c>
      <c r="E18">
        <v>1</v>
      </c>
      <c r="F18" s="11" t="s">
        <v>6931</v>
      </c>
      <c r="G18" s="12"/>
      <c r="H18" s="11" t="s">
        <v>6864</v>
      </c>
      <c r="J18" s="5" t="s">
        <v>3990</v>
      </c>
      <c r="K18" s="11" t="s">
        <v>570</v>
      </c>
      <c r="N18" s="11" t="s">
        <v>6862</v>
      </c>
      <c r="O18" s="11" t="s">
        <v>466</v>
      </c>
      <c r="P18" s="5" t="s">
        <v>7387</v>
      </c>
      <c r="Q18" s="5"/>
    </row>
    <row r="19" spans="1:17" x14ac:dyDescent="0.25">
      <c r="A19" s="11" t="s">
        <v>3595</v>
      </c>
      <c r="B19" s="5" t="s">
        <v>3601</v>
      </c>
      <c r="C19" s="11" t="s">
        <v>3603</v>
      </c>
      <c r="D19" s="11" t="s">
        <v>89</v>
      </c>
      <c r="E19">
        <v>1</v>
      </c>
      <c r="F19" s="11" t="s">
        <v>81</v>
      </c>
      <c r="G19" s="12"/>
      <c r="H19" s="12"/>
      <c r="I19" s="5">
        <v>211</v>
      </c>
      <c r="J19" s="5" t="s">
        <v>3990</v>
      </c>
      <c r="K19" s="11" t="s">
        <v>85</v>
      </c>
      <c r="N19" s="11" t="s">
        <v>6879</v>
      </c>
      <c r="O19" s="11" t="s">
        <v>542</v>
      </c>
      <c r="P19" s="5" t="s">
        <v>7388</v>
      </c>
      <c r="Q19" s="5"/>
    </row>
    <row r="20" spans="1:17" x14ac:dyDescent="0.25">
      <c r="A20" s="11" t="s">
        <v>7373</v>
      </c>
      <c r="B20" s="5" t="s">
        <v>3601</v>
      </c>
      <c r="C20" s="11" t="s">
        <v>3603</v>
      </c>
      <c r="D20" s="11" t="s">
        <v>6903</v>
      </c>
      <c r="E20">
        <v>0</v>
      </c>
      <c r="F20" s="11" t="s">
        <v>305</v>
      </c>
      <c r="G20" s="12"/>
      <c r="H20" s="11" t="s">
        <v>6888</v>
      </c>
      <c r="I20" s="5">
        <v>211</v>
      </c>
      <c r="J20" s="5" t="s">
        <v>3990</v>
      </c>
      <c r="K20" s="11" t="s">
        <v>3101</v>
      </c>
      <c r="N20" s="11" t="s">
        <v>6879</v>
      </c>
      <c r="O20" s="11" t="s">
        <v>716</v>
      </c>
      <c r="P20" s="5"/>
      <c r="Q20" s="5"/>
    </row>
    <row r="21" spans="1:17" x14ac:dyDescent="0.25">
      <c r="A21" s="11" t="s">
        <v>3595</v>
      </c>
      <c r="B21" s="5" t="s">
        <v>3601</v>
      </c>
      <c r="C21" s="11" t="s">
        <v>6936</v>
      </c>
      <c r="D21" s="11" t="s">
        <v>3401</v>
      </c>
      <c r="E21">
        <v>0</v>
      </c>
      <c r="F21" s="11" t="s">
        <v>7044</v>
      </c>
      <c r="G21" s="12"/>
      <c r="H21" s="11" t="s">
        <v>6864</v>
      </c>
      <c r="J21" s="5" t="s">
        <v>3990</v>
      </c>
      <c r="K21" s="11" t="s">
        <v>6937</v>
      </c>
      <c r="N21" s="11" t="s">
        <v>6884</v>
      </c>
      <c r="O21" s="11" t="s">
        <v>6935</v>
      </c>
      <c r="P21" s="5"/>
      <c r="Q21" s="5"/>
    </row>
    <row r="22" spans="1:17" x14ac:dyDescent="0.25">
      <c r="A22" s="11" t="s">
        <v>3110</v>
      </c>
      <c r="B22" s="5" t="s">
        <v>3114</v>
      </c>
      <c r="C22" s="11" t="s">
        <v>3116</v>
      </c>
      <c r="D22" s="11" t="s">
        <v>1660</v>
      </c>
      <c r="E22">
        <v>1</v>
      </c>
      <c r="F22" s="11" t="s">
        <v>81</v>
      </c>
      <c r="G22" s="12"/>
      <c r="H22" s="11" t="s">
        <v>6864</v>
      </c>
      <c r="I22" s="5" t="s">
        <v>4474</v>
      </c>
      <c r="J22" s="5" t="s">
        <v>4011</v>
      </c>
      <c r="K22" s="11" t="s">
        <v>786</v>
      </c>
      <c r="N22" s="11" t="s">
        <v>6884</v>
      </c>
      <c r="O22" s="11" t="s">
        <v>1685</v>
      </c>
      <c r="P22" s="5" t="s">
        <v>4847</v>
      </c>
      <c r="Q22" s="5" t="s">
        <v>4845</v>
      </c>
    </row>
    <row r="23" spans="1:17" x14ac:dyDescent="0.25">
      <c r="A23" s="11" t="s">
        <v>3413</v>
      </c>
      <c r="B23" s="5" t="s">
        <v>3417</v>
      </c>
      <c r="C23" s="11" t="s">
        <v>3419</v>
      </c>
      <c r="D23" s="11" t="s">
        <v>2824</v>
      </c>
      <c r="E23">
        <v>1</v>
      </c>
      <c r="F23" s="11" t="s">
        <v>4503</v>
      </c>
      <c r="G23" s="12"/>
      <c r="H23" s="11" t="s">
        <v>6864</v>
      </c>
      <c r="J23" s="5" t="s">
        <v>3990</v>
      </c>
      <c r="K23" s="11" t="s">
        <v>3420</v>
      </c>
      <c r="N23" s="11" t="s">
        <v>6862</v>
      </c>
      <c r="O23" s="11" t="s">
        <v>3512</v>
      </c>
      <c r="P23" s="5" t="s">
        <v>5469</v>
      </c>
      <c r="Q23" s="5"/>
    </row>
    <row r="24" spans="1:17" x14ac:dyDescent="0.25">
      <c r="A24" s="11" t="s">
        <v>2458</v>
      </c>
      <c r="B24" s="5" t="s">
        <v>2462</v>
      </c>
      <c r="C24" s="11" t="s">
        <v>1410</v>
      </c>
      <c r="D24" s="11" t="s">
        <v>1843</v>
      </c>
      <c r="E24">
        <v>1</v>
      </c>
      <c r="F24" s="11" t="s">
        <v>6895</v>
      </c>
      <c r="G24" s="12"/>
      <c r="H24" s="11" t="s">
        <v>6864</v>
      </c>
      <c r="J24" s="5" t="s">
        <v>3990</v>
      </c>
      <c r="K24" s="11" t="s">
        <v>1835</v>
      </c>
      <c r="N24" s="11" t="s">
        <v>6862</v>
      </c>
      <c r="O24" s="11" t="s">
        <v>2381</v>
      </c>
      <c r="P24" s="5" t="s">
        <v>7479</v>
      </c>
      <c r="Q24" s="5"/>
    </row>
    <row r="25" spans="1:17" x14ac:dyDescent="0.25">
      <c r="A25" s="11" t="s">
        <v>2008</v>
      </c>
      <c r="B25" s="5" t="s">
        <v>2015</v>
      </c>
      <c r="C25" s="11" t="s">
        <v>802</v>
      </c>
      <c r="D25" s="11" t="s">
        <v>2017</v>
      </c>
      <c r="E25">
        <v>1</v>
      </c>
      <c r="F25" s="11" t="s">
        <v>81</v>
      </c>
      <c r="G25" s="12"/>
      <c r="H25" s="11" t="s">
        <v>6888</v>
      </c>
      <c r="I25" s="5">
        <v>211</v>
      </c>
      <c r="J25" s="5" t="s">
        <v>3990</v>
      </c>
      <c r="K25" s="11" t="s">
        <v>2019</v>
      </c>
      <c r="N25" s="11" t="s">
        <v>6879</v>
      </c>
      <c r="O25" s="11" t="s">
        <v>2018</v>
      </c>
      <c r="P25" s="5" t="s">
        <v>4709</v>
      </c>
      <c r="Q25" s="5"/>
    </row>
    <row r="26" spans="1:17" x14ac:dyDescent="0.25">
      <c r="A26" s="11" t="s">
        <v>291</v>
      </c>
      <c r="B26" s="5" t="s">
        <v>303</v>
      </c>
      <c r="C26" s="11" t="s">
        <v>6930</v>
      </c>
      <c r="D26" s="11" t="s">
        <v>86</v>
      </c>
      <c r="E26">
        <v>1</v>
      </c>
      <c r="F26" s="11" t="s">
        <v>6931</v>
      </c>
      <c r="G26" s="12"/>
      <c r="H26" s="11" t="s">
        <v>6864</v>
      </c>
      <c r="J26" s="5" t="s">
        <v>3990</v>
      </c>
      <c r="K26" s="11" t="s">
        <v>1451</v>
      </c>
      <c r="N26" s="11" t="s">
        <v>6911</v>
      </c>
      <c r="O26" s="11" t="s">
        <v>307</v>
      </c>
      <c r="P26" s="5" t="s">
        <v>6932</v>
      </c>
      <c r="Q26" s="5"/>
    </row>
    <row r="27" spans="1:17" x14ac:dyDescent="0.25">
      <c r="A27" s="11" t="s">
        <v>3582</v>
      </c>
      <c r="B27" s="5" t="s">
        <v>3589</v>
      </c>
      <c r="C27" s="11" t="s">
        <v>2221</v>
      </c>
      <c r="D27" s="11" t="s">
        <v>3591</v>
      </c>
      <c r="E27">
        <v>1</v>
      </c>
      <c r="F27" s="11" t="s">
        <v>81</v>
      </c>
      <c r="G27" s="12"/>
      <c r="H27" s="12"/>
      <c r="I27" s="5" t="s">
        <v>4474</v>
      </c>
      <c r="J27" s="5" t="s">
        <v>4011</v>
      </c>
      <c r="K27" s="11" t="s">
        <v>3592</v>
      </c>
      <c r="N27" s="11" t="s">
        <v>6884</v>
      </c>
      <c r="O27" s="11" t="s">
        <v>2277</v>
      </c>
      <c r="P27" s="5" t="s">
        <v>4095</v>
      </c>
      <c r="Q27" s="5" t="s">
        <v>4095</v>
      </c>
    </row>
    <row r="28" spans="1:17" x14ac:dyDescent="0.25">
      <c r="A28" s="11" t="s">
        <v>1346</v>
      </c>
      <c r="B28" s="5" t="s">
        <v>1356</v>
      </c>
      <c r="C28" s="11" t="s">
        <v>1045</v>
      </c>
      <c r="D28" s="11" t="s">
        <v>1358</v>
      </c>
      <c r="E28">
        <v>1</v>
      </c>
      <c r="F28" s="11" t="s">
        <v>6881</v>
      </c>
      <c r="G28" s="11" t="s">
        <v>7032</v>
      </c>
      <c r="H28" s="11" t="s">
        <v>6864</v>
      </c>
      <c r="I28" s="5" t="s">
        <v>4474</v>
      </c>
      <c r="J28" s="5" t="s">
        <v>4011</v>
      </c>
      <c r="K28" s="11" t="s">
        <v>1360</v>
      </c>
      <c r="N28" s="11" t="s">
        <v>6884</v>
      </c>
      <c r="O28" s="11" t="s">
        <v>1359</v>
      </c>
      <c r="P28" s="5" t="s">
        <v>7389</v>
      </c>
      <c r="Q28" s="5" t="s">
        <v>4133</v>
      </c>
    </row>
    <row r="29" spans="1:17" x14ac:dyDescent="0.25">
      <c r="A29" s="11" t="s">
        <v>2375</v>
      </c>
      <c r="B29" s="5" t="s">
        <v>2379</v>
      </c>
      <c r="C29" s="11" t="s">
        <v>1410</v>
      </c>
      <c r="D29" s="11" t="s">
        <v>1843</v>
      </c>
      <c r="E29">
        <v>1</v>
      </c>
      <c r="F29" s="11" t="s">
        <v>6895</v>
      </c>
      <c r="G29" s="12"/>
      <c r="H29" s="11" t="s">
        <v>6864</v>
      </c>
      <c r="J29" s="5" t="s">
        <v>3990</v>
      </c>
      <c r="K29" s="11" t="s">
        <v>2067</v>
      </c>
      <c r="N29" s="11" t="s">
        <v>6862</v>
      </c>
      <c r="O29" s="11" t="s">
        <v>2381</v>
      </c>
      <c r="P29" s="5" t="s">
        <v>7390</v>
      </c>
      <c r="Q29" s="5"/>
    </row>
    <row r="30" spans="1:17" x14ac:dyDescent="0.25">
      <c r="A30" s="11" t="s">
        <v>2504</v>
      </c>
      <c r="B30" s="5" t="s">
        <v>2511</v>
      </c>
      <c r="C30" s="11" t="s">
        <v>2513</v>
      </c>
      <c r="D30" s="11" t="s">
        <v>2514</v>
      </c>
      <c r="E30">
        <v>1</v>
      </c>
      <c r="F30" s="11" t="s">
        <v>305</v>
      </c>
      <c r="G30" s="12"/>
      <c r="H30" s="12"/>
      <c r="J30" s="5" t="s">
        <v>3990</v>
      </c>
      <c r="K30" s="11" t="s">
        <v>1906</v>
      </c>
      <c r="N30" s="11" t="s">
        <v>6862</v>
      </c>
      <c r="O30" s="11" t="s">
        <v>1541</v>
      </c>
      <c r="P30" s="5" t="s">
        <v>4545</v>
      </c>
      <c r="Q30" s="5"/>
    </row>
    <row r="31" spans="1:17" x14ac:dyDescent="0.25">
      <c r="A31" s="11" t="s">
        <v>1523</v>
      </c>
      <c r="B31" s="5" t="s">
        <v>1529</v>
      </c>
      <c r="C31" s="11" t="s">
        <v>1531</v>
      </c>
      <c r="D31" s="11" t="s">
        <v>89</v>
      </c>
      <c r="E31">
        <v>1</v>
      </c>
      <c r="F31" s="11" t="s">
        <v>81</v>
      </c>
      <c r="G31" s="11" t="s">
        <v>6998</v>
      </c>
      <c r="H31" s="11" t="s">
        <v>6864</v>
      </c>
      <c r="J31" s="5" t="s">
        <v>3990</v>
      </c>
      <c r="K31" s="11" t="s">
        <v>405</v>
      </c>
      <c r="N31" s="11" t="s">
        <v>6884</v>
      </c>
      <c r="O31" s="11" t="s">
        <v>1333</v>
      </c>
      <c r="P31" s="5" t="s">
        <v>7391</v>
      </c>
      <c r="Q31" s="5" t="s">
        <v>5855</v>
      </c>
    </row>
    <row r="32" spans="1:17" x14ac:dyDescent="0.25">
      <c r="A32" s="11" t="s">
        <v>1376</v>
      </c>
      <c r="B32" s="5" t="s">
        <v>1383</v>
      </c>
      <c r="C32" s="11" t="s">
        <v>1385</v>
      </c>
      <c r="D32" s="11" t="s">
        <v>1386</v>
      </c>
      <c r="E32">
        <v>1</v>
      </c>
      <c r="F32" s="11" t="s">
        <v>305</v>
      </c>
      <c r="G32" s="12"/>
      <c r="H32" s="11" t="s">
        <v>6864</v>
      </c>
      <c r="J32" s="5" t="s">
        <v>3990</v>
      </c>
      <c r="K32" s="11" t="s">
        <v>1387</v>
      </c>
      <c r="N32" s="11" t="s">
        <v>6862</v>
      </c>
      <c r="O32" s="11" t="s">
        <v>815</v>
      </c>
      <c r="P32" s="5" t="s">
        <v>6923</v>
      </c>
      <c r="Q32" s="5"/>
    </row>
    <row r="33" spans="1:17" x14ac:dyDescent="0.25">
      <c r="A33" s="11" t="s">
        <v>3035</v>
      </c>
      <c r="B33" s="5" t="s">
        <v>3041</v>
      </c>
      <c r="C33" s="11" t="s">
        <v>3043</v>
      </c>
      <c r="D33" s="11" t="s">
        <v>1660</v>
      </c>
      <c r="E33">
        <v>1</v>
      </c>
      <c r="F33" s="11" t="s">
        <v>81</v>
      </c>
      <c r="G33" s="11" t="s">
        <v>6998</v>
      </c>
      <c r="H33" s="11" t="s">
        <v>6864</v>
      </c>
      <c r="J33" s="5" t="s">
        <v>3990</v>
      </c>
      <c r="K33" s="11" t="s">
        <v>1475</v>
      </c>
      <c r="N33" s="11" t="s">
        <v>6884</v>
      </c>
      <c r="O33" s="11" t="s">
        <v>3044</v>
      </c>
      <c r="P33" s="5" t="s">
        <v>4381</v>
      </c>
      <c r="Q33" s="5" t="s">
        <v>4379</v>
      </c>
    </row>
    <row r="34" spans="1:17" x14ac:dyDescent="0.25">
      <c r="A34" s="11" t="s">
        <v>631</v>
      </c>
      <c r="B34" s="5" t="s">
        <v>639</v>
      </c>
      <c r="C34" s="11" t="s">
        <v>640</v>
      </c>
      <c r="D34" s="11" t="s">
        <v>641</v>
      </c>
      <c r="E34">
        <v>1</v>
      </c>
      <c r="F34" s="11" t="s">
        <v>6990</v>
      </c>
      <c r="G34" s="11" t="s">
        <v>6998</v>
      </c>
      <c r="H34" s="11" t="s">
        <v>6864</v>
      </c>
      <c r="J34" s="5" t="s">
        <v>3990</v>
      </c>
      <c r="K34" s="11" t="s">
        <v>405</v>
      </c>
      <c r="N34" s="11" t="s">
        <v>6884</v>
      </c>
      <c r="O34" s="11" t="s">
        <v>642</v>
      </c>
      <c r="P34" s="5" t="s">
        <v>244</v>
      </c>
      <c r="Q34" s="5"/>
    </row>
    <row r="35" spans="1:17" x14ac:dyDescent="0.25">
      <c r="A35" s="11" t="s">
        <v>1688</v>
      </c>
      <c r="B35" s="5" t="s">
        <v>1692</v>
      </c>
      <c r="C35" s="11" t="s">
        <v>1032</v>
      </c>
      <c r="D35" s="11" t="s">
        <v>1694</v>
      </c>
      <c r="E35">
        <v>1</v>
      </c>
      <c r="F35" s="11" t="s">
        <v>81</v>
      </c>
      <c r="G35" s="11" t="s">
        <v>6998</v>
      </c>
      <c r="H35" s="11" t="s">
        <v>6864</v>
      </c>
      <c r="J35" s="5" t="s">
        <v>3990</v>
      </c>
      <c r="K35" s="11" t="s">
        <v>662</v>
      </c>
      <c r="N35" s="11" t="s">
        <v>6884</v>
      </c>
      <c r="O35" s="11" t="s">
        <v>62</v>
      </c>
      <c r="P35" s="5" t="s">
        <v>5903</v>
      </c>
      <c r="Q35" s="5" t="s">
        <v>5902</v>
      </c>
    </row>
    <row r="36" spans="1:17" x14ac:dyDescent="0.25">
      <c r="A36" s="11" t="s">
        <v>1337</v>
      </c>
      <c r="B36" s="5" t="s">
        <v>1341</v>
      </c>
      <c r="C36" s="11" t="s">
        <v>589</v>
      </c>
      <c r="D36" s="11" t="s">
        <v>660</v>
      </c>
      <c r="E36">
        <v>0</v>
      </c>
      <c r="F36" s="11" t="s">
        <v>305</v>
      </c>
      <c r="G36" s="12"/>
      <c r="H36" s="11" t="s">
        <v>6864</v>
      </c>
      <c r="J36" s="5" t="s">
        <v>3990</v>
      </c>
      <c r="K36" s="11" t="s">
        <v>6925</v>
      </c>
      <c r="N36" s="11" t="s">
        <v>6862</v>
      </c>
      <c r="O36" s="11" t="s">
        <v>6924</v>
      </c>
      <c r="P36" s="5"/>
      <c r="Q36" s="5"/>
    </row>
    <row r="37" spans="1:17" x14ac:dyDescent="0.25">
      <c r="A37" s="11" t="s">
        <v>1337</v>
      </c>
      <c r="B37" s="5" t="s">
        <v>1341</v>
      </c>
      <c r="C37" s="11" t="s">
        <v>327</v>
      </c>
      <c r="D37" s="11" t="s">
        <v>328</v>
      </c>
      <c r="E37">
        <v>1</v>
      </c>
      <c r="F37" s="11" t="s">
        <v>81</v>
      </c>
      <c r="G37" s="11" t="s">
        <v>6998</v>
      </c>
      <c r="H37" s="11" t="s">
        <v>6864</v>
      </c>
      <c r="J37" s="5" t="s">
        <v>3990</v>
      </c>
      <c r="K37" s="11" t="s">
        <v>405</v>
      </c>
      <c r="N37" s="11" t="s">
        <v>6886</v>
      </c>
      <c r="O37" s="11" t="s">
        <v>1343</v>
      </c>
      <c r="P37" s="5" t="s">
        <v>7005</v>
      </c>
      <c r="Q37" s="5" t="s">
        <v>7004</v>
      </c>
    </row>
    <row r="38" spans="1:17" x14ac:dyDescent="0.25">
      <c r="A38" s="11" t="s">
        <v>2608</v>
      </c>
      <c r="B38" s="5" t="s">
        <v>3427</v>
      </c>
      <c r="C38" s="11" t="s">
        <v>83</v>
      </c>
      <c r="D38" s="11" t="s">
        <v>3429</v>
      </c>
      <c r="E38">
        <v>1</v>
      </c>
      <c r="F38" s="11" t="s">
        <v>305</v>
      </c>
      <c r="G38" s="12"/>
      <c r="H38" s="11" t="s">
        <v>6905</v>
      </c>
      <c r="J38" s="5" t="s">
        <v>3990</v>
      </c>
      <c r="K38" s="11" t="s">
        <v>6916</v>
      </c>
      <c r="N38" s="11" t="s">
        <v>6867</v>
      </c>
      <c r="O38" s="11" t="s">
        <v>3430</v>
      </c>
      <c r="P38" s="5" t="s">
        <v>5165</v>
      </c>
      <c r="Q38" s="5"/>
    </row>
    <row r="39" spans="1:17" x14ac:dyDescent="0.25">
      <c r="A39" s="11" t="s">
        <v>2679</v>
      </c>
      <c r="B39" s="5" t="s">
        <v>2682</v>
      </c>
      <c r="C39" s="11" t="s">
        <v>559</v>
      </c>
      <c r="D39" s="11" t="s">
        <v>1694</v>
      </c>
      <c r="E39">
        <v>1</v>
      </c>
      <c r="F39" s="11" t="s">
        <v>305</v>
      </c>
      <c r="G39" s="12"/>
      <c r="H39" s="12"/>
      <c r="J39" s="5" t="s">
        <v>3990</v>
      </c>
      <c r="K39" s="11" t="s">
        <v>945</v>
      </c>
      <c r="N39" s="11" t="s">
        <v>6862</v>
      </c>
      <c r="O39" s="11" t="s">
        <v>2222</v>
      </c>
      <c r="P39" s="5" t="s">
        <v>5413</v>
      </c>
      <c r="Q39" s="5"/>
    </row>
    <row r="40" spans="1:17" x14ac:dyDescent="0.25">
      <c r="A40" s="11" t="s">
        <v>1829</v>
      </c>
      <c r="B40" s="5" t="s">
        <v>1832</v>
      </c>
      <c r="C40" s="11" t="s">
        <v>559</v>
      </c>
      <c r="D40" s="11" t="s">
        <v>848</v>
      </c>
      <c r="E40">
        <v>1</v>
      </c>
      <c r="F40" s="11" t="s">
        <v>6895</v>
      </c>
      <c r="G40" s="12"/>
      <c r="H40" s="11" t="s">
        <v>6864</v>
      </c>
      <c r="J40" s="5" t="s">
        <v>3990</v>
      </c>
      <c r="K40" s="11" t="s">
        <v>1835</v>
      </c>
      <c r="N40" s="11" t="s">
        <v>6862</v>
      </c>
      <c r="O40" s="11" t="s">
        <v>1834</v>
      </c>
      <c r="P40" s="5" t="s">
        <v>6063</v>
      </c>
      <c r="Q40" s="5"/>
    </row>
    <row r="41" spans="1:17" x14ac:dyDescent="0.25">
      <c r="A41" s="11" t="s">
        <v>719</v>
      </c>
      <c r="B41" s="5" t="s">
        <v>727</v>
      </c>
      <c r="C41" s="11" t="s">
        <v>729</v>
      </c>
      <c r="D41" s="11" t="s">
        <v>541</v>
      </c>
      <c r="E41">
        <v>1</v>
      </c>
      <c r="F41" s="11" t="s">
        <v>6990</v>
      </c>
      <c r="G41" s="11" t="s">
        <v>6998</v>
      </c>
      <c r="H41" s="11" t="s">
        <v>6864</v>
      </c>
      <c r="I41" s="5">
        <v>211</v>
      </c>
      <c r="J41" s="5" t="s">
        <v>3990</v>
      </c>
      <c r="K41" s="11" t="s">
        <v>405</v>
      </c>
      <c r="N41" s="11" t="s">
        <v>6884</v>
      </c>
      <c r="O41" s="11" t="s">
        <v>542</v>
      </c>
      <c r="P41" s="5" t="s">
        <v>7392</v>
      </c>
      <c r="Q41" s="5" t="s">
        <v>7482</v>
      </c>
    </row>
    <row r="42" spans="1:17" x14ac:dyDescent="0.25">
      <c r="A42" s="11" t="s">
        <v>1707</v>
      </c>
      <c r="B42" s="5" t="s">
        <v>1712</v>
      </c>
      <c r="C42" s="11" t="s">
        <v>752</v>
      </c>
      <c r="D42" s="11" t="s">
        <v>86</v>
      </c>
      <c r="E42">
        <v>1</v>
      </c>
      <c r="F42" s="11" t="s">
        <v>6881</v>
      </c>
      <c r="G42" s="11" t="s">
        <v>6998</v>
      </c>
      <c r="H42" s="11" t="s">
        <v>6864</v>
      </c>
      <c r="J42" s="5" t="s">
        <v>3990</v>
      </c>
      <c r="K42" s="11" t="s">
        <v>786</v>
      </c>
      <c r="N42" s="11" t="s">
        <v>6884</v>
      </c>
      <c r="O42" s="11" t="s">
        <v>149</v>
      </c>
      <c r="P42" s="5" t="s">
        <v>4957</v>
      </c>
      <c r="Q42" s="5" t="s">
        <v>4956</v>
      </c>
    </row>
    <row r="43" spans="1:17" x14ac:dyDescent="0.25">
      <c r="A43" s="11" t="s">
        <v>2645</v>
      </c>
      <c r="B43" s="5" t="s">
        <v>2651</v>
      </c>
      <c r="C43" s="11" t="s">
        <v>1487</v>
      </c>
      <c r="D43" s="11" t="s">
        <v>2653</v>
      </c>
      <c r="E43">
        <v>1</v>
      </c>
      <c r="F43" s="11" t="s">
        <v>81</v>
      </c>
      <c r="G43" s="11" t="s">
        <v>6998</v>
      </c>
      <c r="H43" s="11" t="s">
        <v>6864</v>
      </c>
      <c r="I43" s="5">
        <v>211</v>
      </c>
      <c r="J43" s="5" t="s">
        <v>3990</v>
      </c>
      <c r="K43" s="11" t="s">
        <v>1475</v>
      </c>
      <c r="N43" s="11" t="s">
        <v>6884</v>
      </c>
      <c r="O43" s="11" t="s">
        <v>2654</v>
      </c>
      <c r="P43" s="5" t="s">
        <v>5522</v>
      </c>
      <c r="Q43" s="5" t="s">
        <v>7483</v>
      </c>
    </row>
    <row r="44" spans="1:17" x14ac:dyDescent="0.25">
      <c r="A44" s="11" t="s">
        <v>2589</v>
      </c>
      <c r="B44" s="5" t="s">
        <v>2596</v>
      </c>
      <c r="C44" s="11" t="s">
        <v>2597</v>
      </c>
      <c r="D44" s="11" t="s">
        <v>2598</v>
      </c>
      <c r="E44">
        <v>1</v>
      </c>
      <c r="F44" s="11" t="s">
        <v>81</v>
      </c>
      <c r="G44" s="12"/>
      <c r="H44" s="11" t="s">
        <v>6863</v>
      </c>
      <c r="J44" s="5" t="s">
        <v>3990</v>
      </c>
      <c r="K44" s="11" t="s">
        <v>1595</v>
      </c>
      <c r="N44" s="11" t="s">
        <v>6862</v>
      </c>
      <c r="O44" s="11" t="s">
        <v>2599</v>
      </c>
      <c r="P44" s="5" t="s">
        <v>4187</v>
      </c>
      <c r="Q44" s="5"/>
    </row>
    <row r="45" spans="1:17" x14ac:dyDescent="0.25">
      <c r="A45" s="11" t="s">
        <v>2162</v>
      </c>
      <c r="B45" s="5" t="s">
        <v>2167</v>
      </c>
      <c r="C45" s="11" t="s">
        <v>2168</v>
      </c>
      <c r="D45" s="11" t="s">
        <v>1694</v>
      </c>
      <c r="E45">
        <v>1</v>
      </c>
      <c r="F45" s="11" t="s">
        <v>81</v>
      </c>
      <c r="G45" s="11" t="s">
        <v>6998</v>
      </c>
      <c r="H45" s="11" t="s">
        <v>6864</v>
      </c>
      <c r="J45" s="5" t="s">
        <v>3990</v>
      </c>
      <c r="K45" s="11" t="s">
        <v>981</v>
      </c>
      <c r="N45" s="11" t="s">
        <v>6884</v>
      </c>
      <c r="O45" s="11" t="s">
        <v>62</v>
      </c>
      <c r="P45" s="5" t="s">
        <v>7393</v>
      </c>
      <c r="Q45" s="5" t="s">
        <v>7484</v>
      </c>
    </row>
    <row r="46" spans="1:17" x14ac:dyDescent="0.25">
      <c r="A46" s="11" t="s">
        <v>3365</v>
      </c>
      <c r="B46" s="5" t="s">
        <v>3368</v>
      </c>
      <c r="C46" s="11" t="s">
        <v>7375</v>
      </c>
      <c r="D46" s="11" t="s">
        <v>1660</v>
      </c>
      <c r="E46">
        <v>1</v>
      </c>
      <c r="F46" s="11" t="s">
        <v>4246</v>
      </c>
      <c r="G46" s="12"/>
      <c r="H46" s="12"/>
      <c r="J46" s="5" t="s">
        <v>3990</v>
      </c>
      <c r="K46" s="11" t="s">
        <v>2969</v>
      </c>
      <c r="N46" s="11" t="s">
        <v>6867</v>
      </c>
      <c r="O46" s="11" t="s">
        <v>3369</v>
      </c>
      <c r="P46" s="5" t="s">
        <v>244</v>
      </c>
      <c r="Q46" s="5"/>
    </row>
    <row r="47" spans="1:17" x14ac:dyDescent="0.25">
      <c r="A47" s="11" t="s">
        <v>527</v>
      </c>
      <c r="B47" s="5" t="s">
        <v>538</v>
      </c>
      <c r="C47" s="11" t="s">
        <v>540</v>
      </c>
      <c r="D47" s="11" t="s">
        <v>541</v>
      </c>
      <c r="E47">
        <v>1</v>
      </c>
      <c r="F47" s="11" t="s">
        <v>6990</v>
      </c>
      <c r="G47" s="11" t="s">
        <v>6998</v>
      </c>
      <c r="H47" s="11" t="s">
        <v>6864</v>
      </c>
      <c r="I47" s="5" t="s">
        <v>4474</v>
      </c>
      <c r="J47" s="5" t="s">
        <v>4011</v>
      </c>
      <c r="K47" s="11" t="s">
        <v>543</v>
      </c>
      <c r="N47" s="11" t="s">
        <v>6884</v>
      </c>
      <c r="O47" s="11" t="s">
        <v>7012</v>
      </c>
      <c r="P47" s="5" t="s">
        <v>7394</v>
      </c>
      <c r="Q47" s="5" t="s">
        <v>7485</v>
      </c>
    </row>
    <row r="48" spans="1:17" x14ac:dyDescent="0.25">
      <c r="A48" s="11" t="s">
        <v>2700</v>
      </c>
      <c r="B48" s="5" t="s">
        <v>2704</v>
      </c>
      <c r="C48" s="11" t="s">
        <v>559</v>
      </c>
      <c r="D48" s="11" t="s">
        <v>1694</v>
      </c>
      <c r="E48">
        <v>1</v>
      </c>
      <c r="F48" s="11" t="s">
        <v>6895</v>
      </c>
      <c r="G48" s="12"/>
      <c r="H48" s="11" t="s">
        <v>6864</v>
      </c>
      <c r="J48" s="5" t="s">
        <v>3990</v>
      </c>
      <c r="K48" s="11" t="s">
        <v>2067</v>
      </c>
      <c r="N48" s="11" t="s">
        <v>6867</v>
      </c>
      <c r="O48" s="11" t="s">
        <v>2140</v>
      </c>
      <c r="P48" s="5" t="s">
        <v>6898</v>
      </c>
      <c r="Q48" s="5"/>
    </row>
    <row r="49" spans="1:17" x14ac:dyDescent="0.25">
      <c r="A49" s="11" t="s">
        <v>1479</v>
      </c>
      <c r="B49" s="5" t="s">
        <v>1485</v>
      </c>
      <c r="C49" s="11" t="s">
        <v>1487</v>
      </c>
      <c r="D49" s="11" t="s">
        <v>715</v>
      </c>
      <c r="E49">
        <v>1</v>
      </c>
      <c r="F49" s="11" t="s">
        <v>6881</v>
      </c>
      <c r="G49" s="11" t="s">
        <v>6998</v>
      </c>
      <c r="H49" s="11" t="s">
        <v>6864</v>
      </c>
      <c r="I49" s="5">
        <v>211</v>
      </c>
      <c r="J49" s="5" t="s">
        <v>3990</v>
      </c>
      <c r="K49" s="11" t="s">
        <v>1200</v>
      </c>
      <c r="N49" s="11" t="s">
        <v>6884</v>
      </c>
      <c r="O49" s="11" t="s">
        <v>1488</v>
      </c>
      <c r="P49" s="5" t="s">
        <v>7000</v>
      </c>
      <c r="Q49" s="5" t="s">
        <v>7486</v>
      </c>
    </row>
    <row r="50" spans="1:17" x14ac:dyDescent="0.25">
      <c r="A50" s="11" t="s">
        <v>2408</v>
      </c>
      <c r="B50" s="5" t="s">
        <v>2412</v>
      </c>
      <c r="C50" s="11" t="s">
        <v>1103</v>
      </c>
      <c r="D50" s="11" t="s">
        <v>1807</v>
      </c>
      <c r="E50">
        <v>1</v>
      </c>
      <c r="F50" s="11" t="s">
        <v>305</v>
      </c>
      <c r="G50" s="12"/>
      <c r="H50" s="11" t="s">
        <v>6920</v>
      </c>
      <c r="I50" s="5">
        <v>211</v>
      </c>
      <c r="J50" s="5" t="s">
        <v>3990</v>
      </c>
      <c r="K50" s="11" t="s">
        <v>1906</v>
      </c>
      <c r="N50" s="11" t="s">
        <v>6879</v>
      </c>
      <c r="O50" s="11" t="s">
        <v>2413</v>
      </c>
      <c r="P50" s="5" t="s">
        <v>6155</v>
      </c>
      <c r="Q50" s="5"/>
    </row>
    <row r="51" spans="1:17" x14ac:dyDescent="0.25">
      <c r="A51" s="11" t="s">
        <v>2780</v>
      </c>
      <c r="B51" s="5" t="s">
        <v>2784</v>
      </c>
      <c r="C51" s="11" t="s">
        <v>1032</v>
      </c>
      <c r="D51" s="11" t="s">
        <v>1434</v>
      </c>
      <c r="E51">
        <v>1</v>
      </c>
      <c r="F51" s="11" t="s">
        <v>6983</v>
      </c>
      <c r="G51" s="11" t="s">
        <v>6982</v>
      </c>
      <c r="H51" s="11" t="s">
        <v>6887</v>
      </c>
      <c r="J51" s="5" t="s">
        <v>3990</v>
      </c>
      <c r="K51" s="11" t="s">
        <v>2787</v>
      </c>
      <c r="N51" s="11" t="s">
        <v>6862</v>
      </c>
      <c r="O51" s="11" t="s">
        <v>2786</v>
      </c>
      <c r="P51" s="5"/>
      <c r="Q51" s="5"/>
    </row>
    <row r="52" spans="1:17" x14ac:dyDescent="0.25">
      <c r="A52" s="11" t="s">
        <v>2780</v>
      </c>
      <c r="B52" s="5" t="s">
        <v>2784</v>
      </c>
      <c r="C52" s="11" t="s">
        <v>7009</v>
      </c>
      <c r="D52" s="11" t="s">
        <v>86</v>
      </c>
      <c r="E52">
        <v>0</v>
      </c>
      <c r="F52" s="11" t="s">
        <v>81</v>
      </c>
      <c r="G52" s="11" t="s">
        <v>6998</v>
      </c>
      <c r="H52" s="11" t="s">
        <v>6864</v>
      </c>
      <c r="J52" s="5" t="s">
        <v>3990</v>
      </c>
      <c r="K52" s="11" t="s">
        <v>828</v>
      </c>
      <c r="N52" s="11" t="s">
        <v>6884</v>
      </c>
      <c r="O52" s="11" t="s">
        <v>149</v>
      </c>
      <c r="P52" s="5" t="s">
        <v>7374</v>
      </c>
      <c r="Q52" s="5" t="s">
        <v>5567</v>
      </c>
    </row>
    <row r="53" spans="1:17" x14ac:dyDescent="0.25">
      <c r="A53" s="11" t="s">
        <v>2710</v>
      </c>
      <c r="B53" s="5" t="s">
        <v>2713</v>
      </c>
      <c r="C53" s="11" t="s">
        <v>1410</v>
      </c>
      <c r="D53" s="11" t="s">
        <v>1694</v>
      </c>
      <c r="E53">
        <v>1</v>
      </c>
      <c r="F53" s="11" t="s">
        <v>6895</v>
      </c>
      <c r="G53" s="12"/>
      <c r="H53" s="12"/>
      <c r="J53" s="5" t="s">
        <v>3990</v>
      </c>
      <c r="K53" s="11" t="s">
        <v>2067</v>
      </c>
      <c r="N53" s="11" t="s">
        <v>6862</v>
      </c>
      <c r="O53" s="11" t="s">
        <v>2301</v>
      </c>
      <c r="P53" s="5" t="s">
        <v>4407</v>
      </c>
      <c r="Q53" s="5"/>
    </row>
    <row r="54" spans="1:17" x14ac:dyDescent="0.25">
      <c r="A54" s="11" t="s">
        <v>1501</v>
      </c>
      <c r="B54" s="5" t="s">
        <v>1506</v>
      </c>
      <c r="C54" s="11" t="s">
        <v>1508</v>
      </c>
      <c r="D54" s="11" t="s">
        <v>541</v>
      </c>
      <c r="E54">
        <v>1</v>
      </c>
      <c r="F54" s="11" t="s">
        <v>6881</v>
      </c>
      <c r="G54" s="11" t="s">
        <v>6998</v>
      </c>
      <c r="H54" s="11" t="s">
        <v>6864</v>
      </c>
      <c r="J54" s="5" t="s">
        <v>3990</v>
      </c>
      <c r="K54" s="11" t="s">
        <v>84</v>
      </c>
      <c r="N54" s="11" t="s">
        <v>6884</v>
      </c>
      <c r="O54" s="11" t="s">
        <v>542</v>
      </c>
      <c r="P54" s="5" t="s">
        <v>4762</v>
      </c>
      <c r="Q54" s="5" t="s">
        <v>4761</v>
      </c>
    </row>
    <row r="55" spans="1:17" x14ac:dyDescent="0.25">
      <c r="A55" s="11" t="s">
        <v>1793</v>
      </c>
      <c r="B55" s="5" t="s">
        <v>1799</v>
      </c>
      <c r="C55" s="11" t="s">
        <v>7028</v>
      </c>
      <c r="D55" s="11" t="s">
        <v>715</v>
      </c>
      <c r="E55">
        <v>1</v>
      </c>
      <c r="F55" s="11" t="s">
        <v>6881</v>
      </c>
      <c r="G55" s="11" t="s">
        <v>7030</v>
      </c>
      <c r="H55" s="11" t="s">
        <v>6864</v>
      </c>
      <c r="J55" s="5" t="s">
        <v>3990</v>
      </c>
      <c r="K55" s="11" t="s">
        <v>7029</v>
      </c>
      <c r="N55" s="11" t="s">
        <v>6884</v>
      </c>
      <c r="O55" s="11" t="s">
        <v>109</v>
      </c>
      <c r="P55" s="5" t="s">
        <v>4919</v>
      </c>
      <c r="Q55" s="5" t="s">
        <v>4918</v>
      </c>
    </row>
    <row r="56" spans="1:17" x14ac:dyDescent="0.25">
      <c r="A56" s="11" t="s">
        <v>1793</v>
      </c>
      <c r="B56" s="5" t="s">
        <v>1799</v>
      </c>
      <c r="C56" s="11" t="s">
        <v>7031</v>
      </c>
      <c r="D56" s="11" t="s">
        <v>1807</v>
      </c>
      <c r="E56">
        <v>0</v>
      </c>
      <c r="F56" s="11" t="s">
        <v>6881</v>
      </c>
      <c r="G56" s="11" t="s">
        <v>7032</v>
      </c>
      <c r="H56" s="11" t="s">
        <v>6864</v>
      </c>
      <c r="I56" s="5">
        <v>211</v>
      </c>
      <c r="J56" s="5" t="s">
        <v>3990</v>
      </c>
      <c r="K56" s="11" t="s">
        <v>85</v>
      </c>
      <c r="N56" s="11" t="s">
        <v>6886</v>
      </c>
      <c r="O56" s="11" t="s">
        <v>109</v>
      </c>
      <c r="P56" s="5"/>
      <c r="Q56" s="5"/>
    </row>
    <row r="57" spans="1:17" x14ac:dyDescent="0.25">
      <c r="A57" s="11" t="s">
        <v>1651</v>
      </c>
      <c r="B57" s="5" t="s">
        <v>1657</v>
      </c>
      <c r="C57" s="11" t="s">
        <v>1659</v>
      </c>
      <c r="D57" s="11" t="s">
        <v>1660</v>
      </c>
      <c r="E57">
        <v>1</v>
      </c>
      <c r="F57" s="11" t="s">
        <v>6881</v>
      </c>
      <c r="G57" s="11" t="s">
        <v>6998</v>
      </c>
      <c r="H57" s="11" t="s">
        <v>6864</v>
      </c>
      <c r="J57" s="5" t="s">
        <v>3990</v>
      </c>
      <c r="K57" s="11" t="s">
        <v>662</v>
      </c>
      <c r="N57" s="11" t="s">
        <v>6884</v>
      </c>
      <c r="O57" s="11" t="s">
        <v>1661</v>
      </c>
      <c r="P57" s="5" t="s">
        <v>5002</v>
      </c>
      <c r="Q57" s="5" t="s">
        <v>5000</v>
      </c>
    </row>
    <row r="58" spans="1:17" x14ac:dyDescent="0.25">
      <c r="A58" s="11" t="s">
        <v>1301</v>
      </c>
      <c r="B58" s="5" t="s">
        <v>1307</v>
      </c>
      <c r="C58" s="11" t="s">
        <v>1309</v>
      </c>
      <c r="D58" s="11" t="s">
        <v>660</v>
      </c>
      <c r="E58">
        <v>1</v>
      </c>
      <c r="F58" s="11" t="s">
        <v>81</v>
      </c>
      <c r="G58" s="11" t="s">
        <v>7038</v>
      </c>
      <c r="H58" s="11" t="s">
        <v>6864</v>
      </c>
      <c r="J58" s="5" t="s">
        <v>3990</v>
      </c>
      <c r="K58" s="11" t="s">
        <v>7037</v>
      </c>
      <c r="N58" s="11" t="s">
        <v>6884</v>
      </c>
      <c r="O58" s="11" t="s">
        <v>1310</v>
      </c>
      <c r="P58" s="5" t="s">
        <v>4054</v>
      </c>
      <c r="Q58" s="5" t="s">
        <v>7039</v>
      </c>
    </row>
    <row r="59" spans="1:17" x14ac:dyDescent="0.25">
      <c r="A59" s="11" t="s">
        <v>1763</v>
      </c>
      <c r="B59" s="5" t="s">
        <v>1768</v>
      </c>
      <c r="C59" s="11" t="s">
        <v>1978</v>
      </c>
      <c r="D59" s="11" t="s">
        <v>541</v>
      </c>
      <c r="E59">
        <v>1</v>
      </c>
      <c r="F59" s="12"/>
      <c r="G59" s="12"/>
      <c r="H59" s="11" t="s">
        <v>6864</v>
      </c>
      <c r="J59" s="5" t="s">
        <v>3990</v>
      </c>
      <c r="K59" s="11" t="s">
        <v>6880</v>
      </c>
      <c r="N59" s="11" t="s">
        <v>6867</v>
      </c>
      <c r="O59" s="11" t="s">
        <v>90</v>
      </c>
      <c r="P59" s="5"/>
      <c r="Q59" s="5"/>
    </row>
    <row r="60" spans="1:17" x14ac:dyDescent="0.25">
      <c r="A60" s="11" t="s">
        <v>3229</v>
      </c>
      <c r="B60" s="5" t="s">
        <v>3234</v>
      </c>
      <c r="C60" s="11" t="s">
        <v>83</v>
      </c>
      <c r="D60" s="11" t="s">
        <v>2029</v>
      </c>
      <c r="E60">
        <v>1</v>
      </c>
      <c r="F60" s="11" t="s">
        <v>81</v>
      </c>
      <c r="G60" s="12"/>
      <c r="H60" s="11" t="s">
        <v>6864</v>
      </c>
      <c r="I60" s="5">
        <v>211</v>
      </c>
      <c r="J60" s="5" t="s">
        <v>3990</v>
      </c>
      <c r="K60" s="11" t="s">
        <v>1986</v>
      </c>
      <c r="N60" s="11" t="s">
        <v>6884</v>
      </c>
      <c r="O60" s="11" t="s">
        <v>2579</v>
      </c>
      <c r="P60" s="5" t="s">
        <v>5129</v>
      </c>
      <c r="Q60" s="5" t="s">
        <v>5128</v>
      </c>
    </row>
    <row r="61" spans="1:17" x14ac:dyDescent="0.25">
      <c r="A61" s="11" t="s">
        <v>1025</v>
      </c>
      <c r="B61" s="5" t="s">
        <v>1030</v>
      </c>
      <c r="C61" s="11" t="s">
        <v>1032</v>
      </c>
      <c r="D61" s="11" t="s">
        <v>641</v>
      </c>
      <c r="E61">
        <v>1</v>
      </c>
      <c r="F61" s="11" t="s">
        <v>6990</v>
      </c>
      <c r="G61" s="11" t="s">
        <v>6991</v>
      </c>
      <c r="H61" s="11" t="s">
        <v>6864</v>
      </c>
      <c r="J61" s="5" t="s">
        <v>3990</v>
      </c>
      <c r="K61" s="11" t="s">
        <v>1033</v>
      </c>
      <c r="N61" s="11" t="s">
        <v>6884</v>
      </c>
      <c r="O61" s="11" t="s">
        <v>642</v>
      </c>
      <c r="P61" s="5" t="s">
        <v>7395</v>
      </c>
      <c r="Q61" s="5" t="s">
        <v>7487</v>
      </c>
    </row>
    <row r="62" spans="1:17" x14ac:dyDescent="0.25">
      <c r="A62" s="11" t="s">
        <v>924</v>
      </c>
      <c r="B62" s="5" t="s">
        <v>931</v>
      </c>
      <c r="C62" s="11" t="s">
        <v>559</v>
      </c>
      <c r="D62" s="11" t="s">
        <v>283</v>
      </c>
      <c r="E62">
        <v>1</v>
      </c>
      <c r="F62" s="11" t="s">
        <v>305</v>
      </c>
      <c r="G62" s="12"/>
      <c r="H62" s="11" t="s">
        <v>6864</v>
      </c>
      <c r="J62" s="5" t="s">
        <v>3990</v>
      </c>
      <c r="K62" s="11" t="s">
        <v>933</v>
      </c>
      <c r="N62" s="11" t="s">
        <v>6862</v>
      </c>
      <c r="O62" s="11" t="s">
        <v>466</v>
      </c>
      <c r="P62" s="5" t="s">
        <v>7396</v>
      </c>
      <c r="Q62" s="5"/>
    </row>
    <row r="63" spans="1:17" x14ac:dyDescent="0.25">
      <c r="A63" s="11" t="s">
        <v>2181</v>
      </c>
      <c r="B63" s="5" t="s">
        <v>2187</v>
      </c>
      <c r="C63" s="11" t="s">
        <v>6941</v>
      </c>
      <c r="D63" s="11" t="s">
        <v>2190</v>
      </c>
      <c r="E63">
        <v>1</v>
      </c>
      <c r="F63" s="11" t="s">
        <v>4246</v>
      </c>
      <c r="G63" s="12"/>
      <c r="H63" s="12"/>
      <c r="J63" s="5" t="s">
        <v>3990</v>
      </c>
      <c r="K63" s="11" t="s">
        <v>2192</v>
      </c>
      <c r="N63" s="11" t="s">
        <v>6862</v>
      </c>
      <c r="O63" s="11" t="s">
        <v>2191</v>
      </c>
      <c r="P63" s="5"/>
      <c r="Q63" s="5"/>
    </row>
    <row r="64" spans="1:17" x14ac:dyDescent="0.25">
      <c r="A64" s="11" t="s">
        <v>3312</v>
      </c>
      <c r="B64" s="5" t="s">
        <v>3316</v>
      </c>
      <c r="C64" s="11" t="s">
        <v>5334</v>
      </c>
      <c r="D64" s="11" t="s">
        <v>3252</v>
      </c>
      <c r="E64">
        <v>1</v>
      </c>
      <c r="F64" s="11" t="s">
        <v>120</v>
      </c>
      <c r="G64" s="12"/>
      <c r="H64" s="12"/>
      <c r="J64" s="5" t="s">
        <v>3990</v>
      </c>
      <c r="K64" s="12"/>
      <c r="N64" s="11" t="s">
        <v>6867</v>
      </c>
      <c r="O64" s="11" t="s">
        <v>3301</v>
      </c>
      <c r="P64" s="5" t="s">
        <v>7397</v>
      </c>
      <c r="Q64" s="5"/>
    </row>
    <row r="65" spans="1:17" x14ac:dyDescent="0.25">
      <c r="A65" s="11" t="s">
        <v>652</v>
      </c>
      <c r="B65" s="5" t="s">
        <v>658</v>
      </c>
      <c r="C65" s="11" t="s">
        <v>559</v>
      </c>
      <c r="D65" s="11" t="s">
        <v>660</v>
      </c>
      <c r="E65">
        <v>1</v>
      </c>
      <c r="F65" s="11" t="s">
        <v>305</v>
      </c>
      <c r="G65" s="12"/>
      <c r="H65" s="11" t="s">
        <v>6864</v>
      </c>
      <c r="J65" s="5" t="s">
        <v>3990</v>
      </c>
      <c r="K65" s="12"/>
      <c r="N65" s="11" t="s">
        <v>6862</v>
      </c>
      <c r="O65" s="11" t="s">
        <v>661</v>
      </c>
      <c r="P65" s="5" t="s">
        <v>7398</v>
      </c>
      <c r="Q65" s="5"/>
    </row>
    <row r="66" spans="1:17" x14ac:dyDescent="0.25">
      <c r="A66" s="11" t="s">
        <v>988</v>
      </c>
      <c r="B66" s="5" t="s">
        <v>992</v>
      </c>
      <c r="C66" s="11" t="s">
        <v>589</v>
      </c>
      <c r="D66" s="11" t="s">
        <v>283</v>
      </c>
      <c r="E66">
        <v>1</v>
      </c>
      <c r="F66" s="11" t="s">
        <v>305</v>
      </c>
      <c r="G66" s="12"/>
      <c r="H66" s="11" t="s">
        <v>6864</v>
      </c>
      <c r="J66" s="5" t="s">
        <v>3990</v>
      </c>
      <c r="K66" s="11" t="s">
        <v>613</v>
      </c>
      <c r="N66" s="11" t="s">
        <v>6862</v>
      </c>
      <c r="O66" s="11" t="s">
        <v>366</v>
      </c>
      <c r="P66" s="5" t="s">
        <v>7399</v>
      </c>
      <c r="Q66" s="5"/>
    </row>
    <row r="67" spans="1:17" x14ac:dyDescent="0.25">
      <c r="A67" s="11" t="s">
        <v>982</v>
      </c>
      <c r="B67" s="5" t="s">
        <v>986</v>
      </c>
      <c r="C67" s="11" t="s">
        <v>589</v>
      </c>
      <c r="D67" s="11" t="s">
        <v>283</v>
      </c>
      <c r="E67">
        <v>1</v>
      </c>
      <c r="F67" s="11" t="s">
        <v>305</v>
      </c>
      <c r="G67" s="12"/>
      <c r="H67" s="11" t="s">
        <v>6864</v>
      </c>
      <c r="J67" s="5" t="s">
        <v>3990</v>
      </c>
      <c r="K67" s="11" t="s">
        <v>613</v>
      </c>
      <c r="N67" s="11" t="s">
        <v>6862</v>
      </c>
      <c r="O67" s="11" t="s">
        <v>366</v>
      </c>
      <c r="P67" s="5" t="s">
        <v>7400</v>
      </c>
      <c r="Q67" s="5"/>
    </row>
    <row r="68" spans="1:17" x14ac:dyDescent="0.25">
      <c r="A68" s="11" t="s">
        <v>1363</v>
      </c>
      <c r="B68" s="5" t="s">
        <v>1369</v>
      </c>
      <c r="C68" s="11" t="s">
        <v>1371</v>
      </c>
      <c r="D68" s="11" t="s">
        <v>660</v>
      </c>
      <c r="E68">
        <v>1</v>
      </c>
      <c r="F68" s="11" t="s">
        <v>6881</v>
      </c>
      <c r="G68" s="11" t="s">
        <v>6998</v>
      </c>
      <c r="H68" s="11" t="s">
        <v>6864</v>
      </c>
      <c r="J68" s="5" t="s">
        <v>3990</v>
      </c>
      <c r="K68" s="11" t="s">
        <v>1373</v>
      </c>
      <c r="N68" s="11" t="s">
        <v>6884</v>
      </c>
      <c r="O68" s="11" t="s">
        <v>1372</v>
      </c>
      <c r="P68" s="5" t="s">
        <v>5910</v>
      </c>
      <c r="Q68" s="5" t="s">
        <v>5908</v>
      </c>
    </row>
    <row r="69" spans="1:17" x14ac:dyDescent="0.25">
      <c r="A69" s="11" t="s">
        <v>3047</v>
      </c>
      <c r="B69" s="5" t="s">
        <v>3052</v>
      </c>
      <c r="C69" s="11" t="s">
        <v>1032</v>
      </c>
      <c r="D69" s="11" t="s">
        <v>1322</v>
      </c>
      <c r="E69">
        <v>1</v>
      </c>
      <c r="F69" s="11" t="s">
        <v>81</v>
      </c>
      <c r="G69" s="12"/>
      <c r="H69" s="11" t="s">
        <v>6864</v>
      </c>
      <c r="J69" s="5" t="s">
        <v>3990</v>
      </c>
      <c r="K69" s="11" t="s">
        <v>1239</v>
      </c>
      <c r="N69" s="11" t="s">
        <v>6884</v>
      </c>
      <c r="O69" s="11" t="s">
        <v>2859</v>
      </c>
      <c r="P69" s="5" t="s">
        <v>4942</v>
      </c>
      <c r="Q69" s="5" t="s">
        <v>7488</v>
      </c>
    </row>
    <row r="70" spans="1:17" x14ac:dyDescent="0.25">
      <c r="A70" s="11" t="s">
        <v>873</v>
      </c>
      <c r="B70" s="5" t="s">
        <v>884</v>
      </c>
      <c r="C70" s="11" t="s">
        <v>886</v>
      </c>
      <c r="D70" s="11" t="s">
        <v>3898</v>
      </c>
      <c r="E70">
        <v>1</v>
      </c>
      <c r="F70" s="11" t="s">
        <v>6990</v>
      </c>
      <c r="G70" s="11" t="s">
        <v>6998</v>
      </c>
      <c r="H70" s="11" t="s">
        <v>6864</v>
      </c>
      <c r="I70" s="5" t="s">
        <v>4474</v>
      </c>
      <c r="J70" s="5" t="s">
        <v>4011</v>
      </c>
      <c r="K70" s="11" t="s">
        <v>1006</v>
      </c>
      <c r="N70" s="11" t="s">
        <v>6884</v>
      </c>
      <c r="O70" s="11" t="s">
        <v>1333</v>
      </c>
      <c r="P70" s="5" t="s">
        <v>7401</v>
      </c>
      <c r="Q70" s="5" t="s">
        <v>7489</v>
      </c>
    </row>
    <row r="71" spans="1:17" x14ac:dyDescent="0.25">
      <c r="A71" s="11" t="s">
        <v>3218</v>
      </c>
      <c r="B71" s="5" t="s">
        <v>3223</v>
      </c>
      <c r="C71" s="11" t="s">
        <v>327</v>
      </c>
      <c r="D71" s="11" t="s">
        <v>2578</v>
      </c>
      <c r="E71">
        <v>1</v>
      </c>
      <c r="F71" s="11" t="s">
        <v>81</v>
      </c>
      <c r="G71" s="12"/>
      <c r="H71" s="11" t="s">
        <v>6864</v>
      </c>
      <c r="J71" s="5" t="s">
        <v>3990</v>
      </c>
      <c r="K71" s="11" t="s">
        <v>3225</v>
      </c>
      <c r="N71" s="11" t="s">
        <v>6884</v>
      </c>
      <c r="O71" s="11" t="s">
        <v>2833</v>
      </c>
      <c r="P71" s="5" t="s">
        <v>7402</v>
      </c>
      <c r="Q71" s="5" t="s">
        <v>5530</v>
      </c>
    </row>
    <row r="72" spans="1:17" x14ac:dyDescent="0.25">
      <c r="A72" s="11" t="s">
        <v>2060</v>
      </c>
      <c r="B72" s="5" t="s">
        <v>2065</v>
      </c>
      <c r="C72" s="11" t="s">
        <v>559</v>
      </c>
      <c r="D72" s="11" t="s">
        <v>715</v>
      </c>
      <c r="E72">
        <v>1</v>
      </c>
      <c r="F72" s="11" t="s">
        <v>6895</v>
      </c>
      <c r="G72" s="12"/>
      <c r="H72" s="11" t="s">
        <v>6864</v>
      </c>
      <c r="J72" s="5" t="s">
        <v>3990</v>
      </c>
      <c r="K72" s="11" t="s">
        <v>2067</v>
      </c>
      <c r="N72" s="11" t="s">
        <v>6862</v>
      </c>
      <c r="O72" s="11" t="s">
        <v>716</v>
      </c>
      <c r="P72" s="5" t="s">
        <v>6055</v>
      </c>
      <c r="Q72" s="5"/>
    </row>
    <row r="73" spans="1:17" x14ac:dyDescent="0.25">
      <c r="A73" s="11" t="s">
        <v>3552</v>
      </c>
      <c r="B73" s="5" t="s">
        <v>3557</v>
      </c>
      <c r="C73" s="11" t="s">
        <v>3559</v>
      </c>
      <c r="D73" s="11" t="s">
        <v>3560</v>
      </c>
      <c r="E73">
        <v>1</v>
      </c>
      <c r="F73" s="12"/>
      <c r="G73" s="12"/>
      <c r="H73" s="12"/>
      <c r="J73" s="5" t="s">
        <v>3990</v>
      </c>
      <c r="K73" s="12"/>
      <c r="N73" s="11" t="s">
        <v>6862</v>
      </c>
      <c r="O73" s="11" t="s">
        <v>3561</v>
      </c>
      <c r="P73" s="5" t="s">
        <v>244</v>
      </c>
      <c r="Q73" s="5"/>
    </row>
    <row r="74" spans="1:17" x14ac:dyDescent="0.25">
      <c r="A74" s="11" t="s">
        <v>2656</v>
      </c>
      <c r="B74" s="5" t="s">
        <v>2659</v>
      </c>
      <c r="C74" s="11" t="s">
        <v>7375</v>
      </c>
      <c r="D74" s="11" t="s">
        <v>1694</v>
      </c>
      <c r="E74">
        <v>1</v>
      </c>
      <c r="F74" s="11" t="s">
        <v>4246</v>
      </c>
      <c r="G74" s="12"/>
      <c r="H74" s="11" t="s">
        <v>6864</v>
      </c>
      <c r="J74" s="5" t="s">
        <v>3990</v>
      </c>
      <c r="K74" s="11" t="s">
        <v>1762</v>
      </c>
      <c r="N74" s="11" t="s">
        <v>6862</v>
      </c>
      <c r="O74" s="11" t="s">
        <v>2140</v>
      </c>
      <c r="P74" s="5" t="s">
        <v>5428</v>
      </c>
      <c r="Q74" s="5"/>
    </row>
    <row r="75" spans="1:17" x14ac:dyDescent="0.25">
      <c r="A75" s="11" t="s">
        <v>2359</v>
      </c>
      <c r="B75" s="5" t="s">
        <v>2363</v>
      </c>
      <c r="C75" s="11" t="s">
        <v>559</v>
      </c>
      <c r="D75" s="11" t="s">
        <v>1843</v>
      </c>
      <c r="E75">
        <v>1</v>
      </c>
      <c r="F75" s="11" t="s">
        <v>6895</v>
      </c>
      <c r="G75" s="12"/>
      <c r="H75" s="11" t="s">
        <v>6864</v>
      </c>
      <c r="J75" s="5" t="s">
        <v>3990</v>
      </c>
      <c r="K75" s="11" t="s">
        <v>1835</v>
      </c>
      <c r="N75" s="11" t="s">
        <v>6862</v>
      </c>
      <c r="O75" s="11" t="s">
        <v>62</v>
      </c>
      <c r="P75" s="5" t="s">
        <v>5984</v>
      </c>
      <c r="Q75" s="5"/>
    </row>
    <row r="76" spans="1:17" x14ac:dyDescent="0.25">
      <c r="A76" s="11" t="s">
        <v>1557</v>
      </c>
      <c r="B76" s="5" t="s">
        <v>1563</v>
      </c>
      <c r="C76" s="11" t="s">
        <v>1565</v>
      </c>
      <c r="D76" s="11" t="s">
        <v>1434</v>
      </c>
      <c r="E76">
        <v>1</v>
      </c>
      <c r="F76" s="11" t="s">
        <v>81</v>
      </c>
      <c r="G76" s="11" t="s">
        <v>6998</v>
      </c>
      <c r="H76" s="11" t="s">
        <v>6864</v>
      </c>
      <c r="I76" s="5" t="s">
        <v>4474</v>
      </c>
      <c r="J76" s="5" t="s">
        <v>4011</v>
      </c>
      <c r="K76" s="11" t="s">
        <v>1640</v>
      </c>
      <c r="N76" s="11" t="s">
        <v>6884</v>
      </c>
      <c r="O76" s="11" t="s">
        <v>1566</v>
      </c>
      <c r="P76" s="5" t="s">
        <v>4854</v>
      </c>
      <c r="Q76" s="5" t="s">
        <v>4854</v>
      </c>
    </row>
    <row r="77" spans="1:17" x14ac:dyDescent="0.25">
      <c r="A77" s="11" t="s">
        <v>2765</v>
      </c>
      <c r="B77" s="5" t="s">
        <v>2768</v>
      </c>
      <c r="C77" s="11" t="s">
        <v>2769</v>
      </c>
      <c r="D77" s="11" t="s">
        <v>1604</v>
      </c>
      <c r="E77">
        <v>1</v>
      </c>
      <c r="F77" s="11" t="s">
        <v>81</v>
      </c>
      <c r="G77" s="11" t="s">
        <v>6998</v>
      </c>
      <c r="H77" s="11" t="s">
        <v>6864</v>
      </c>
      <c r="J77" s="5" t="s">
        <v>3990</v>
      </c>
      <c r="K77" s="11" t="s">
        <v>1062</v>
      </c>
      <c r="N77" s="11" t="s">
        <v>6884</v>
      </c>
      <c r="O77" s="11" t="s">
        <v>2140</v>
      </c>
      <c r="P77" s="5" t="s">
        <v>5865</v>
      </c>
      <c r="Q77" s="5" t="s">
        <v>5863</v>
      </c>
    </row>
    <row r="78" spans="1:17" x14ac:dyDescent="0.25">
      <c r="A78" s="11" t="s">
        <v>2826</v>
      </c>
      <c r="B78" s="5" t="s">
        <v>2830</v>
      </c>
      <c r="C78" s="11" t="s">
        <v>2832</v>
      </c>
      <c r="D78" s="11" t="s">
        <v>1684</v>
      </c>
      <c r="E78">
        <v>1</v>
      </c>
      <c r="F78" s="11" t="s">
        <v>6957</v>
      </c>
      <c r="G78" s="12"/>
      <c r="H78" s="11" t="s">
        <v>6883</v>
      </c>
      <c r="J78" s="5" t="s">
        <v>3990</v>
      </c>
      <c r="K78" s="11" t="s">
        <v>1326</v>
      </c>
      <c r="N78" s="11" t="s">
        <v>6862</v>
      </c>
      <c r="O78" s="11" t="s">
        <v>2833</v>
      </c>
      <c r="P78" s="5"/>
      <c r="Q78" s="5"/>
    </row>
    <row r="79" spans="1:17" x14ac:dyDescent="0.25">
      <c r="A79" s="11" t="s">
        <v>2153</v>
      </c>
      <c r="B79" s="5" t="s">
        <v>2158</v>
      </c>
      <c r="C79" s="11" t="s">
        <v>6866</v>
      </c>
      <c r="D79" s="11" t="s">
        <v>3252</v>
      </c>
      <c r="E79">
        <v>1</v>
      </c>
      <c r="F79" s="12"/>
      <c r="G79" s="12"/>
      <c r="H79" s="12"/>
      <c r="J79" s="5" t="s">
        <v>3990</v>
      </c>
      <c r="K79" s="12"/>
      <c r="N79" s="11" t="s">
        <v>6867</v>
      </c>
      <c r="O79" s="11" t="s">
        <v>6865</v>
      </c>
      <c r="P79" s="5" t="s">
        <v>244</v>
      </c>
      <c r="Q79" s="5"/>
    </row>
    <row r="80" spans="1:17" x14ac:dyDescent="0.25">
      <c r="A80" s="11" t="s">
        <v>1827</v>
      </c>
      <c r="B80" s="5" t="s">
        <v>3107</v>
      </c>
      <c r="C80" s="11" t="s">
        <v>1032</v>
      </c>
      <c r="D80" s="11" t="s">
        <v>86</v>
      </c>
      <c r="E80">
        <v>1</v>
      </c>
      <c r="F80" s="11" t="s">
        <v>81</v>
      </c>
      <c r="G80" s="12"/>
      <c r="H80" s="11" t="s">
        <v>6864</v>
      </c>
      <c r="J80" s="5" t="s">
        <v>3990</v>
      </c>
      <c r="K80" s="11" t="s">
        <v>786</v>
      </c>
      <c r="N80" s="11" t="s">
        <v>6884</v>
      </c>
      <c r="O80" s="11" t="s">
        <v>149</v>
      </c>
      <c r="P80" s="5" t="s">
        <v>4826</v>
      </c>
      <c r="Q80" s="5" t="s">
        <v>4825</v>
      </c>
    </row>
    <row r="81" spans="1:17" x14ac:dyDescent="0.25">
      <c r="A81" s="11" t="s">
        <v>1886</v>
      </c>
      <c r="B81" s="5" t="s">
        <v>1889</v>
      </c>
      <c r="C81" s="11" t="s">
        <v>559</v>
      </c>
      <c r="D81" s="11" t="s">
        <v>1891</v>
      </c>
      <c r="E81">
        <v>1</v>
      </c>
      <c r="F81" s="11" t="s">
        <v>6895</v>
      </c>
      <c r="G81" s="12"/>
      <c r="H81" s="11" t="s">
        <v>6864</v>
      </c>
      <c r="J81" s="5" t="s">
        <v>3990</v>
      </c>
      <c r="K81" s="11" t="s">
        <v>1787</v>
      </c>
      <c r="N81" s="11" t="s">
        <v>6862</v>
      </c>
      <c r="O81" s="11" t="s">
        <v>1892</v>
      </c>
      <c r="P81" s="5" t="s">
        <v>7403</v>
      </c>
      <c r="Q81" s="5"/>
    </row>
    <row r="82" spans="1:17" x14ac:dyDescent="0.25">
      <c r="A82" s="11" t="s">
        <v>1282</v>
      </c>
      <c r="B82" s="5" t="s">
        <v>1288</v>
      </c>
      <c r="C82" s="11" t="s">
        <v>1032</v>
      </c>
      <c r="D82" s="11" t="s">
        <v>641</v>
      </c>
      <c r="E82">
        <v>1</v>
      </c>
      <c r="F82" s="11" t="s">
        <v>6881</v>
      </c>
      <c r="G82" s="11" t="s">
        <v>6998</v>
      </c>
      <c r="H82" s="11" t="s">
        <v>6864</v>
      </c>
      <c r="J82" s="5" t="s">
        <v>3990</v>
      </c>
      <c r="K82" s="11" t="s">
        <v>1290</v>
      </c>
      <c r="N82" s="11" t="s">
        <v>6884</v>
      </c>
      <c r="O82" s="11" t="s">
        <v>642</v>
      </c>
      <c r="P82" s="5" t="s">
        <v>7404</v>
      </c>
      <c r="Q82" s="5" t="s">
        <v>5339</v>
      </c>
    </row>
    <row r="83" spans="1:17" x14ac:dyDescent="0.25">
      <c r="A83" s="11" t="s">
        <v>2070</v>
      </c>
      <c r="B83" s="5" t="s">
        <v>2074</v>
      </c>
      <c r="C83" s="11" t="s">
        <v>2076</v>
      </c>
      <c r="D83" s="11" t="s">
        <v>715</v>
      </c>
      <c r="E83">
        <v>1</v>
      </c>
      <c r="F83" s="11" t="s">
        <v>7044</v>
      </c>
      <c r="G83" s="12"/>
      <c r="H83" s="11" t="s">
        <v>6864</v>
      </c>
      <c r="J83" s="5" t="s">
        <v>3990</v>
      </c>
      <c r="K83" s="11" t="s">
        <v>2077</v>
      </c>
      <c r="N83" s="11" t="s">
        <v>6862</v>
      </c>
      <c r="O83" s="11" t="s">
        <v>1892</v>
      </c>
      <c r="P83" s="5" t="s">
        <v>6008</v>
      </c>
      <c r="Q83" s="5"/>
    </row>
    <row r="84" spans="1:17" x14ac:dyDescent="0.25">
      <c r="A84" s="11" t="s">
        <v>1880</v>
      </c>
      <c r="B84" s="5" t="s">
        <v>1883</v>
      </c>
      <c r="C84" s="11" t="s">
        <v>559</v>
      </c>
      <c r="D84" s="11" t="s">
        <v>541</v>
      </c>
      <c r="E84">
        <v>1</v>
      </c>
      <c r="F84" s="11" t="s">
        <v>6895</v>
      </c>
      <c r="G84" s="12"/>
      <c r="H84" s="11" t="s">
        <v>6864</v>
      </c>
      <c r="J84" s="5" t="s">
        <v>3990</v>
      </c>
      <c r="K84" s="11" t="s">
        <v>1885</v>
      </c>
      <c r="N84" s="11" t="s">
        <v>6862</v>
      </c>
      <c r="O84" s="11" t="s">
        <v>1614</v>
      </c>
      <c r="P84" s="5" t="s">
        <v>5443</v>
      </c>
      <c r="Q84" s="5"/>
    </row>
    <row r="85" spans="1:17" x14ac:dyDescent="0.25">
      <c r="A85" s="11" t="s">
        <v>412</v>
      </c>
      <c r="B85" s="5" t="s">
        <v>424</v>
      </c>
      <c r="C85" s="11" t="s">
        <v>426</v>
      </c>
      <c r="D85" s="11" t="s">
        <v>121</v>
      </c>
      <c r="E85">
        <v>1</v>
      </c>
      <c r="F85" s="11" t="s">
        <v>6990</v>
      </c>
      <c r="G85" s="11" t="s">
        <v>6998</v>
      </c>
      <c r="H85" s="11" t="s">
        <v>6864</v>
      </c>
      <c r="I85" s="5">
        <v>211</v>
      </c>
      <c r="J85" s="5" t="s">
        <v>3990</v>
      </c>
      <c r="K85" s="11" t="s">
        <v>285</v>
      </c>
      <c r="N85" s="11" t="s">
        <v>6884</v>
      </c>
      <c r="O85" s="11" t="s">
        <v>404</v>
      </c>
      <c r="P85" s="5" t="s">
        <v>7405</v>
      </c>
      <c r="Q85" s="5" t="s">
        <v>7490</v>
      </c>
    </row>
    <row r="86" spans="1:17" x14ac:dyDescent="0.25">
      <c r="A86" s="11" t="s">
        <v>562</v>
      </c>
      <c r="B86" s="5" t="s">
        <v>568</v>
      </c>
      <c r="C86" s="11" t="s">
        <v>559</v>
      </c>
      <c r="D86" s="11" t="s">
        <v>514</v>
      </c>
      <c r="E86">
        <v>1</v>
      </c>
      <c r="F86" s="12"/>
      <c r="G86" s="12"/>
      <c r="H86" s="11" t="s">
        <v>6864</v>
      </c>
      <c r="J86" s="5" t="s">
        <v>3990</v>
      </c>
      <c r="K86" s="11" t="s">
        <v>570</v>
      </c>
      <c r="N86" s="11" t="s">
        <v>6862</v>
      </c>
      <c r="O86" s="11" t="s">
        <v>554</v>
      </c>
      <c r="P86" s="5" t="s">
        <v>7406</v>
      </c>
      <c r="Q86" s="5"/>
    </row>
    <row r="87" spans="1:17" x14ac:dyDescent="0.25">
      <c r="A87" s="11" t="s">
        <v>1820</v>
      </c>
      <c r="B87" s="5" t="s">
        <v>1824</v>
      </c>
      <c r="C87" s="11" t="s">
        <v>1826</v>
      </c>
      <c r="D87" s="11" t="s">
        <v>848</v>
      </c>
      <c r="E87">
        <v>1</v>
      </c>
      <c r="F87" s="11" t="s">
        <v>305</v>
      </c>
      <c r="G87" s="12"/>
      <c r="H87" s="11" t="s">
        <v>6863</v>
      </c>
      <c r="J87" s="5" t="s">
        <v>3990</v>
      </c>
      <c r="K87" s="11" t="s">
        <v>1674</v>
      </c>
      <c r="N87" s="11" t="s">
        <v>6886</v>
      </c>
      <c r="O87" s="11" t="s">
        <v>1673</v>
      </c>
      <c r="P87" s="5" t="s">
        <v>7407</v>
      </c>
      <c r="Q87" s="5"/>
    </row>
    <row r="88" spans="1:17" x14ac:dyDescent="0.25">
      <c r="A88" s="11" t="s">
        <v>2517</v>
      </c>
      <c r="B88" s="5" t="s">
        <v>2524</v>
      </c>
      <c r="C88" s="11" t="s">
        <v>752</v>
      </c>
      <c r="D88" s="11" t="s">
        <v>2526</v>
      </c>
      <c r="E88">
        <v>1</v>
      </c>
      <c r="F88" s="11" t="s">
        <v>81</v>
      </c>
      <c r="G88" s="11" t="s">
        <v>6998</v>
      </c>
      <c r="H88" s="12"/>
      <c r="J88" s="5" t="s">
        <v>3990</v>
      </c>
      <c r="K88" s="11" t="s">
        <v>7010</v>
      </c>
      <c r="N88" s="11" t="s">
        <v>6867</v>
      </c>
      <c r="O88" s="11" t="s">
        <v>2527</v>
      </c>
      <c r="P88" s="5" t="s">
        <v>7011</v>
      </c>
      <c r="Q88" s="5" t="s">
        <v>7011</v>
      </c>
    </row>
    <row r="89" spans="1:17" x14ac:dyDescent="0.25">
      <c r="A89" s="11" t="s">
        <v>2170</v>
      </c>
      <c r="B89" s="5" t="s">
        <v>2175</v>
      </c>
      <c r="C89" s="11" t="s">
        <v>2177</v>
      </c>
      <c r="D89" s="11" t="s">
        <v>1843</v>
      </c>
      <c r="E89">
        <v>1</v>
      </c>
      <c r="F89" s="11" t="s">
        <v>6881</v>
      </c>
      <c r="G89" s="11" t="s">
        <v>7032</v>
      </c>
      <c r="H89" s="11" t="s">
        <v>6864</v>
      </c>
      <c r="J89" s="5" t="s">
        <v>3990</v>
      </c>
      <c r="K89" s="11" t="s">
        <v>2178</v>
      </c>
      <c r="N89" s="11" t="s">
        <v>6884</v>
      </c>
      <c r="O89" s="11" t="s">
        <v>1834</v>
      </c>
      <c r="P89" s="5" t="s">
        <v>7033</v>
      </c>
      <c r="Q89" s="5" t="s">
        <v>4728</v>
      </c>
    </row>
    <row r="90" spans="1:17" x14ac:dyDescent="0.25">
      <c r="A90" s="11" t="s">
        <v>3462</v>
      </c>
      <c r="B90" s="5" t="s">
        <v>3467</v>
      </c>
      <c r="C90" s="11" t="s">
        <v>3469</v>
      </c>
      <c r="D90" s="11" t="s">
        <v>2653</v>
      </c>
      <c r="E90">
        <v>1</v>
      </c>
      <c r="F90" s="11" t="s">
        <v>305</v>
      </c>
      <c r="G90" s="12"/>
      <c r="H90" s="11" t="s">
        <v>6887</v>
      </c>
      <c r="J90" s="5" t="s">
        <v>3990</v>
      </c>
      <c r="K90" s="11" t="s">
        <v>3470</v>
      </c>
      <c r="N90" s="11" t="s">
        <v>6862</v>
      </c>
      <c r="O90" s="11" t="s">
        <v>2859</v>
      </c>
      <c r="P90" s="5" t="s">
        <v>4114</v>
      </c>
      <c r="Q90" s="5"/>
    </row>
    <row r="91" spans="1:17" x14ac:dyDescent="0.25">
      <c r="A91" s="11" t="s">
        <v>620</v>
      </c>
      <c r="B91" s="5" t="s">
        <v>624</v>
      </c>
      <c r="C91" s="11" t="s">
        <v>589</v>
      </c>
      <c r="D91" s="11" t="s">
        <v>514</v>
      </c>
      <c r="E91">
        <v>1</v>
      </c>
      <c r="F91" s="11" t="s">
        <v>6931</v>
      </c>
      <c r="G91" s="12"/>
      <c r="H91" s="11" t="s">
        <v>6864</v>
      </c>
      <c r="J91" s="5" t="s">
        <v>3990</v>
      </c>
      <c r="K91" s="11" t="s">
        <v>613</v>
      </c>
      <c r="N91" s="11" t="s">
        <v>6862</v>
      </c>
      <c r="O91" s="11" t="s">
        <v>284</v>
      </c>
      <c r="P91" s="5" t="s">
        <v>7408</v>
      </c>
      <c r="Q91" s="5"/>
    </row>
    <row r="92" spans="1:17" x14ac:dyDescent="0.25">
      <c r="A92" s="11" t="s">
        <v>3335</v>
      </c>
      <c r="B92" s="5" t="s">
        <v>3340</v>
      </c>
      <c r="C92" s="11" t="s">
        <v>640</v>
      </c>
      <c r="D92" s="11" t="s">
        <v>1322</v>
      </c>
      <c r="E92">
        <v>1</v>
      </c>
      <c r="F92" s="11" t="s">
        <v>81</v>
      </c>
      <c r="G92" s="12"/>
      <c r="H92" s="11" t="s">
        <v>6864</v>
      </c>
      <c r="I92" s="5">
        <v>211</v>
      </c>
      <c r="J92" s="5" t="s">
        <v>3990</v>
      </c>
      <c r="K92" s="11" t="s">
        <v>3342</v>
      </c>
      <c r="N92" s="11" t="s">
        <v>6884</v>
      </c>
      <c r="O92" s="11" t="s">
        <v>2859</v>
      </c>
      <c r="P92" s="5" t="s">
        <v>4814</v>
      </c>
      <c r="Q92" s="5" t="s">
        <v>7488</v>
      </c>
    </row>
    <row r="93" spans="1:17" x14ac:dyDescent="0.25">
      <c r="A93" s="11" t="s">
        <v>817</v>
      </c>
      <c r="B93" s="5" t="s">
        <v>825</v>
      </c>
      <c r="C93" s="11" t="s">
        <v>827</v>
      </c>
      <c r="D93" s="11" t="s">
        <v>89</v>
      </c>
      <c r="E93">
        <v>1</v>
      </c>
      <c r="F93" s="11" t="s">
        <v>6990</v>
      </c>
      <c r="G93" s="11" t="s">
        <v>6998</v>
      </c>
      <c r="H93" s="11" t="s">
        <v>6864</v>
      </c>
      <c r="I93" s="5" t="s">
        <v>4474</v>
      </c>
      <c r="J93" s="5" t="s">
        <v>4011</v>
      </c>
      <c r="K93" s="11" t="s">
        <v>828</v>
      </c>
      <c r="N93" s="11" t="s">
        <v>6884</v>
      </c>
      <c r="O93" s="11" t="s">
        <v>7024</v>
      </c>
      <c r="P93" s="5" t="s">
        <v>7409</v>
      </c>
      <c r="Q93" s="5" t="s">
        <v>7491</v>
      </c>
    </row>
    <row r="94" spans="1:17" x14ac:dyDescent="0.25">
      <c r="A94" s="11" t="s">
        <v>591</v>
      </c>
      <c r="B94" s="5" t="s">
        <v>595</v>
      </c>
      <c r="C94" s="11" t="s">
        <v>597</v>
      </c>
      <c r="D94" s="11" t="s">
        <v>598</v>
      </c>
      <c r="E94">
        <v>1</v>
      </c>
      <c r="F94" s="11" t="s">
        <v>6931</v>
      </c>
      <c r="G94" s="12"/>
      <c r="H94" s="11" t="s">
        <v>6864</v>
      </c>
      <c r="J94" s="5" t="s">
        <v>3990</v>
      </c>
      <c r="K94" s="11" t="s">
        <v>599</v>
      </c>
      <c r="N94" s="11" t="s">
        <v>6862</v>
      </c>
      <c r="O94" s="11" t="s">
        <v>284</v>
      </c>
      <c r="P94" s="5" t="s">
        <v>7410</v>
      </c>
      <c r="Q94" s="5"/>
    </row>
    <row r="95" spans="1:17" x14ac:dyDescent="0.25">
      <c r="A95" s="11" t="s">
        <v>994</v>
      </c>
      <c r="B95" s="5" t="s">
        <v>1002</v>
      </c>
      <c r="C95" s="11" t="s">
        <v>1004</v>
      </c>
      <c r="D95" s="11" t="s">
        <v>121</v>
      </c>
      <c r="E95">
        <v>1</v>
      </c>
      <c r="F95" s="11" t="s">
        <v>6881</v>
      </c>
      <c r="G95" s="11" t="s">
        <v>6998</v>
      </c>
      <c r="H95" s="11" t="s">
        <v>6864</v>
      </c>
      <c r="J95" s="5" t="s">
        <v>3990</v>
      </c>
      <c r="K95" s="11" t="s">
        <v>1006</v>
      </c>
      <c r="N95" s="11" t="s">
        <v>6884</v>
      </c>
      <c r="O95" s="11" t="s">
        <v>1005</v>
      </c>
      <c r="P95" s="5" t="s">
        <v>7411</v>
      </c>
      <c r="Q95" s="5" t="s">
        <v>7492</v>
      </c>
    </row>
    <row r="96" spans="1:17" x14ac:dyDescent="0.25">
      <c r="A96" s="11" t="s">
        <v>1534</v>
      </c>
      <c r="B96" s="5" t="s">
        <v>1539</v>
      </c>
      <c r="C96" s="11" t="s">
        <v>1265</v>
      </c>
      <c r="D96" s="11" t="s">
        <v>641</v>
      </c>
      <c r="E96">
        <v>1</v>
      </c>
      <c r="F96" s="11" t="s">
        <v>81</v>
      </c>
      <c r="G96" s="11" t="s">
        <v>7032</v>
      </c>
      <c r="H96" s="11" t="s">
        <v>6864</v>
      </c>
      <c r="J96" s="5" t="s">
        <v>3990</v>
      </c>
      <c r="K96" s="11" t="s">
        <v>1542</v>
      </c>
      <c r="N96" s="11" t="s">
        <v>6886</v>
      </c>
      <c r="O96" s="11" t="s">
        <v>1541</v>
      </c>
      <c r="P96" s="5" t="s">
        <v>7412</v>
      </c>
      <c r="Q96" s="5" t="s">
        <v>7493</v>
      </c>
    </row>
    <row r="97" spans="1:17" x14ac:dyDescent="0.25">
      <c r="A97" s="11" t="s">
        <v>1963</v>
      </c>
      <c r="B97" s="5" t="s">
        <v>1969</v>
      </c>
      <c r="C97" s="11" t="s">
        <v>83</v>
      </c>
      <c r="D97" s="11" t="s">
        <v>1971</v>
      </c>
      <c r="E97">
        <v>1</v>
      </c>
      <c r="F97" s="11" t="s">
        <v>6881</v>
      </c>
      <c r="G97" s="11" t="s">
        <v>82</v>
      </c>
      <c r="H97" s="11" t="s">
        <v>6864</v>
      </c>
      <c r="I97" s="5">
        <v>211</v>
      </c>
      <c r="J97" s="5" t="s">
        <v>3990</v>
      </c>
      <c r="K97" s="11" t="s">
        <v>84</v>
      </c>
      <c r="N97" s="11" t="s">
        <v>6884</v>
      </c>
      <c r="O97" s="11" t="s">
        <v>109</v>
      </c>
      <c r="P97" s="5" t="s">
        <v>5150</v>
      </c>
      <c r="Q97" s="5" t="s">
        <v>5149</v>
      </c>
    </row>
    <row r="98" spans="1:17" x14ac:dyDescent="0.25">
      <c r="A98" s="11" t="s">
        <v>391</v>
      </c>
      <c r="B98" s="5" t="s">
        <v>401</v>
      </c>
      <c r="C98" s="11" t="s">
        <v>403</v>
      </c>
      <c r="D98" s="11" t="s">
        <v>7013</v>
      </c>
      <c r="E98">
        <v>1</v>
      </c>
      <c r="F98" s="11" t="s">
        <v>6990</v>
      </c>
      <c r="G98" s="11" t="s">
        <v>6998</v>
      </c>
      <c r="H98" s="11" t="s">
        <v>6864</v>
      </c>
      <c r="I98" s="5" t="s">
        <v>4474</v>
      </c>
      <c r="J98" s="5" t="s">
        <v>4011</v>
      </c>
      <c r="K98" s="11" t="s">
        <v>405</v>
      </c>
      <c r="N98" s="11" t="s">
        <v>6884</v>
      </c>
      <c r="O98" s="11" t="s">
        <v>1086</v>
      </c>
      <c r="P98" s="5" t="s">
        <v>7413</v>
      </c>
      <c r="Q98" s="5" t="s">
        <v>7494</v>
      </c>
    </row>
    <row r="99" spans="1:17" x14ac:dyDescent="0.25">
      <c r="A99" s="11" t="s">
        <v>626</v>
      </c>
      <c r="B99" s="5" t="s">
        <v>629</v>
      </c>
      <c r="C99" s="11" t="s">
        <v>589</v>
      </c>
      <c r="D99" s="11" t="s">
        <v>514</v>
      </c>
      <c r="E99">
        <v>1</v>
      </c>
      <c r="F99" s="11" t="s">
        <v>6931</v>
      </c>
      <c r="G99" s="12"/>
      <c r="H99" s="11" t="s">
        <v>6864</v>
      </c>
      <c r="J99" s="5" t="s">
        <v>3990</v>
      </c>
      <c r="K99" s="11" t="s">
        <v>613</v>
      </c>
      <c r="N99" s="11" t="s">
        <v>6862</v>
      </c>
      <c r="O99" s="11" t="s">
        <v>284</v>
      </c>
      <c r="P99" s="5" t="s">
        <v>7414</v>
      </c>
      <c r="Q99" s="5"/>
    </row>
    <row r="100" spans="1:17" x14ac:dyDescent="0.25">
      <c r="A100" s="11" t="s">
        <v>614</v>
      </c>
      <c r="B100" s="5" t="s">
        <v>618</v>
      </c>
      <c r="C100" s="11" t="s">
        <v>589</v>
      </c>
      <c r="D100" s="11" t="s">
        <v>514</v>
      </c>
      <c r="E100">
        <v>1</v>
      </c>
      <c r="F100" s="11" t="s">
        <v>6931</v>
      </c>
      <c r="G100" s="12"/>
      <c r="H100" s="11" t="s">
        <v>6864</v>
      </c>
      <c r="J100" s="5" t="s">
        <v>3990</v>
      </c>
      <c r="K100" s="11" t="s">
        <v>606</v>
      </c>
      <c r="N100" s="11" t="s">
        <v>6862</v>
      </c>
      <c r="O100" s="11" t="s">
        <v>284</v>
      </c>
      <c r="P100" s="5" t="s">
        <v>7415</v>
      </c>
      <c r="Q100" s="5"/>
    </row>
    <row r="101" spans="1:17" x14ac:dyDescent="0.25">
      <c r="A101" s="11" t="s">
        <v>940</v>
      </c>
      <c r="B101" s="5" t="s">
        <v>943</v>
      </c>
      <c r="C101" s="11" t="s">
        <v>559</v>
      </c>
      <c r="D101" s="11" t="s">
        <v>283</v>
      </c>
      <c r="E101">
        <v>1</v>
      </c>
      <c r="F101" s="11" t="s">
        <v>6931</v>
      </c>
      <c r="G101" s="12"/>
      <c r="H101" s="11" t="s">
        <v>6864</v>
      </c>
      <c r="J101" s="5" t="s">
        <v>3990</v>
      </c>
      <c r="K101" s="11" t="s">
        <v>945</v>
      </c>
      <c r="N101" s="11" t="s">
        <v>6862</v>
      </c>
      <c r="O101" s="11" t="s">
        <v>466</v>
      </c>
      <c r="P101" s="5" t="s">
        <v>7416</v>
      </c>
      <c r="Q101" s="5"/>
    </row>
    <row r="102" spans="1:17" x14ac:dyDescent="0.25">
      <c r="A102" s="11" t="s">
        <v>835</v>
      </c>
      <c r="B102" s="5" t="s">
        <v>846</v>
      </c>
      <c r="C102" s="11" t="s">
        <v>83</v>
      </c>
      <c r="D102" s="11" t="s">
        <v>848</v>
      </c>
      <c r="E102">
        <v>1</v>
      </c>
      <c r="F102" s="11" t="s">
        <v>6990</v>
      </c>
      <c r="G102" s="11" t="s">
        <v>6987</v>
      </c>
      <c r="H102" s="11" t="s">
        <v>6864</v>
      </c>
      <c r="I102" s="5">
        <v>211</v>
      </c>
      <c r="J102" s="5" t="s">
        <v>3990</v>
      </c>
      <c r="K102" s="11" t="s">
        <v>6989</v>
      </c>
      <c r="N102" s="11" t="s">
        <v>6884</v>
      </c>
      <c r="O102" s="11" t="s">
        <v>6988</v>
      </c>
      <c r="P102" s="5" t="s">
        <v>7417</v>
      </c>
      <c r="Q102" s="5" t="s">
        <v>7495</v>
      </c>
    </row>
    <row r="103" spans="1:17" x14ac:dyDescent="0.25">
      <c r="A103" s="11" t="s">
        <v>2706</v>
      </c>
      <c r="B103" s="5" t="s">
        <v>2709</v>
      </c>
      <c r="C103" s="11" t="s">
        <v>7375</v>
      </c>
      <c r="D103" s="11" t="s">
        <v>1694</v>
      </c>
      <c r="E103">
        <v>1</v>
      </c>
      <c r="F103" s="12"/>
      <c r="G103" s="12"/>
      <c r="H103" s="12"/>
      <c r="J103" s="5" t="s">
        <v>3990</v>
      </c>
      <c r="K103" s="12"/>
      <c r="N103" s="11" t="s">
        <v>6862</v>
      </c>
      <c r="O103" s="11" t="s">
        <v>715</v>
      </c>
      <c r="P103" s="5" t="s">
        <v>7418</v>
      </c>
      <c r="Q103" s="5"/>
    </row>
    <row r="104" spans="1:17" x14ac:dyDescent="0.25">
      <c r="A104" s="11" t="s">
        <v>1933</v>
      </c>
      <c r="B104" s="5" t="s">
        <v>1938</v>
      </c>
      <c r="C104" s="11" t="s">
        <v>1940</v>
      </c>
      <c r="D104" s="11" t="s">
        <v>848</v>
      </c>
      <c r="E104">
        <v>1</v>
      </c>
      <c r="F104" s="11" t="s">
        <v>6881</v>
      </c>
      <c r="G104" s="11" t="s">
        <v>6996</v>
      </c>
      <c r="H104" s="11" t="s">
        <v>6864</v>
      </c>
      <c r="I104" s="5" t="s">
        <v>4474</v>
      </c>
      <c r="J104" s="5" t="s">
        <v>4011</v>
      </c>
      <c r="K104" s="11" t="s">
        <v>1475</v>
      </c>
      <c r="N104" s="11" t="s">
        <v>6884</v>
      </c>
      <c r="O104" s="11" t="s">
        <v>849</v>
      </c>
      <c r="P104" s="5" t="s">
        <v>4975</v>
      </c>
      <c r="Q104" s="5" t="s">
        <v>6997</v>
      </c>
    </row>
    <row r="105" spans="1:17" x14ac:dyDescent="0.25">
      <c r="A105" s="11" t="s">
        <v>1947</v>
      </c>
      <c r="B105" s="5" t="s">
        <v>1952</v>
      </c>
      <c r="C105" s="11" t="s">
        <v>1953</v>
      </c>
      <c r="D105" s="11" t="s">
        <v>848</v>
      </c>
      <c r="E105">
        <v>1</v>
      </c>
      <c r="F105" s="11" t="s">
        <v>6881</v>
      </c>
      <c r="G105" s="11" t="s">
        <v>6998</v>
      </c>
      <c r="H105" s="11" t="s">
        <v>6864</v>
      </c>
      <c r="J105" s="5" t="s">
        <v>3990</v>
      </c>
      <c r="K105" s="11" t="s">
        <v>1475</v>
      </c>
      <c r="N105" s="11" t="s">
        <v>6884</v>
      </c>
      <c r="O105" s="11" t="s">
        <v>1954</v>
      </c>
      <c r="P105" s="5" t="s">
        <v>4891</v>
      </c>
      <c r="Q105" s="5" t="s">
        <v>4889</v>
      </c>
    </row>
    <row r="106" spans="1:17" x14ac:dyDescent="0.25">
      <c r="A106" s="11" t="s">
        <v>351</v>
      </c>
      <c r="B106" s="5" t="s">
        <v>363</v>
      </c>
      <c r="C106" s="11" t="s">
        <v>365</v>
      </c>
      <c r="D106" s="11" t="s">
        <v>328</v>
      </c>
      <c r="E106">
        <v>1</v>
      </c>
      <c r="F106" s="11" t="s">
        <v>6990</v>
      </c>
      <c r="G106" s="11" t="s">
        <v>6991</v>
      </c>
      <c r="H106" s="11" t="s">
        <v>6864</v>
      </c>
      <c r="J106" s="5" t="s">
        <v>3990</v>
      </c>
      <c r="K106" s="11" t="s">
        <v>367</v>
      </c>
      <c r="N106" s="11" t="s">
        <v>6884</v>
      </c>
      <c r="O106" s="11" t="s">
        <v>466</v>
      </c>
      <c r="P106" s="5" t="s">
        <v>7419</v>
      </c>
      <c r="Q106" s="5" t="s">
        <v>7496</v>
      </c>
    </row>
    <row r="107" spans="1:17" x14ac:dyDescent="0.25">
      <c r="A107" s="11" t="s">
        <v>2601</v>
      </c>
      <c r="B107" s="5" t="s">
        <v>2605</v>
      </c>
      <c r="C107" s="11" t="s">
        <v>83</v>
      </c>
      <c r="D107" s="11" t="s">
        <v>3429</v>
      </c>
      <c r="E107">
        <v>0</v>
      </c>
      <c r="F107" s="11" t="s">
        <v>305</v>
      </c>
      <c r="G107" s="12"/>
      <c r="H107" s="11" t="s">
        <v>6905</v>
      </c>
      <c r="J107" s="5" t="s">
        <v>3990</v>
      </c>
      <c r="K107" s="11" t="s">
        <v>1674</v>
      </c>
      <c r="N107" s="11" t="s">
        <v>6862</v>
      </c>
      <c r="O107" s="11" t="s">
        <v>3535</v>
      </c>
      <c r="P107" s="5"/>
      <c r="Q107" s="5"/>
    </row>
    <row r="108" spans="1:17" x14ac:dyDescent="0.25">
      <c r="A108" s="11" t="s">
        <v>2601</v>
      </c>
      <c r="B108" s="5" t="s">
        <v>2605</v>
      </c>
      <c r="C108" s="11" t="s">
        <v>6938</v>
      </c>
      <c r="D108" s="11" t="s">
        <v>2029</v>
      </c>
      <c r="E108">
        <v>0</v>
      </c>
      <c r="F108" s="11" t="s">
        <v>4246</v>
      </c>
      <c r="G108" s="12"/>
      <c r="H108" s="11" t="s">
        <v>6864</v>
      </c>
      <c r="J108" s="5" t="s">
        <v>3990</v>
      </c>
      <c r="K108" s="12"/>
      <c r="N108" s="11" t="s">
        <v>6862</v>
      </c>
      <c r="O108" s="11" t="s">
        <v>2654</v>
      </c>
      <c r="P108" s="5"/>
      <c r="Q108" s="5"/>
    </row>
    <row r="109" spans="1:17" x14ac:dyDescent="0.25">
      <c r="A109" s="11" t="s">
        <v>2601</v>
      </c>
      <c r="B109" s="5" t="s">
        <v>2605</v>
      </c>
      <c r="C109" s="11" t="s">
        <v>2513</v>
      </c>
      <c r="D109" s="11" t="s">
        <v>2607</v>
      </c>
      <c r="E109">
        <v>1</v>
      </c>
      <c r="F109" s="11" t="s">
        <v>6959</v>
      </c>
      <c r="G109" s="12"/>
      <c r="H109" s="11" t="s">
        <v>6863</v>
      </c>
      <c r="J109" s="5" t="s">
        <v>3990</v>
      </c>
      <c r="K109" s="11" t="s">
        <v>1360</v>
      </c>
      <c r="N109" s="11" t="s">
        <v>6862</v>
      </c>
      <c r="O109" s="11" t="s">
        <v>366</v>
      </c>
      <c r="P109" s="5" t="s">
        <v>6960</v>
      </c>
      <c r="Q109" s="5"/>
    </row>
    <row r="110" spans="1:17" x14ac:dyDescent="0.25">
      <c r="A110" s="11" t="s">
        <v>3318</v>
      </c>
      <c r="B110" s="5" t="s">
        <v>3321</v>
      </c>
      <c r="C110" s="11" t="s">
        <v>6868</v>
      </c>
      <c r="D110" s="11" t="s">
        <v>3323</v>
      </c>
      <c r="E110">
        <v>1</v>
      </c>
      <c r="F110" s="12"/>
      <c r="G110" s="12"/>
      <c r="H110" s="12"/>
      <c r="J110" s="5" t="s">
        <v>3990</v>
      </c>
      <c r="K110" s="12"/>
      <c r="N110" s="11" t="s">
        <v>6867</v>
      </c>
      <c r="O110" s="11" t="s">
        <v>3324</v>
      </c>
      <c r="P110" s="5"/>
      <c r="Q110" s="5"/>
    </row>
    <row r="111" spans="1:17" x14ac:dyDescent="0.25">
      <c r="A111" s="11" t="s">
        <v>2231</v>
      </c>
      <c r="B111" s="5" t="s">
        <v>2235</v>
      </c>
      <c r="C111" s="11" t="s">
        <v>559</v>
      </c>
      <c r="D111" s="11" t="s">
        <v>2237</v>
      </c>
      <c r="E111">
        <v>1</v>
      </c>
      <c r="F111" s="11" t="s">
        <v>6926</v>
      </c>
      <c r="G111" s="12"/>
      <c r="H111" s="11" t="s">
        <v>6863</v>
      </c>
      <c r="J111" s="5" t="s">
        <v>3990</v>
      </c>
      <c r="K111" s="11" t="s">
        <v>1654</v>
      </c>
      <c r="N111" s="11" t="s">
        <v>6862</v>
      </c>
      <c r="O111" s="11" t="s">
        <v>2238</v>
      </c>
      <c r="P111" s="5" t="s">
        <v>7420</v>
      </c>
      <c r="Q111" s="5"/>
    </row>
    <row r="112" spans="1:17" x14ac:dyDescent="0.25">
      <c r="A112" s="11" t="s">
        <v>1736</v>
      </c>
      <c r="B112" s="5" t="s">
        <v>1742</v>
      </c>
      <c r="C112" s="11" t="s">
        <v>559</v>
      </c>
      <c r="D112" s="11" t="s">
        <v>89</v>
      </c>
      <c r="E112">
        <v>1</v>
      </c>
      <c r="F112" s="11" t="s">
        <v>6895</v>
      </c>
      <c r="G112" s="12"/>
      <c r="H112" s="11" t="s">
        <v>6864</v>
      </c>
      <c r="J112" s="5" t="s">
        <v>3990</v>
      </c>
      <c r="K112" s="11" t="s">
        <v>1744</v>
      </c>
      <c r="N112" s="11" t="s">
        <v>6862</v>
      </c>
      <c r="O112" s="11" t="s">
        <v>542</v>
      </c>
      <c r="P112" s="5" t="s">
        <v>5240</v>
      </c>
      <c r="Q112" s="5"/>
    </row>
    <row r="113" spans="1:17" x14ac:dyDescent="0.25">
      <c r="A113" s="11" t="s">
        <v>268</v>
      </c>
      <c r="B113" s="5" t="s">
        <v>280</v>
      </c>
      <c r="C113" s="11" t="s">
        <v>282</v>
      </c>
      <c r="D113" s="11" t="s">
        <v>283</v>
      </c>
      <c r="E113">
        <v>1</v>
      </c>
      <c r="F113" s="11" t="s">
        <v>6990</v>
      </c>
      <c r="G113" s="11" t="s">
        <v>6998</v>
      </c>
      <c r="H113" s="11" t="s">
        <v>6864</v>
      </c>
      <c r="J113" s="5" t="s">
        <v>3990</v>
      </c>
      <c r="K113" s="11" t="s">
        <v>285</v>
      </c>
      <c r="N113" s="11" t="s">
        <v>6884</v>
      </c>
      <c r="O113" s="11" t="s">
        <v>273</v>
      </c>
      <c r="P113" s="5" t="s">
        <v>7421</v>
      </c>
      <c r="Q113" s="5" t="s">
        <v>7497</v>
      </c>
    </row>
    <row r="114" spans="1:17" x14ac:dyDescent="0.25">
      <c r="A114" s="11" t="s">
        <v>2324</v>
      </c>
      <c r="B114" s="5" t="s">
        <v>2330</v>
      </c>
      <c r="C114" s="11" t="s">
        <v>1916</v>
      </c>
      <c r="D114" s="11" t="s">
        <v>1604</v>
      </c>
      <c r="E114">
        <v>1</v>
      </c>
      <c r="F114" s="11" t="s">
        <v>6881</v>
      </c>
      <c r="G114" s="11" t="s">
        <v>6998</v>
      </c>
      <c r="H114" s="11" t="s">
        <v>6864</v>
      </c>
      <c r="J114" s="5" t="s">
        <v>3990</v>
      </c>
      <c r="K114" s="11" t="s">
        <v>1475</v>
      </c>
      <c r="N114" s="11" t="s">
        <v>6884</v>
      </c>
      <c r="O114" s="11" t="s">
        <v>2140</v>
      </c>
      <c r="P114" s="5" t="s">
        <v>5949</v>
      </c>
      <c r="Q114" s="5" t="s">
        <v>5948</v>
      </c>
    </row>
    <row r="115" spans="1:17" x14ac:dyDescent="0.25">
      <c r="A115" s="11" t="s">
        <v>2424</v>
      </c>
      <c r="B115" s="5" t="s">
        <v>2428</v>
      </c>
      <c r="C115" s="11" t="s">
        <v>559</v>
      </c>
      <c r="D115" s="11" t="s">
        <v>2430</v>
      </c>
      <c r="E115">
        <v>1</v>
      </c>
      <c r="F115" s="11" t="s">
        <v>6895</v>
      </c>
      <c r="G115" s="12"/>
      <c r="H115" s="11" t="s">
        <v>6864</v>
      </c>
      <c r="J115" s="5" t="s">
        <v>3990</v>
      </c>
      <c r="K115" s="11" t="s">
        <v>2067</v>
      </c>
      <c r="N115" s="11" t="s">
        <v>6862</v>
      </c>
      <c r="O115" s="11" t="s">
        <v>62</v>
      </c>
      <c r="P115" s="5" t="s">
        <v>6049</v>
      </c>
      <c r="Q115" s="5"/>
    </row>
    <row r="116" spans="1:17" x14ac:dyDescent="0.25">
      <c r="A116" s="11" t="s">
        <v>1218</v>
      </c>
      <c r="B116" s="5" t="s">
        <v>7043</v>
      </c>
      <c r="C116" s="11" t="s">
        <v>2992</v>
      </c>
      <c r="D116" s="11" t="s">
        <v>1924</v>
      </c>
      <c r="E116">
        <v>1</v>
      </c>
      <c r="F116" s="11" t="s">
        <v>81</v>
      </c>
      <c r="G116" s="11" t="s">
        <v>6998</v>
      </c>
      <c r="H116" s="11" t="s">
        <v>6864</v>
      </c>
      <c r="J116" s="5" t="s">
        <v>3990</v>
      </c>
      <c r="K116" s="11" t="s">
        <v>1062</v>
      </c>
      <c r="N116" s="11" t="s">
        <v>6884</v>
      </c>
      <c r="O116" s="11" t="s">
        <v>1925</v>
      </c>
      <c r="P116" s="5" t="s">
        <v>5554</v>
      </c>
      <c r="Q116" s="5" t="s">
        <v>5552</v>
      </c>
    </row>
    <row r="117" spans="1:17" x14ac:dyDescent="0.25">
      <c r="A117" s="11" t="s">
        <v>7041</v>
      </c>
      <c r="B117" s="5" t="s">
        <v>1222</v>
      </c>
      <c r="C117" s="11" t="s">
        <v>6944</v>
      </c>
      <c r="D117" s="11" t="s">
        <v>541</v>
      </c>
      <c r="E117">
        <v>1</v>
      </c>
      <c r="F117" s="11" t="s">
        <v>4246</v>
      </c>
      <c r="G117" s="12"/>
      <c r="H117" s="11" t="s">
        <v>6864</v>
      </c>
      <c r="J117" s="5" t="s">
        <v>3990</v>
      </c>
      <c r="K117" s="11" t="s">
        <v>6945</v>
      </c>
      <c r="N117" s="11" t="s">
        <v>6862</v>
      </c>
      <c r="O117" s="11" t="s">
        <v>1614</v>
      </c>
      <c r="P117" s="5"/>
      <c r="Q117" s="5"/>
    </row>
    <row r="118" spans="1:17" x14ac:dyDescent="0.25">
      <c r="A118" s="11" t="s">
        <v>895</v>
      </c>
      <c r="B118" s="5" t="s">
        <v>899</v>
      </c>
      <c r="C118" s="11" t="s">
        <v>559</v>
      </c>
      <c r="D118" s="11" t="s">
        <v>283</v>
      </c>
      <c r="E118">
        <v>1</v>
      </c>
      <c r="F118" s="11" t="s">
        <v>6931</v>
      </c>
      <c r="G118" s="12"/>
      <c r="H118" s="11" t="s">
        <v>6864</v>
      </c>
      <c r="J118" s="5" t="s">
        <v>3990</v>
      </c>
      <c r="K118" s="11" t="s">
        <v>901</v>
      </c>
      <c r="N118" s="11" t="s">
        <v>6862</v>
      </c>
      <c r="O118" s="11" t="s">
        <v>466</v>
      </c>
      <c r="P118" s="5" t="s">
        <v>7422</v>
      </c>
      <c r="Q118" s="5"/>
    </row>
    <row r="119" spans="1:17" x14ac:dyDescent="0.25">
      <c r="A119" s="11" t="s">
        <v>2202</v>
      </c>
      <c r="B119" s="5" t="s">
        <v>2208</v>
      </c>
      <c r="C119" s="11" t="s">
        <v>2210</v>
      </c>
      <c r="D119" s="11" t="s">
        <v>848</v>
      </c>
      <c r="E119">
        <v>1</v>
      </c>
      <c r="F119" s="11" t="s">
        <v>6967</v>
      </c>
      <c r="G119" s="11" t="s">
        <v>6968</v>
      </c>
      <c r="H119" s="11" t="s">
        <v>6864</v>
      </c>
      <c r="J119" s="5" t="s">
        <v>3990</v>
      </c>
      <c r="K119" s="11" t="s">
        <v>6966</v>
      </c>
      <c r="N119" s="11" t="s">
        <v>6862</v>
      </c>
      <c r="O119" s="11" t="s">
        <v>2211</v>
      </c>
      <c r="P119" s="5" t="s">
        <v>4168</v>
      </c>
      <c r="Q119" s="5" t="s">
        <v>6969</v>
      </c>
    </row>
    <row r="120" spans="1:17" x14ac:dyDescent="0.25">
      <c r="A120" s="11" t="s">
        <v>2202</v>
      </c>
      <c r="B120" s="5" t="s">
        <v>2208</v>
      </c>
      <c r="C120" s="11" t="s">
        <v>6986</v>
      </c>
      <c r="D120" s="11" t="s">
        <v>1358</v>
      </c>
      <c r="E120">
        <v>0</v>
      </c>
      <c r="F120" s="11" t="s">
        <v>81</v>
      </c>
      <c r="G120" s="11" t="s">
        <v>6987</v>
      </c>
      <c r="H120" s="11" t="s">
        <v>6864</v>
      </c>
      <c r="J120" s="5" t="s">
        <v>3990</v>
      </c>
      <c r="K120" s="11" t="s">
        <v>2212</v>
      </c>
      <c r="N120" s="11" t="s">
        <v>6884</v>
      </c>
      <c r="O120" s="11" t="s">
        <v>2928</v>
      </c>
      <c r="P120" s="5"/>
      <c r="Q120" s="5"/>
    </row>
    <row r="121" spans="1:17" x14ac:dyDescent="0.25">
      <c r="A121" s="11" t="s">
        <v>3185</v>
      </c>
      <c r="B121" s="5" t="s">
        <v>3188</v>
      </c>
      <c r="C121" s="11" t="s">
        <v>7376</v>
      </c>
      <c r="D121" s="11" t="s">
        <v>3191</v>
      </c>
      <c r="E121">
        <v>1</v>
      </c>
      <c r="F121" s="12"/>
      <c r="G121" s="12"/>
      <c r="H121" s="12"/>
      <c r="J121" s="5" t="s">
        <v>3990</v>
      </c>
      <c r="K121" s="12"/>
      <c r="N121" s="11" t="s">
        <v>6867</v>
      </c>
      <c r="O121" s="11" t="s">
        <v>3192</v>
      </c>
      <c r="P121" s="5" t="s">
        <v>244</v>
      </c>
      <c r="Q121" s="5"/>
    </row>
    <row r="122" spans="1:17" x14ac:dyDescent="0.25">
      <c r="A122" s="11" t="s">
        <v>1664</v>
      </c>
      <c r="B122" s="5" t="s">
        <v>1669</v>
      </c>
      <c r="C122" s="11" t="s">
        <v>1671</v>
      </c>
      <c r="D122" s="11" t="s">
        <v>1672</v>
      </c>
      <c r="E122">
        <v>1</v>
      </c>
      <c r="F122" s="11" t="s">
        <v>81</v>
      </c>
      <c r="G122" s="12"/>
      <c r="H122" s="11" t="s">
        <v>6894</v>
      </c>
      <c r="J122" s="5" t="s">
        <v>3990</v>
      </c>
      <c r="K122" s="11" t="s">
        <v>1674</v>
      </c>
      <c r="N122" s="11" t="s">
        <v>6886</v>
      </c>
      <c r="O122" s="11" t="s">
        <v>1673</v>
      </c>
      <c r="P122" s="5" t="s">
        <v>4041</v>
      </c>
      <c r="Q122" s="5"/>
    </row>
    <row r="123" spans="1:17" x14ac:dyDescent="0.25">
      <c r="A123" s="11" t="s">
        <v>1071</v>
      </c>
      <c r="B123" s="5" t="s">
        <v>1079</v>
      </c>
      <c r="C123" s="11" t="s">
        <v>1081</v>
      </c>
      <c r="D123" s="11" t="s">
        <v>660</v>
      </c>
      <c r="E123">
        <v>1</v>
      </c>
      <c r="F123" s="11" t="s">
        <v>6990</v>
      </c>
      <c r="G123" s="11" t="s">
        <v>6998</v>
      </c>
      <c r="H123" s="11" t="s">
        <v>6864</v>
      </c>
      <c r="I123" s="5">
        <v>211</v>
      </c>
      <c r="J123" s="5" t="s">
        <v>3990</v>
      </c>
      <c r="K123" s="11" t="s">
        <v>1083</v>
      </c>
      <c r="N123" s="11" t="s">
        <v>6884</v>
      </c>
      <c r="O123" s="11" t="s">
        <v>1082</v>
      </c>
      <c r="P123" s="5" t="s">
        <v>7423</v>
      </c>
      <c r="Q123" s="5" t="s">
        <v>7498</v>
      </c>
    </row>
    <row r="124" spans="1:17" x14ac:dyDescent="0.25">
      <c r="A124" s="11" t="s">
        <v>2253</v>
      </c>
      <c r="B124" s="5" t="s">
        <v>2257</v>
      </c>
      <c r="C124" s="11" t="s">
        <v>1410</v>
      </c>
      <c r="D124" s="11" t="s">
        <v>848</v>
      </c>
      <c r="E124">
        <v>1</v>
      </c>
      <c r="F124" s="11" t="s">
        <v>6895</v>
      </c>
      <c r="G124" s="12"/>
      <c r="H124" s="11" t="s">
        <v>6864</v>
      </c>
      <c r="J124" s="5" t="s">
        <v>3990</v>
      </c>
      <c r="K124" s="11" t="s">
        <v>1640</v>
      </c>
      <c r="N124" s="11" t="s">
        <v>6862</v>
      </c>
      <c r="O124" s="11" t="s">
        <v>2259</v>
      </c>
      <c r="P124" s="5" t="s">
        <v>6899</v>
      </c>
      <c r="Q124" s="5"/>
    </row>
    <row r="125" spans="1:17" x14ac:dyDescent="0.25">
      <c r="A125" s="11" t="s">
        <v>2610</v>
      </c>
      <c r="B125" s="5" t="s">
        <v>2615</v>
      </c>
      <c r="C125" s="11" t="s">
        <v>1332</v>
      </c>
      <c r="D125" s="11" t="s">
        <v>1877</v>
      </c>
      <c r="E125">
        <v>1</v>
      </c>
      <c r="F125" s="11" t="s">
        <v>4246</v>
      </c>
      <c r="G125" s="12"/>
      <c r="H125" s="11" t="s">
        <v>6864</v>
      </c>
      <c r="J125" s="5" t="s">
        <v>3990</v>
      </c>
      <c r="K125" s="11" t="s">
        <v>2617</v>
      </c>
      <c r="N125" s="11" t="s">
        <v>6862</v>
      </c>
      <c r="O125" s="11" t="s">
        <v>149</v>
      </c>
      <c r="P125" s="5" t="s">
        <v>5217</v>
      </c>
      <c r="Q125" s="5"/>
    </row>
    <row r="126" spans="1:17" x14ac:dyDescent="0.25">
      <c r="A126" s="11" t="s">
        <v>2528</v>
      </c>
      <c r="B126" s="5" t="s">
        <v>2533</v>
      </c>
      <c r="C126" s="11" t="s">
        <v>1487</v>
      </c>
      <c r="D126" s="11" t="s">
        <v>1660</v>
      </c>
      <c r="E126">
        <v>1</v>
      </c>
      <c r="F126" s="11" t="s">
        <v>81</v>
      </c>
      <c r="G126" s="11" t="s">
        <v>6998</v>
      </c>
      <c r="H126" s="11" t="s">
        <v>6864</v>
      </c>
      <c r="I126" s="5">
        <v>211</v>
      </c>
      <c r="J126" s="5" t="s">
        <v>3990</v>
      </c>
      <c r="K126" s="11" t="s">
        <v>1200</v>
      </c>
      <c r="N126" s="11" t="s">
        <v>6884</v>
      </c>
      <c r="O126" s="11" t="s">
        <v>2535</v>
      </c>
      <c r="P126" s="5" t="s">
        <v>5827</v>
      </c>
      <c r="Q126" s="5" t="s">
        <v>5826</v>
      </c>
    </row>
    <row r="127" spans="1:17" x14ac:dyDescent="0.25">
      <c r="A127" s="11" t="s">
        <v>1244</v>
      </c>
      <c r="B127" s="5" t="s">
        <v>1250</v>
      </c>
      <c r="C127" s="11" t="s">
        <v>1253</v>
      </c>
      <c r="D127" s="11" t="s">
        <v>1254</v>
      </c>
      <c r="E127">
        <v>1</v>
      </c>
      <c r="F127" s="11" t="s">
        <v>6957</v>
      </c>
      <c r="G127" s="12"/>
      <c r="H127" s="11" t="s">
        <v>6864</v>
      </c>
      <c r="J127" s="5" t="s">
        <v>3990</v>
      </c>
      <c r="K127" s="12"/>
      <c r="N127" s="11" t="s">
        <v>6886</v>
      </c>
      <c r="O127" s="11" t="s">
        <v>1255</v>
      </c>
      <c r="P127" s="5" t="s">
        <v>7424</v>
      </c>
      <c r="Q127" s="5"/>
    </row>
    <row r="128" spans="1:17" x14ac:dyDescent="0.25">
      <c r="A128" s="11" t="s">
        <v>2133</v>
      </c>
      <c r="B128" s="5" t="s">
        <v>2138</v>
      </c>
      <c r="C128" s="11" t="s">
        <v>1032</v>
      </c>
      <c r="D128" s="11" t="s">
        <v>1604</v>
      </c>
      <c r="E128">
        <v>1</v>
      </c>
      <c r="F128" s="11" t="s">
        <v>6881</v>
      </c>
      <c r="G128" s="11" t="s">
        <v>6998</v>
      </c>
      <c r="H128" s="11" t="s">
        <v>6864</v>
      </c>
      <c r="J128" s="5" t="s">
        <v>3990</v>
      </c>
      <c r="K128" s="11" t="s">
        <v>2141</v>
      </c>
      <c r="N128" s="11" t="s">
        <v>6884</v>
      </c>
      <c r="O128" s="11" t="s">
        <v>2140</v>
      </c>
      <c r="P128" s="5" t="s">
        <v>7006</v>
      </c>
      <c r="Q128" s="5" t="s">
        <v>7007</v>
      </c>
    </row>
    <row r="129" spans="1:17" x14ac:dyDescent="0.25">
      <c r="A129" s="11" t="s">
        <v>3452</v>
      </c>
      <c r="B129" s="5" t="s">
        <v>3456</v>
      </c>
      <c r="C129" s="11" t="s">
        <v>7377</v>
      </c>
      <c r="D129" s="11" t="s">
        <v>2824</v>
      </c>
      <c r="E129">
        <v>1</v>
      </c>
      <c r="F129" s="11" t="s">
        <v>4503</v>
      </c>
      <c r="G129" s="12"/>
      <c r="H129" s="11" t="s">
        <v>6864</v>
      </c>
      <c r="J129" s="5" t="s">
        <v>3990</v>
      </c>
      <c r="K129" s="11" t="s">
        <v>3459</v>
      </c>
      <c r="N129" s="11" t="s">
        <v>6886</v>
      </c>
      <c r="O129" s="11" t="s">
        <v>1995</v>
      </c>
      <c r="P129" s="5" t="s">
        <v>5249</v>
      </c>
      <c r="Q129" s="5"/>
    </row>
    <row r="130" spans="1:17" x14ac:dyDescent="0.25">
      <c r="A130" s="11" t="s">
        <v>1641</v>
      </c>
      <c r="B130" s="5" t="s">
        <v>1644</v>
      </c>
      <c r="C130" s="11" t="s">
        <v>559</v>
      </c>
      <c r="D130" s="11" t="s">
        <v>660</v>
      </c>
      <c r="E130">
        <v>1</v>
      </c>
      <c r="F130" s="11" t="s">
        <v>305</v>
      </c>
      <c r="G130" s="12"/>
      <c r="H130" s="11" t="s">
        <v>6864</v>
      </c>
      <c r="J130" s="5" t="s">
        <v>3990</v>
      </c>
      <c r="K130" s="11" t="s">
        <v>662</v>
      </c>
      <c r="N130" s="11" t="s">
        <v>6867</v>
      </c>
      <c r="O130" s="11" t="s">
        <v>661</v>
      </c>
      <c r="P130" s="5" t="s">
        <v>7425</v>
      </c>
      <c r="Q130" s="5"/>
    </row>
    <row r="131" spans="1:17" x14ac:dyDescent="0.25">
      <c r="A131" s="11" t="s">
        <v>2106</v>
      </c>
      <c r="B131" s="5" t="s">
        <v>2113</v>
      </c>
      <c r="C131" s="11" t="s">
        <v>1032</v>
      </c>
      <c r="D131" s="11" t="s">
        <v>1660</v>
      </c>
      <c r="E131">
        <v>1</v>
      </c>
      <c r="F131" s="11" t="s">
        <v>6881</v>
      </c>
      <c r="G131" s="11" t="s">
        <v>6998</v>
      </c>
      <c r="H131" s="11" t="s">
        <v>6864</v>
      </c>
      <c r="J131" s="5" t="s">
        <v>3990</v>
      </c>
      <c r="K131" s="11" t="s">
        <v>786</v>
      </c>
      <c r="N131" s="11" t="s">
        <v>6884</v>
      </c>
      <c r="O131" s="11" t="s">
        <v>1685</v>
      </c>
      <c r="P131" s="5" t="s">
        <v>4675</v>
      </c>
      <c r="Q131" s="5" t="s">
        <v>4675</v>
      </c>
    </row>
    <row r="132" spans="1:17" x14ac:dyDescent="0.25">
      <c r="A132" s="11" t="s">
        <v>3202</v>
      </c>
      <c r="B132" s="5" t="s">
        <v>3205</v>
      </c>
      <c r="C132" s="11" t="s">
        <v>5489</v>
      </c>
      <c r="D132" s="11" t="s">
        <v>3208</v>
      </c>
      <c r="E132">
        <v>1</v>
      </c>
      <c r="F132" s="12"/>
      <c r="G132" s="12"/>
      <c r="H132" s="12"/>
      <c r="J132" s="5" t="s">
        <v>3990</v>
      </c>
      <c r="K132" s="12"/>
      <c r="N132" s="11" t="s">
        <v>6867</v>
      </c>
      <c r="O132" s="11" t="s">
        <v>2277</v>
      </c>
      <c r="P132" s="5" t="s">
        <v>244</v>
      </c>
      <c r="Q132" s="5"/>
    </row>
    <row r="133" spans="1:17" x14ac:dyDescent="0.25">
      <c r="A133" s="11" t="s">
        <v>3572</v>
      </c>
      <c r="B133" s="5" t="s">
        <v>3577</v>
      </c>
      <c r="C133" s="11" t="s">
        <v>1852</v>
      </c>
      <c r="D133" s="11" t="s">
        <v>3429</v>
      </c>
      <c r="E133">
        <v>1</v>
      </c>
      <c r="F133" s="11" t="s">
        <v>6929</v>
      </c>
      <c r="G133" s="12"/>
      <c r="H133" s="12"/>
      <c r="J133" s="5" t="s">
        <v>3990</v>
      </c>
      <c r="K133" s="11" t="s">
        <v>85</v>
      </c>
      <c r="N133" s="11" t="s">
        <v>6862</v>
      </c>
      <c r="O133" s="11" t="s">
        <v>3535</v>
      </c>
      <c r="P133" s="5" t="s">
        <v>4105</v>
      </c>
      <c r="Q133" s="5"/>
    </row>
    <row r="134" spans="1:17" x14ac:dyDescent="0.25">
      <c r="A134" s="11" t="s">
        <v>1468</v>
      </c>
      <c r="B134" s="5" t="s">
        <v>1473</v>
      </c>
      <c r="C134" s="11" t="s">
        <v>640</v>
      </c>
      <c r="D134" s="11" t="s">
        <v>89</v>
      </c>
      <c r="E134">
        <v>1</v>
      </c>
      <c r="F134" s="11" t="s">
        <v>6881</v>
      </c>
      <c r="G134" s="11" t="s">
        <v>6998</v>
      </c>
      <c r="H134" s="11" t="s">
        <v>6864</v>
      </c>
      <c r="I134" s="5">
        <v>211</v>
      </c>
      <c r="J134" s="5" t="s">
        <v>3990</v>
      </c>
      <c r="K134" s="11" t="s">
        <v>405</v>
      </c>
      <c r="N134" s="11" t="s">
        <v>6884</v>
      </c>
      <c r="O134" s="11" t="s">
        <v>661</v>
      </c>
      <c r="P134" s="5" t="s">
        <v>7426</v>
      </c>
      <c r="Q134" s="5" t="s">
        <v>4904</v>
      </c>
    </row>
    <row r="135" spans="1:17" x14ac:dyDescent="0.25">
      <c r="A135" s="11" t="s">
        <v>2294</v>
      </c>
      <c r="B135" s="5" t="s">
        <v>2298</v>
      </c>
      <c r="C135" s="11" t="s">
        <v>2300</v>
      </c>
      <c r="D135" s="11" t="s">
        <v>1604</v>
      </c>
      <c r="E135">
        <v>1</v>
      </c>
      <c r="F135" s="11" t="s">
        <v>81</v>
      </c>
      <c r="G135" s="11" t="s">
        <v>6998</v>
      </c>
      <c r="H135" s="11" t="s">
        <v>6864</v>
      </c>
      <c r="J135" s="5" t="s">
        <v>3990</v>
      </c>
      <c r="K135" s="11" t="s">
        <v>662</v>
      </c>
      <c r="N135" s="11" t="s">
        <v>6884</v>
      </c>
      <c r="O135" s="11" t="s">
        <v>2301</v>
      </c>
      <c r="P135" s="5" t="s">
        <v>4884</v>
      </c>
      <c r="Q135" s="5" t="s">
        <v>4882</v>
      </c>
    </row>
    <row r="136" spans="1:17" x14ac:dyDescent="0.25">
      <c r="A136" s="11" t="s">
        <v>2742</v>
      </c>
      <c r="B136" s="5" t="s">
        <v>2746</v>
      </c>
      <c r="C136" s="11" t="s">
        <v>1946</v>
      </c>
      <c r="D136" s="11" t="s">
        <v>1160</v>
      </c>
      <c r="E136">
        <v>1</v>
      </c>
      <c r="F136" s="11" t="s">
        <v>6959</v>
      </c>
      <c r="G136" s="12"/>
      <c r="H136" s="12"/>
      <c r="J136" s="5" t="s">
        <v>3990</v>
      </c>
      <c r="K136" s="11" t="s">
        <v>85</v>
      </c>
      <c r="N136" s="11" t="s">
        <v>6862</v>
      </c>
      <c r="O136" s="11" t="s">
        <v>2676</v>
      </c>
      <c r="P136" s="5" t="s">
        <v>5273</v>
      </c>
      <c r="Q136" s="5"/>
    </row>
    <row r="137" spans="1:17" x14ac:dyDescent="0.25">
      <c r="A137" s="11" t="s">
        <v>2915</v>
      </c>
      <c r="B137" s="5" t="s">
        <v>2921</v>
      </c>
      <c r="C137" s="11" t="s">
        <v>6914</v>
      </c>
      <c r="D137" s="11" t="s">
        <v>1358</v>
      </c>
      <c r="E137">
        <v>0</v>
      </c>
      <c r="F137" s="11" t="s">
        <v>305</v>
      </c>
      <c r="G137" s="12"/>
      <c r="H137" s="12"/>
      <c r="J137" s="5" t="s">
        <v>3990</v>
      </c>
      <c r="K137" s="11" t="s">
        <v>6915</v>
      </c>
      <c r="N137" s="11" t="s">
        <v>6862</v>
      </c>
      <c r="O137" s="11" t="s">
        <v>6913</v>
      </c>
      <c r="P137" s="5"/>
      <c r="Q137" s="5"/>
    </row>
    <row r="138" spans="1:17" x14ac:dyDescent="0.25">
      <c r="A138" s="11" t="s">
        <v>2915</v>
      </c>
      <c r="B138" s="5" t="s">
        <v>2921</v>
      </c>
      <c r="C138" s="11" t="s">
        <v>2923</v>
      </c>
      <c r="D138" s="11" t="s">
        <v>109</v>
      </c>
      <c r="E138">
        <v>1</v>
      </c>
      <c r="F138" s="11" t="s">
        <v>81</v>
      </c>
      <c r="G138" s="12"/>
      <c r="H138" s="12"/>
      <c r="I138" s="5">
        <v>211</v>
      </c>
      <c r="J138" s="5" t="s">
        <v>3990</v>
      </c>
      <c r="K138" s="11" t="s">
        <v>1350</v>
      </c>
      <c r="N138" s="11" t="s">
        <v>6886</v>
      </c>
      <c r="O138" s="11" t="s">
        <v>90</v>
      </c>
      <c r="P138" s="5" t="s">
        <v>5212</v>
      </c>
      <c r="Q138" s="5"/>
    </row>
    <row r="139" spans="1:17" x14ac:dyDescent="0.25">
      <c r="A139" s="11" t="s">
        <v>2718</v>
      </c>
      <c r="B139" s="5" t="s">
        <v>2722</v>
      </c>
      <c r="C139" s="11" t="s">
        <v>365</v>
      </c>
      <c r="D139" s="11" t="s">
        <v>1807</v>
      </c>
      <c r="E139">
        <v>1</v>
      </c>
      <c r="F139" s="11" t="s">
        <v>305</v>
      </c>
      <c r="G139" s="12"/>
      <c r="H139" s="11" t="s">
        <v>6863</v>
      </c>
      <c r="J139" s="5" t="s">
        <v>3990</v>
      </c>
      <c r="K139" s="11" t="s">
        <v>2022</v>
      </c>
      <c r="N139" s="11" t="s">
        <v>6862</v>
      </c>
      <c r="O139" s="11" t="s">
        <v>2724</v>
      </c>
      <c r="P139" s="5" t="s">
        <v>5200</v>
      </c>
      <c r="Q139" s="5"/>
    </row>
    <row r="140" spans="1:17" x14ac:dyDescent="0.25">
      <c r="A140" s="11" t="s">
        <v>2718</v>
      </c>
      <c r="B140" s="5" t="s">
        <v>2722</v>
      </c>
      <c r="C140" s="11" t="s">
        <v>1761</v>
      </c>
      <c r="D140" s="11" t="s">
        <v>1694</v>
      </c>
      <c r="E140">
        <v>0</v>
      </c>
      <c r="F140" s="11" t="s">
        <v>4246</v>
      </c>
      <c r="G140" s="12"/>
      <c r="H140" s="11" t="s">
        <v>6864</v>
      </c>
      <c r="J140" s="5" t="s">
        <v>3990</v>
      </c>
      <c r="K140" s="11" t="s">
        <v>6874</v>
      </c>
      <c r="N140" s="11" t="s">
        <v>6862</v>
      </c>
      <c r="O140" s="11" t="s">
        <v>2140</v>
      </c>
      <c r="P140" s="5"/>
      <c r="Q140" s="5"/>
    </row>
    <row r="141" spans="1:17" x14ac:dyDescent="0.25">
      <c r="A141" s="11" t="s">
        <v>3544</v>
      </c>
      <c r="B141" s="5" t="s">
        <v>3548</v>
      </c>
      <c r="C141" s="11" t="s">
        <v>365</v>
      </c>
      <c r="D141" s="11" t="s">
        <v>1807</v>
      </c>
      <c r="E141">
        <v>1</v>
      </c>
      <c r="F141" s="11" t="s">
        <v>305</v>
      </c>
      <c r="G141" s="12"/>
      <c r="H141" s="11" t="s">
        <v>6863</v>
      </c>
      <c r="J141" s="5" t="s">
        <v>3990</v>
      </c>
      <c r="K141" s="11" t="s">
        <v>2022</v>
      </c>
      <c r="N141" s="11" t="s">
        <v>6862</v>
      </c>
      <c r="O141" s="11" t="s">
        <v>2724</v>
      </c>
      <c r="P141" s="5" t="s">
        <v>5089</v>
      </c>
      <c r="Q141" s="5"/>
    </row>
    <row r="142" spans="1:17" x14ac:dyDescent="0.25">
      <c r="A142" s="11" t="s">
        <v>1272</v>
      </c>
      <c r="B142" s="5" t="s">
        <v>1276</v>
      </c>
      <c r="C142" s="11" t="s">
        <v>1278</v>
      </c>
      <c r="D142" s="11" t="s">
        <v>660</v>
      </c>
      <c r="E142">
        <v>1</v>
      </c>
      <c r="F142" s="11" t="s">
        <v>6990</v>
      </c>
      <c r="G142" s="11" t="s">
        <v>6998</v>
      </c>
      <c r="H142" s="11" t="s">
        <v>6864</v>
      </c>
      <c r="I142" s="5" t="s">
        <v>4474</v>
      </c>
      <c r="J142" s="5" t="s">
        <v>4011</v>
      </c>
      <c r="K142" s="11" t="s">
        <v>405</v>
      </c>
      <c r="N142" s="11" t="s">
        <v>6884</v>
      </c>
      <c r="O142" s="11" t="s">
        <v>1266</v>
      </c>
      <c r="P142" s="5" t="s">
        <v>5634</v>
      </c>
      <c r="Q142" s="5" t="s">
        <v>5632</v>
      </c>
    </row>
    <row r="143" spans="1:17" x14ac:dyDescent="0.25">
      <c r="A143" s="11" t="s">
        <v>3562</v>
      </c>
      <c r="B143" s="5" t="s">
        <v>3566</v>
      </c>
      <c r="C143" s="11" t="s">
        <v>3567</v>
      </c>
      <c r="D143" s="11" t="s">
        <v>3568</v>
      </c>
      <c r="E143">
        <v>1</v>
      </c>
      <c r="F143" s="11" t="s">
        <v>120</v>
      </c>
      <c r="G143" s="12"/>
      <c r="H143" s="12"/>
      <c r="J143" s="5" t="s">
        <v>3990</v>
      </c>
      <c r="K143" s="12"/>
      <c r="N143" s="11" t="s">
        <v>6867</v>
      </c>
      <c r="O143" s="11" t="s">
        <v>3569</v>
      </c>
      <c r="P143" s="5" t="s">
        <v>244</v>
      </c>
      <c r="Q143" s="5"/>
    </row>
    <row r="144" spans="1:17" x14ac:dyDescent="0.25">
      <c r="A144" s="11" t="s">
        <v>1415</v>
      </c>
      <c r="B144" s="5" t="s">
        <v>1421</v>
      </c>
      <c r="C144" s="11" t="s">
        <v>88</v>
      </c>
      <c r="D144" s="11" t="s">
        <v>682</v>
      </c>
      <c r="E144">
        <v>1</v>
      </c>
      <c r="F144" s="11" t="s">
        <v>81</v>
      </c>
      <c r="G144" s="11" t="s">
        <v>7036</v>
      </c>
      <c r="H144" s="11" t="s">
        <v>6864</v>
      </c>
      <c r="I144" s="5" t="s">
        <v>4474</v>
      </c>
      <c r="J144" s="5" t="s">
        <v>4011</v>
      </c>
      <c r="K144" s="11" t="s">
        <v>405</v>
      </c>
      <c r="N144" s="11" t="s">
        <v>6884</v>
      </c>
      <c r="O144" s="11" t="s">
        <v>1423</v>
      </c>
      <c r="P144" s="5" t="s">
        <v>7427</v>
      </c>
      <c r="Q144" s="5" t="s">
        <v>5622</v>
      </c>
    </row>
    <row r="145" spans="1:17" x14ac:dyDescent="0.25">
      <c r="A145" s="11" t="s">
        <v>1036</v>
      </c>
      <c r="B145" s="5" t="s">
        <v>1043</v>
      </c>
      <c r="C145" s="11" t="s">
        <v>1045</v>
      </c>
      <c r="D145" s="11" t="s">
        <v>660</v>
      </c>
      <c r="E145">
        <v>1</v>
      </c>
      <c r="F145" s="11" t="s">
        <v>6990</v>
      </c>
      <c r="G145" s="11" t="s">
        <v>6998</v>
      </c>
      <c r="H145" s="11" t="s">
        <v>6864</v>
      </c>
      <c r="I145" s="5" t="s">
        <v>4474</v>
      </c>
      <c r="J145" s="5" t="s">
        <v>4011</v>
      </c>
      <c r="K145" s="11" t="s">
        <v>828</v>
      </c>
      <c r="N145" s="11" t="s">
        <v>6884</v>
      </c>
      <c r="O145" s="11" t="s">
        <v>1046</v>
      </c>
      <c r="P145" s="5" t="s">
        <v>7428</v>
      </c>
      <c r="Q145" s="5" t="s">
        <v>7499</v>
      </c>
    </row>
    <row r="146" spans="1:17" x14ac:dyDescent="0.25">
      <c r="A146" s="11" t="s">
        <v>1863</v>
      </c>
      <c r="B146" s="5" t="s">
        <v>1867</v>
      </c>
      <c r="C146" s="11" t="s">
        <v>1869</v>
      </c>
      <c r="D146" s="11" t="s">
        <v>1604</v>
      </c>
      <c r="E146">
        <v>1</v>
      </c>
      <c r="F146" s="11" t="s">
        <v>6958</v>
      </c>
      <c r="G146" s="12"/>
      <c r="H146" s="12"/>
      <c r="J146" s="5" t="s">
        <v>3990</v>
      </c>
      <c r="K146" s="12"/>
      <c r="N146" s="11" t="s">
        <v>6867</v>
      </c>
      <c r="O146" s="11" t="s">
        <v>149</v>
      </c>
      <c r="P146" s="5" t="s">
        <v>244</v>
      </c>
      <c r="Q146" s="5"/>
    </row>
    <row r="147" spans="1:17" x14ac:dyDescent="0.25">
      <c r="A147" s="11" t="s">
        <v>1646</v>
      </c>
      <c r="B147" s="5" t="s">
        <v>1649</v>
      </c>
      <c r="C147" s="11" t="s">
        <v>559</v>
      </c>
      <c r="D147" s="11" t="s">
        <v>110</v>
      </c>
      <c r="E147">
        <v>1</v>
      </c>
      <c r="F147" s="11" t="s">
        <v>305</v>
      </c>
      <c r="G147" s="12"/>
      <c r="H147" s="11" t="s">
        <v>6864</v>
      </c>
      <c r="J147" s="5" t="s">
        <v>3990</v>
      </c>
      <c r="K147" s="11" t="s">
        <v>2067</v>
      </c>
      <c r="N147" s="11" t="s">
        <v>6862</v>
      </c>
      <c r="O147" s="11" t="s">
        <v>661</v>
      </c>
      <c r="P147" s="5" t="s">
        <v>6908</v>
      </c>
      <c r="Q147" s="5"/>
    </row>
    <row r="148" spans="1:17" x14ac:dyDescent="0.25">
      <c r="A148" s="11" t="s">
        <v>2267</v>
      </c>
      <c r="B148" s="5" t="s">
        <v>2273</v>
      </c>
      <c r="C148" s="11" t="s">
        <v>2275</v>
      </c>
      <c r="D148" s="11" t="s">
        <v>2276</v>
      </c>
      <c r="E148">
        <v>1</v>
      </c>
      <c r="F148" s="12"/>
      <c r="G148" s="12"/>
      <c r="H148" s="11" t="s">
        <v>6864</v>
      </c>
      <c r="J148" s="5" t="s">
        <v>3990</v>
      </c>
      <c r="K148" s="12"/>
      <c r="N148" s="11" t="s">
        <v>6862</v>
      </c>
      <c r="O148" s="11" t="s">
        <v>2277</v>
      </c>
      <c r="P148" s="5" t="s">
        <v>244</v>
      </c>
      <c r="Q148" s="5"/>
    </row>
    <row r="149" spans="1:17" x14ac:dyDescent="0.25">
      <c r="A149" s="11" t="s">
        <v>952</v>
      </c>
      <c r="B149" s="5" t="s">
        <v>955</v>
      </c>
      <c r="C149" s="11" t="s">
        <v>559</v>
      </c>
      <c r="D149" s="11" t="s">
        <v>283</v>
      </c>
      <c r="E149">
        <v>1</v>
      </c>
      <c r="F149" s="11" t="s">
        <v>6931</v>
      </c>
      <c r="G149" s="12"/>
      <c r="H149" s="11" t="s">
        <v>6864</v>
      </c>
      <c r="J149" s="5" t="s">
        <v>3990</v>
      </c>
      <c r="K149" s="11" t="s">
        <v>945</v>
      </c>
      <c r="N149" s="11" t="s">
        <v>6862</v>
      </c>
      <c r="O149" s="11" t="s">
        <v>466</v>
      </c>
      <c r="P149" s="5" t="s">
        <v>7429</v>
      </c>
      <c r="Q149" s="5"/>
    </row>
    <row r="150" spans="1:17" x14ac:dyDescent="0.25">
      <c r="A150" s="11" t="s">
        <v>857</v>
      </c>
      <c r="B150" s="5" t="s">
        <v>866</v>
      </c>
      <c r="C150" s="11" t="s">
        <v>426</v>
      </c>
      <c r="D150" s="11" t="s">
        <v>541</v>
      </c>
      <c r="E150">
        <v>1</v>
      </c>
      <c r="F150" s="11" t="s">
        <v>6881</v>
      </c>
      <c r="G150" s="11" t="s">
        <v>6998</v>
      </c>
      <c r="H150" s="11" t="s">
        <v>6864</v>
      </c>
      <c r="I150" s="5">
        <v>211</v>
      </c>
      <c r="J150" s="5" t="s">
        <v>3990</v>
      </c>
      <c r="K150" s="11" t="s">
        <v>285</v>
      </c>
      <c r="N150" s="11" t="s">
        <v>6884</v>
      </c>
      <c r="O150" s="11" t="s">
        <v>542</v>
      </c>
      <c r="P150" s="5" t="s">
        <v>7430</v>
      </c>
      <c r="Q150" s="5" t="s">
        <v>7500</v>
      </c>
    </row>
    <row r="151" spans="1:17" x14ac:dyDescent="0.25">
      <c r="A151" s="11" t="s">
        <v>1607</v>
      </c>
      <c r="B151" s="5" t="s">
        <v>1612</v>
      </c>
      <c r="C151" s="11" t="s">
        <v>729</v>
      </c>
      <c r="D151" s="11" t="s">
        <v>1434</v>
      </c>
      <c r="E151">
        <v>1</v>
      </c>
      <c r="F151" s="11" t="s">
        <v>81</v>
      </c>
      <c r="G151" s="11" t="s">
        <v>6998</v>
      </c>
      <c r="H151" s="11" t="s">
        <v>6864</v>
      </c>
      <c r="I151" s="5">
        <v>211</v>
      </c>
      <c r="J151" s="5" t="s">
        <v>3990</v>
      </c>
      <c r="K151" s="11" t="s">
        <v>1475</v>
      </c>
      <c r="N151" s="11" t="s">
        <v>6884</v>
      </c>
      <c r="O151" s="11" t="s">
        <v>1614</v>
      </c>
      <c r="P151" s="5" t="s">
        <v>5662</v>
      </c>
      <c r="Q151" s="5" t="s">
        <v>5660</v>
      </c>
    </row>
    <row r="152" spans="1:17" x14ac:dyDescent="0.25">
      <c r="A152" s="11" t="s">
        <v>3503</v>
      </c>
      <c r="B152" s="5" t="s">
        <v>3509</v>
      </c>
      <c r="C152" s="11" t="s">
        <v>3511</v>
      </c>
      <c r="D152" s="11" t="s">
        <v>1254</v>
      </c>
      <c r="E152">
        <v>1</v>
      </c>
      <c r="F152" s="11" t="s">
        <v>81</v>
      </c>
      <c r="G152" s="12"/>
      <c r="H152" s="11" t="s">
        <v>6864</v>
      </c>
      <c r="J152" s="5" t="s">
        <v>3990</v>
      </c>
      <c r="K152" s="11" t="s">
        <v>1475</v>
      </c>
      <c r="N152" s="11" t="s">
        <v>6884</v>
      </c>
      <c r="O152" s="11" t="s">
        <v>3512</v>
      </c>
      <c r="P152" s="5" t="s">
        <v>5816</v>
      </c>
      <c r="Q152" s="5"/>
    </row>
    <row r="153" spans="1:17" x14ac:dyDescent="0.25">
      <c r="A153" s="11" t="s">
        <v>1194</v>
      </c>
      <c r="B153" s="5" t="s">
        <v>1198</v>
      </c>
      <c r="C153" s="11" t="s">
        <v>1032</v>
      </c>
      <c r="D153" s="11" t="s">
        <v>848</v>
      </c>
      <c r="E153">
        <v>1</v>
      </c>
      <c r="F153" s="11" t="s">
        <v>6990</v>
      </c>
      <c r="G153" s="11" t="s">
        <v>6998</v>
      </c>
      <c r="H153" s="11" t="s">
        <v>6864</v>
      </c>
      <c r="J153" s="5" t="s">
        <v>3990</v>
      </c>
      <c r="K153" s="11" t="s">
        <v>1200</v>
      </c>
      <c r="N153" s="11" t="s">
        <v>6884</v>
      </c>
      <c r="O153" s="11" t="s">
        <v>716</v>
      </c>
      <c r="P153" s="5" t="s">
        <v>7431</v>
      </c>
      <c r="Q153" s="5" t="s">
        <v>4768</v>
      </c>
    </row>
    <row r="154" spans="1:17" x14ac:dyDescent="0.25">
      <c r="A154" s="11" t="s">
        <v>902</v>
      </c>
      <c r="B154" s="5" t="s">
        <v>907</v>
      </c>
      <c r="C154" s="11" t="s">
        <v>909</v>
      </c>
      <c r="D154" s="11" t="s">
        <v>910</v>
      </c>
      <c r="E154">
        <v>1</v>
      </c>
      <c r="F154" s="11" t="s">
        <v>6976</v>
      </c>
      <c r="G154" s="11" t="s">
        <v>6974</v>
      </c>
      <c r="H154" s="11" t="s">
        <v>6975</v>
      </c>
      <c r="J154" s="5" t="s">
        <v>3990</v>
      </c>
      <c r="K154" s="11" t="s">
        <v>122</v>
      </c>
      <c r="N154" s="11" t="s">
        <v>6862</v>
      </c>
      <c r="O154" s="11" t="s">
        <v>911</v>
      </c>
      <c r="P154" s="5" t="s">
        <v>7432</v>
      </c>
      <c r="Q154" s="5" t="s">
        <v>7501</v>
      </c>
    </row>
    <row r="155" spans="1:17" x14ac:dyDescent="0.25">
      <c r="A155" s="11" t="s">
        <v>902</v>
      </c>
      <c r="B155" s="5" t="s">
        <v>907</v>
      </c>
      <c r="C155" s="11" t="s">
        <v>365</v>
      </c>
      <c r="D155" s="11" t="s">
        <v>715</v>
      </c>
      <c r="E155">
        <v>0</v>
      </c>
      <c r="F155" s="11" t="s">
        <v>6881</v>
      </c>
      <c r="G155" s="11" t="s">
        <v>7032</v>
      </c>
      <c r="H155" s="11" t="s">
        <v>6864</v>
      </c>
      <c r="J155" s="5" t="s">
        <v>3990</v>
      </c>
      <c r="K155" s="11" t="s">
        <v>1387</v>
      </c>
      <c r="N155" s="11" t="s">
        <v>6884</v>
      </c>
      <c r="O155" s="11" t="s">
        <v>3835</v>
      </c>
      <c r="P155" s="5"/>
      <c r="Q155" s="5"/>
    </row>
    <row r="156" spans="1:17" x14ac:dyDescent="0.25">
      <c r="A156" s="11" t="s">
        <v>2852</v>
      </c>
      <c r="B156" s="5" t="s">
        <v>2856</v>
      </c>
      <c r="C156" s="11" t="s">
        <v>2858</v>
      </c>
      <c r="D156" s="11" t="s">
        <v>2653</v>
      </c>
      <c r="E156">
        <v>1</v>
      </c>
      <c r="F156" s="11" t="s">
        <v>1705</v>
      </c>
      <c r="G156" s="12"/>
      <c r="H156" s="12"/>
      <c r="J156" s="5" t="s">
        <v>3990</v>
      </c>
      <c r="K156" s="12"/>
      <c r="N156" s="11" t="s">
        <v>6867</v>
      </c>
      <c r="O156" s="11" t="s">
        <v>2859</v>
      </c>
      <c r="P156" s="5" t="s">
        <v>244</v>
      </c>
      <c r="Q156" s="5"/>
    </row>
    <row r="157" spans="1:17" x14ac:dyDescent="0.25">
      <c r="A157" s="11" t="s">
        <v>957</v>
      </c>
      <c r="B157" s="5" t="s">
        <v>960</v>
      </c>
      <c r="C157" s="11" t="s">
        <v>559</v>
      </c>
      <c r="D157" s="11" t="s">
        <v>283</v>
      </c>
      <c r="E157">
        <v>1</v>
      </c>
      <c r="F157" s="11" t="s">
        <v>6931</v>
      </c>
      <c r="G157" s="12"/>
      <c r="H157" s="11" t="s">
        <v>6864</v>
      </c>
      <c r="J157" s="5" t="s">
        <v>3990</v>
      </c>
      <c r="K157" s="11" t="s">
        <v>962</v>
      </c>
      <c r="N157" s="11" t="s">
        <v>6862</v>
      </c>
      <c r="O157" s="11" t="s">
        <v>466</v>
      </c>
      <c r="P157" s="5" t="s">
        <v>7433</v>
      </c>
      <c r="Q157" s="5"/>
    </row>
    <row r="158" spans="1:17" x14ac:dyDescent="0.25">
      <c r="A158" s="11" t="s">
        <v>807</v>
      </c>
      <c r="B158" s="5" t="s">
        <v>812</v>
      </c>
      <c r="C158" s="11" t="s">
        <v>814</v>
      </c>
      <c r="D158" s="11" t="s">
        <v>121</v>
      </c>
      <c r="E158">
        <v>1</v>
      </c>
      <c r="F158" s="11" t="s">
        <v>6990</v>
      </c>
      <c r="G158" s="11" t="s">
        <v>6998</v>
      </c>
      <c r="H158" s="11" t="s">
        <v>6864</v>
      </c>
      <c r="J158" s="5" t="s">
        <v>3990</v>
      </c>
      <c r="K158" s="11" t="s">
        <v>405</v>
      </c>
      <c r="N158" s="11" t="s">
        <v>6884</v>
      </c>
      <c r="O158" s="11" t="s">
        <v>815</v>
      </c>
      <c r="P158" s="5" t="s">
        <v>7434</v>
      </c>
      <c r="Q158" s="5" t="s">
        <v>7502</v>
      </c>
    </row>
    <row r="159" spans="1:17" x14ac:dyDescent="0.25">
      <c r="A159" s="11" t="s">
        <v>1845</v>
      </c>
      <c r="B159" s="5" t="s">
        <v>1850</v>
      </c>
      <c r="C159" s="11" t="s">
        <v>1852</v>
      </c>
      <c r="D159" s="11" t="s">
        <v>1604</v>
      </c>
      <c r="E159">
        <v>1</v>
      </c>
      <c r="F159" s="11" t="s">
        <v>305</v>
      </c>
      <c r="G159" s="12"/>
      <c r="H159" s="11" t="s">
        <v>6864</v>
      </c>
      <c r="J159" s="5" t="s">
        <v>3990</v>
      </c>
      <c r="K159" s="11" t="s">
        <v>1854</v>
      </c>
      <c r="N159" s="11" t="s">
        <v>6862</v>
      </c>
      <c r="O159" s="11" t="s">
        <v>1853</v>
      </c>
      <c r="P159" s="5" t="s">
        <v>6917</v>
      </c>
      <c r="Q159" s="5"/>
    </row>
    <row r="160" spans="1:17" x14ac:dyDescent="0.25">
      <c r="A160" s="11" t="s">
        <v>1777</v>
      </c>
      <c r="B160" s="5" t="s">
        <v>1780</v>
      </c>
      <c r="C160" s="11" t="s">
        <v>559</v>
      </c>
      <c r="D160" s="11" t="s">
        <v>89</v>
      </c>
      <c r="E160">
        <v>1</v>
      </c>
      <c r="F160" s="11" t="s">
        <v>6895</v>
      </c>
      <c r="G160" s="12"/>
      <c r="H160" s="11" t="s">
        <v>6864</v>
      </c>
      <c r="J160" s="5" t="s">
        <v>3990</v>
      </c>
      <c r="K160" s="11" t="s">
        <v>606</v>
      </c>
      <c r="N160" s="11" t="s">
        <v>6862</v>
      </c>
      <c r="O160" s="11" t="s">
        <v>542</v>
      </c>
      <c r="P160" s="5" t="s">
        <v>5062</v>
      </c>
      <c r="Q160" s="5"/>
    </row>
    <row r="161" spans="1:17" x14ac:dyDescent="0.25">
      <c r="A161" s="11" t="s">
        <v>2260</v>
      </c>
      <c r="B161" s="5" t="s">
        <v>2265</v>
      </c>
      <c r="C161" s="11" t="s">
        <v>3078</v>
      </c>
      <c r="D161" s="11" t="s">
        <v>1843</v>
      </c>
      <c r="E161">
        <v>1</v>
      </c>
      <c r="F161" s="11" t="s">
        <v>7044</v>
      </c>
      <c r="G161" s="12"/>
      <c r="H161" s="11" t="s">
        <v>6864</v>
      </c>
      <c r="J161" s="5" t="s">
        <v>3990</v>
      </c>
      <c r="K161" s="11" t="s">
        <v>6934</v>
      </c>
      <c r="N161" s="11" t="s">
        <v>6884</v>
      </c>
      <c r="O161" s="11" t="s">
        <v>1834</v>
      </c>
      <c r="P161" s="5"/>
      <c r="Q161" s="5"/>
    </row>
    <row r="162" spans="1:17" x14ac:dyDescent="0.25">
      <c r="A162" s="11" t="s">
        <v>2312</v>
      </c>
      <c r="B162" s="5" t="s">
        <v>2318</v>
      </c>
      <c r="C162" s="11" t="s">
        <v>2320</v>
      </c>
      <c r="D162" s="11" t="s">
        <v>1877</v>
      </c>
      <c r="E162">
        <v>1</v>
      </c>
      <c r="F162" s="11" t="s">
        <v>305</v>
      </c>
      <c r="G162" s="12"/>
      <c r="H162" s="12"/>
      <c r="J162" s="5" t="s">
        <v>3990</v>
      </c>
      <c r="K162" s="11" t="s">
        <v>2067</v>
      </c>
      <c r="N162" s="11" t="s">
        <v>6862</v>
      </c>
      <c r="O162" s="11" t="s">
        <v>2321</v>
      </c>
      <c r="P162" s="5" t="s">
        <v>5278</v>
      </c>
      <c r="Q162" s="5"/>
    </row>
    <row r="163" spans="1:17" x14ac:dyDescent="0.25">
      <c r="A163" s="11" t="s">
        <v>1919</v>
      </c>
      <c r="B163" s="5" t="s">
        <v>1922</v>
      </c>
      <c r="C163" s="11" t="s">
        <v>1332</v>
      </c>
      <c r="D163" s="11" t="s">
        <v>1924</v>
      </c>
      <c r="E163">
        <v>1</v>
      </c>
      <c r="F163" s="11" t="s">
        <v>6881</v>
      </c>
      <c r="G163" s="11" t="s">
        <v>82</v>
      </c>
      <c r="H163" s="11" t="s">
        <v>6864</v>
      </c>
      <c r="J163" s="5" t="s">
        <v>3990</v>
      </c>
      <c r="K163" s="11" t="s">
        <v>1475</v>
      </c>
      <c r="N163" s="11" t="s">
        <v>6884</v>
      </c>
      <c r="O163" s="11" t="s">
        <v>1925</v>
      </c>
      <c r="P163" s="5" t="s">
        <v>5896</v>
      </c>
      <c r="Q163" s="5" t="s">
        <v>5895</v>
      </c>
    </row>
    <row r="164" spans="1:17" x14ac:dyDescent="0.25">
      <c r="A164" s="11" t="s">
        <v>2692</v>
      </c>
      <c r="B164" s="5" t="s">
        <v>2696</v>
      </c>
      <c r="C164" s="11" t="s">
        <v>559</v>
      </c>
      <c r="D164" s="11" t="s">
        <v>1694</v>
      </c>
      <c r="E164">
        <v>1</v>
      </c>
      <c r="F164" s="11" t="s">
        <v>305</v>
      </c>
      <c r="G164" s="12"/>
      <c r="H164" s="11" t="s">
        <v>6864</v>
      </c>
      <c r="J164" s="5" t="s">
        <v>3990</v>
      </c>
      <c r="K164" s="11" t="s">
        <v>1906</v>
      </c>
      <c r="N164" s="11" t="s">
        <v>6862</v>
      </c>
      <c r="O164" s="11" t="s">
        <v>2140</v>
      </c>
      <c r="P164" s="5" t="s">
        <v>5885</v>
      </c>
      <c r="Q164" s="5"/>
    </row>
    <row r="165" spans="1:17" x14ac:dyDescent="0.25">
      <c r="A165" s="11" t="s">
        <v>2620</v>
      </c>
      <c r="B165" s="5" t="s">
        <v>2626</v>
      </c>
      <c r="C165" s="11" t="s">
        <v>2628</v>
      </c>
      <c r="D165" s="11" t="s">
        <v>2505</v>
      </c>
      <c r="E165">
        <v>1</v>
      </c>
      <c r="F165" s="12"/>
      <c r="G165" s="12"/>
      <c r="H165" s="11" t="s">
        <v>6864</v>
      </c>
      <c r="J165" s="5" t="s">
        <v>3990</v>
      </c>
      <c r="K165" s="12"/>
      <c r="N165" s="11" t="s">
        <v>6862</v>
      </c>
      <c r="O165" s="11" t="s">
        <v>2629</v>
      </c>
      <c r="P165" s="5" t="s">
        <v>244</v>
      </c>
      <c r="Q165" s="5"/>
    </row>
    <row r="166" spans="1:17" x14ac:dyDescent="0.25">
      <c r="A166" s="11" t="s">
        <v>2124</v>
      </c>
      <c r="B166" s="5" t="s">
        <v>2129</v>
      </c>
      <c r="C166" s="11" t="s">
        <v>7001</v>
      </c>
      <c r="D166" s="11" t="s">
        <v>1684</v>
      </c>
      <c r="E166">
        <v>1</v>
      </c>
      <c r="F166" s="11" t="s">
        <v>6881</v>
      </c>
      <c r="G166" s="11" t="s">
        <v>6998</v>
      </c>
      <c r="H166" s="11" t="s">
        <v>6864</v>
      </c>
      <c r="J166" s="5" t="s">
        <v>3990</v>
      </c>
      <c r="K166" s="11" t="s">
        <v>1475</v>
      </c>
      <c r="N166" s="11" t="s">
        <v>6884</v>
      </c>
      <c r="O166" s="11" t="s">
        <v>2132</v>
      </c>
      <c r="P166" s="5"/>
      <c r="Q166" s="5" t="s">
        <v>5832</v>
      </c>
    </row>
    <row r="167" spans="1:17" x14ac:dyDescent="0.25">
      <c r="A167" s="11" t="s">
        <v>3276</v>
      </c>
      <c r="B167" s="5" t="s">
        <v>3281</v>
      </c>
      <c r="C167" s="11" t="s">
        <v>3282</v>
      </c>
      <c r="D167" s="11" t="s">
        <v>2653</v>
      </c>
      <c r="E167">
        <v>1</v>
      </c>
      <c r="F167" s="11" t="s">
        <v>81</v>
      </c>
      <c r="G167" s="12"/>
      <c r="H167" s="12"/>
      <c r="J167" s="5" t="s">
        <v>3990</v>
      </c>
      <c r="K167" s="11" t="s">
        <v>1986</v>
      </c>
      <c r="N167" s="11" t="s">
        <v>6884</v>
      </c>
      <c r="O167" s="11" t="s">
        <v>3283</v>
      </c>
      <c r="P167" s="5" t="s">
        <v>4394</v>
      </c>
      <c r="Q167" s="5"/>
    </row>
    <row r="168" spans="1:17" x14ac:dyDescent="0.25">
      <c r="A168" s="11" t="s">
        <v>2486</v>
      </c>
      <c r="B168" s="5" t="s">
        <v>2491</v>
      </c>
      <c r="C168" s="11" t="s">
        <v>7003</v>
      </c>
      <c r="D168" s="11" t="s">
        <v>1660</v>
      </c>
      <c r="E168">
        <v>1</v>
      </c>
      <c r="F168" s="11" t="s">
        <v>81</v>
      </c>
      <c r="G168" s="11" t="s">
        <v>6998</v>
      </c>
      <c r="H168" s="11" t="s">
        <v>6864</v>
      </c>
      <c r="J168" s="5" t="s">
        <v>3990</v>
      </c>
      <c r="K168" s="11" t="s">
        <v>1475</v>
      </c>
      <c r="N168" s="11" t="s">
        <v>6884</v>
      </c>
      <c r="O168" s="11" t="s">
        <v>1685</v>
      </c>
      <c r="P168" s="5" t="s">
        <v>5682</v>
      </c>
      <c r="Q168" s="5" t="s">
        <v>5680</v>
      </c>
    </row>
    <row r="169" spans="1:17" x14ac:dyDescent="0.25">
      <c r="A169" s="11" t="s">
        <v>2332</v>
      </c>
      <c r="B169" s="5" t="s">
        <v>2336</v>
      </c>
      <c r="C169" s="11" t="s">
        <v>2337</v>
      </c>
      <c r="D169" s="11" t="s">
        <v>2338</v>
      </c>
      <c r="E169">
        <v>1</v>
      </c>
      <c r="F169" s="11" t="s">
        <v>7044</v>
      </c>
      <c r="G169" s="12"/>
      <c r="H169" s="12"/>
      <c r="J169" s="5" t="s">
        <v>3990</v>
      </c>
      <c r="K169" s="11" t="s">
        <v>1451</v>
      </c>
      <c r="N169" s="11" t="s">
        <v>6862</v>
      </c>
      <c r="O169" s="11" t="s">
        <v>2339</v>
      </c>
      <c r="P169" s="5" t="s">
        <v>4248</v>
      </c>
      <c r="Q169" s="5"/>
    </row>
    <row r="170" spans="1:17" x14ac:dyDescent="0.25">
      <c r="A170" s="11" t="s">
        <v>2117</v>
      </c>
      <c r="B170" s="5" t="s">
        <v>2121</v>
      </c>
      <c r="C170" s="11" t="s">
        <v>2123</v>
      </c>
      <c r="D170" s="11" t="s">
        <v>1694</v>
      </c>
      <c r="E170">
        <v>1</v>
      </c>
      <c r="F170" s="11" t="s">
        <v>6881</v>
      </c>
      <c r="G170" s="11" t="s">
        <v>6998</v>
      </c>
      <c r="H170" s="11" t="s">
        <v>6864</v>
      </c>
      <c r="J170" s="5" t="s">
        <v>3990</v>
      </c>
      <c r="K170" s="11" t="s">
        <v>1475</v>
      </c>
      <c r="N170" s="11" t="s">
        <v>6884</v>
      </c>
      <c r="O170" s="11" t="s">
        <v>59</v>
      </c>
      <c r="P170" s="5" t="s">
        <v>6999</v>
      </c>
      <c r="Q170" s="5" t="s">
        <v>7503</v>
      </c>
    </row>
    <row r="171" spans="1:17" x14ac:dyDescent="0.25">
      <c r="A171" s="11" t="s">
        <v>1955</v>
      </c>
      <c r="B171" s="5" t="s">
        <v>1959</v>
      </c>
      <c r="C171" s="11" t="s">
        <v>1961</v>
      </c>
      <c r="D171" s="11" t="s">
        <v>1358</v>
      </c>
      <c r="E171">
        <v>1</v>
      </c>
      <c r="F171" s="11" t="s">
        <v>6895</v>
      </c>
      <c r="G171" s="12"/>
      <c r="H171" s="11" t="s">
        <v>6864</v>
      </c>
      <c r="J171" s="5" t="s">
        <v>3990</v>
      </c>
      <c r="K171" s="11" t="s">
        <v>6900</v>
      </c>
      <c r="N171" s="11" t="s">
        <v>6862</v>
      </c>
      <c r="O171" s="11" t="s">
        <v>307</v>
      </c>
      <c r="P171" s="5" t="s">
        <v>5740</v>
      </c>
      <c r="Q171" s="5"/>
    </row>
    <row r="172" spans="1:17" x14ac:dyDescent="0.25">
      <c r="A172" s="11" t="s">
        <v>1053</v>
      </c>
      <c r="B172" s="5" t="s">
        <v>1060</v>
      </c>
      <c r="C172" s="11" t="s">
        <v>88</v>
      </c>
      <c r="D172" s="11" t="s">
        <v>1434</v>
      </c>
      <c r="E172">
        <v>1</v>
      </c>
      <c r="F172" s="11" t="s">
        <v>6990</v>
      </c>
      <c r="G172" s="11" t="s">
        <v>6998</v>
      </c>
      <c r="H172" s="11" t="s">
        <v>6864</v>
      </c>
      <c r="I172" s="5" t="s">
        <v>4474</v>
      </c>
      <c r="J172" s="5" t="s">
        <v>4011</v>
      </c>
      <c r="K172" s="11" t="s">
        <v>1062</v>
      </c>
      <c r="N172" s="11" t="s">
        <v>6884</v>
      </c>
      <c r="O172" s="11" t="s">
        <v>1020</v>
      </c>
      <c r="P172" s="5" t="s">
        <v>4779</v>
      </c>
      <c r="Q172" s="5" t="s">
        <v>4777</v>
      </c>
    </row>
    <row r="173" spans="1:17" x14ac:dyDescent="0.25">
      <c r="A173" s="11" t="s">
        <v>2223</v>
      </c>
      <c r="B173" s="5" t="s">
        <v>2227</v>
      </c>
      <c r="C173" s="11" t="s">
        <v>1978</v>
      </c>
      <c r="D173" s="11" t="s">
        <v>848</v>
      </c>
      <c r="E173">
        <v>1</v>
      </c>
      <c r="F173" s="11" t="s">
        <v>4246</v>
      </c>
      <c r="G173" s="12"/>
      <c r="H173" s="11" t="s">
        <v>6864</v>
      </c>
      <c r="J173" s="5" t="s">
        <v>3990</v>
      </c>
      <c r="K173" s="11" t="s">
        <v>1979</v>
      </c>
      <c r="N173" s="11" t="s">
        <v>6862</v>
      </c>
      <c r="O173" s="11" t="s">
        <v>2230</v>
      </c>
      <c r="P173" s="5"/>
      <c r="Q173" s="5"/>
    </row>
    <row r="174" spans="1:17" x14ac:dyDescent="0.25">
      <c r="A174" s="11" t="s">
        <v>2440</v>
      </c>
      <c r="B174" s="5" t="s">
        <v>2443</v>
      </c>
      <c r="C174" s="11" t="s">
        <v>559</v>
      </c>
      <c r="D174" s="11" t="s">
        <v>1843</v>
      </c>
      <c r="E174">
        <v>1</v>
      </c>
      <c r="F174" s="11" t="s">
        <v>6895</v>
      </c>
      <c r="G174" s="12"/>
      <c r="H174" s="11" t="s">
        <v>6864</v>
      </c>
      <c r="J174" s="5" t="s">
        <v>3990</v>
      </c>
      <c r="K174" s="11" t="s">
        <v>945</v>
      </c>
      <c r="N174" s="11" t="s">
        <v>6862</v>
      </c>
      <c r="O174" s="11" t="s">
        <v>62</v>
      </c>
      <c r="P174" s="5" t="s">
        <v>5728</v>
      </c>
      <c r="Q174" s="5"/>
    </row>
    <row r="175" spans="1:17" x14ac:dyDescent="0.25">
      <c r="A175" s="11" t="s">
        <v>2391</v>
      </c>
      <c r="B175" s="5" t="s">
        <v>2395</v>
      </c>
      <c r="C175" s="11" t="s">
        <v>559</v>
      </c>
      <c r="D175" s="11" t="s">
        <v>1843</v>
      </c>
      <c r="E175">
        <v>1</v>
      </c>
      <c r="F175" s="11" t="s">
        <v>6895</v>
      </c>
      <c r="G175" s="12"/>
      <c r="H175" s="11" t="s">
        <v>6864</v>
      </c>
      <c r="J175" s="5" t="s">
        <v>3990</v>
      </c>
      <c r="K175" s="11" t="s">
        <v>1835</v>
      </c>
      <c r="N175" s="11" t="s">
        <v>6862</v>
      </c>
      <c r="O175" s="11" t="s">
        <v>62</v>
      </c>
      <c r="P175" s="5" t="s">
        <v>5358</v>
      </c>
      <c r="Q175" s="5"/>
    </row>
    <row r="176" spans="1:17" x14ac:dyDescent="0.25">
      <c r="A176" s="11" t="s">
        <v>2098</v>
      </c>
      <c r="B176" s="5" t="s">
        <v>2103</v>
      </c>
      <c r="C176" s="11" t="s">
        <v>2076</v>
      </c>
      <c r="D176" s="11" t="s">
        <v>715</v>
      </c>
      <c r="E176">
        <v>1</v>
      </c>
      <c r="F176" s="11" t="s">
        <v>6953</v>
      </c>
      <c r="G176" s="12"/>
      <c r="H176" s="11" t="s">
        <v>6864</v>
      </c>
      <c r="J176" s="5" t="s">
        <v>3990</v>
      </c>
      <c r="K176" s="11" t="s">
        <v>2077</v>
      </c>
      <c r="N176" s="11" t="s">
        <v>6862</v>
      </c>
      <c r="O176" s="11" t="s">
        <v>1892</v>
      </c>
      <c r="P176" s="5" t="s">
        <v>7435</v>
      </c>
      <c r="Q176" s="5"/>
    </row>
    <row r="177" spans="1:17" x14ac:dyDescent="0.25">
      <c r="A177" s="11" t="s">
        <v>1183</v>
      </c>
      <c r="B177" s="5" t="s">
        <v>1189</v>
      </c>
      <c r="C177" s="11" t="s">
        <v>1045</v>
      </c>
      <c r="D177" s="11" t="s">
        <v>641</v>
      </c>
      <c r="E177">
        <v>1</v>
      </c>
      <c r="F177" s="11" t="s">
        <v>6990</v>
      </c>
      <c r="G177" s="11" t="s">
        <v>6998</v>
      </c>
      <c r="H177" s="11" t="s">
        <v>6864</v>
      </c>
      <c r="I177" s="5" t="s">
        <v>4474</v>
      </c>
      <c r="J177" s="5" t="s">
        <v>4011</v>
      </c>
      <c r="K177" s="11" t="s">
        <v>405</v>
      </c>
      <c r="N177" s="11" t="s">
        <v>6884</v>
      </c>
      <c r="O177" s="11" t="s">
        <v>1191</v>
      </c>
      <c r="P177" s="5" t="s">
        <v>7436</v>
      </c>
      <c r="Q177" s="5" t="s">
        <v>7504</v>
      </c>
    </row>
    <row r="178" spans="1:17" x14ac:dyDescent="0.25">
      <c r="A178" s="11" t="s">
        <v>1893</v>
      </c>
      <c r="B178" s="5" t="s">
        <v>1898</v>
      </c>
      <c r="C178" s="11" t="s">
        <v>1900</v>
      </c>
      <c r="D178" s="11" t="s">
        <v>541</v>
      </c>
      <c r="E178">
        <v>1</v>
      </c>
      <c r="F178" s="11" t="s">
        <v>6895</v>
      </c>
      <c r="G178" s="12"/>
      <c r="H178" s="11" t="s">
        <v>6864</v>
      </c>
      <c r="J178" s="5" t="s">
        <v>3990</v>
      </c>
      <c r="K178" s="11" t="s">
        <v>330</v>
      </c>
      <c r="N178" s="11" t="s">
        <v>6862</v>
      </c>
      <c r="O178" s="11" t="s">
        <v>1614</v>
      </c>
      <c r="P178" s="5" t="s">
        <v>5111</v>
      </c>
      <c r="Q178" s="5"/>
    </row>
    <row r="179" spans="1:17" x14ac:dyDescent="0.25">
      <c r="A179" s="11" t="s">
        <v>3015</v>
      </c>
      <c r="B179" s="5" t="s">
        <v>3021</v>
      </c>
      <c r="C179" s="11" t="s">
        <v>6891</v>
      </c>
      <c r="D179" s="11" t="s">
        <v>1843</v>
      </c>
      <c r="E179">
        <v>1</v>
      </c>
      <c r="F179" s="11" t="s">
        <v>81</v>
      </c>
      <c r="G179" s="12"/>
      <c r="H179" s="11" t="s">
        <v>6888</v>
      </c>
      <c r="I179" s="5" t="s">
        <v>4474</v>
      </c>
      <c r="J179" s="5" t="s">
        <v>4011</v>
      </c>
      <c r="K179" s="11" t="s">
        <v>6892</v>
      </c>
      <c r="N179" s="11" t="s">
        <v>6862</v>
      </c>
      <c r="O179" s="11" t="s">
        <v>2238</v>
      </c>
      <c r="P179" s="5" t="s">
        <v>4122</v>
      </c>
      <c r="Q179" s="5" t="s">
        <v>7505</v>
      </c>
    </row>
    <row r="180" spans="1:17" x14ac:dyDescent="0.25">
      <c r="A180" s="11" t="s">
        <v>3015</v>
      </c>
      <c r="B180" s="5" t="s">
        <v>3021</v>
      </c>
      <c r="C180" s="11" t="s">
        <v>2149</v>
      </c>
      <c r="D180" s="11" t="s">
        <v>1358</v>
      </c>
      <c r="E180">
        <v>0</v>
      </c>
      <c r="F180" s="11" t="s">
        <v>305</v>
      </c>
      <c r="G180" s="12"/>
      <c r="H180" s="11" t="s">
        <v>6864</v>
      </c>
      <c r="J180" s="5" t="s">
        <v>3990</v>
      </c>
      <c r="K180" s="11" t="s">
        <v>6904</v>
      </c>
      <c r="N180" s="11" t="s">
        <v>6862</v>
      </c>
      <c r="O180" s="11" t="s">
        <v>2430</v>
      </c>
      <c r="P180" s="5"/>
      <c r="Q180" s="5"/>
    </row>
    <row r="181" spans="1:17" x14ac:dyDescent="0.25">
      <c r="A181" s="11" t="s">
        <v>1491</v>
      </c>
      <c r="B181" s="5" t="s">
        <v>1496</v>
      </c>
      <c r="C181" s="11" t="s">
        <v>1497</v>
      </c>
      <c r="D181" s="11" t="s">
        <v>715</v>
      </c>
      <c r="E181">
        <v>1</v>
      </c>
      <c r="F181" s="11" t="s">
        <v>6881</v>
      </c>
      <c r="G181" s="11" t="s">
        <v>6998</v>
      </c>
      <c r="H181" s="11" t="s">
        <v>6864</v>
      </c>
      <c r="J181" s="5" t="s">
        <v>3990</v>
      </c>
      <c r="K181" s="11" t="s">
        <v>1498</v>
      </c>
      <c r="N181" s="11" t="s">
        <v>6884</v>
      </c>
      <c r="O181" s="11" t="s">
        <v>1488</v>
      </c>
      <c r="P181" s="5" t="s">
        <v>7437</v>
      </c>
      <c r="Q181" s="5" t="s">
        <v>5613</v>
      </c>
    </row>
    <row r="182" spans="1:17" x14ac:dyDescent="0.25">
      <c r="A182" s="11" t="s">
        <v>1941</v>
      </c>
      <c r="B182" s="5" t="s">
        <v>1944</v>
      </c>
      <c r="C182" s="11" t="s">
        <v>1946</v>
      </c>
      <c r="D182" s="11" t="s">
        <v>1877</v>
      </c>
      <c r="E182">
        <v>1</v>
      </c>
      <c r="F182" s="11" t="s">
        <v>6881</v>
      </c>
      <c r="G182" s="11" t="s">
        <v>82</v>
      </c>
      <c r="H182" s="11" t="s">
        <v>6864</v>
      </c>
      <c r="J182" s="5" t="s">
        <v>3990</v>
      </c>
      <c r="K182" s="11" t="s">
        <v>1475</v>
      </c>
      <c r="N182" s="11" t="s">
        <v>6884</v>
      </c>
      <c r="O182" s="11" t="s">
        <v>307</v>
      </c>
      <c r="P182" s="5" t="s">
        <v>5748</v>
      </c>
      <c r="Q182" s="5" t="s">
        <v>5747</v>
      </c>
    </row>
    <row r="183" spans="1:17" x14ac:dyDescent="0.25">
      <c r="A183" s="11" t="s">
        <v>2031</v>
      </c>
      <c r="B183" s="5" t="s">
        <v>2035</v>
      </c>
      <c r="C183" s="11" t="s">
        <v>2037</v>
      </c>
      <c r="D183" s="11" t="s">
        <v>848</v>
      </c>
      <c r="E183">
        <v>1</v>
      </c>
      <c r="F183" s="11" t="s">
        <v>6881</v>
      </c>
      <c r="G183" s="11" t="s">
        <v>82</v>
      </c>
      <c r="H183" s="11" t="s">
        <v>6864</v>
      </c>
      <c r="J183" s="5" t="s">
        <v>3990</v>
      </c>
      <c r="K183" s="11" t="s">
        <v>1475</v>
      </c>
      <c r="N183" s="11" t="s">
        <v>6884</v>
      </c>
      <c r="O183" s="11" t="s">
        <v>716</v>
      </c>
      <c r="P183" s="5" t="s">
        <v>4898</v>
      </c>
      <c r="Q183" s="5" t="s">
        <v>4896</v>
      </c>
    </row>
    <row r="184" spans="1:17" x14ac:dyDescent="0.25">
      <c r="A184" s="11" t="s">
        <v>1291</v>
      </c>
      <c r="B184" s="5" t="s">
        <v>1295</v>
      </c>
      <c r="C184" s="11" t="s">
        <v>1297</v>
      </c>
      <c r="D184" s="11" t="s">
        <v>121</v>
      </c>
      <c r="E184">
        <v>1</v>
      </c>
      <c r="F184" s="11" t="s">
        <v>305</v>
      </c>
      <c r="G184" s="12"/>
      <c r="H184" s="11" t="s">
        <v>6894</v>
      </c>
      <c r="J184" s="5" t="s">
        <v>3990</v>
      </c>
      <c r="K184" s="11" t="s">
        <v>6921</v>
      </c>
      <c r="N184" s="11" t="s">
        <v>6911</v>
      </c>
      <c r="O184" s="11" t="s">
        <v>1298</v>
      </c>
      <c r="P184" s="5" t="s">
        <v>6922</v>
      </c>
      <c r="Q184" s="5"/>
    </row>
    <row r="185" spans="1:17" x14ac:dyDescent="0.25">
      <c r="A185" s="11" t="s">
        <v>1291</v>
      </c>
      <c r="B185" s="5" t="s">
        <v>1295</v>
      </c>
      <c r="C185" s="11" t="s">
        <v>6954</v>
      </c>
      <c r="D185" s="11" t="s">
        <v>121</v>
      </c>
      <c r="E185">
        <v>0</v>
      </c>
      <c r="F185" s="11" t="s">
        <v>6953</v>
      </c>
      <c r="G185" s="12"/>
      <c r="H185" s="11" t="s">
        <v>6894</v>
      </c>
      <c r="J185" s="5" t="s">
        <v>3990</v>
      </c>
      <c r="K185" s="11" t="s">
        <v>6955</v>
      </c>
      <c r="N185" s="11" t="s">
        <v>6884</v>
      </c>
      <c r="O185" s="11" t="s">
        <v>815</v>
      </c>
      <c r="P185" s="5"/>
      <c r="Q185" s="5"/>
    </row>
    <row r="186" spans="1:17" x14ac:dyDescent="0.25">
      <c r="A186" s="11" t="s">
        <v>1858</v>
      </c>
      <c r="B186" s="5" t="s">
        <v>1861</v>
      </c>
      <c r="C186" s="11" t="s">
        <v>1032</v>
      </c>
      <c r="D186" s="11" t="s">
        <v>1843</v>
      </c>
      <c r="E186">
        <v>1</v>
      </c>
      <c r="F186" s="11" t="s">
        <v>6881</v>
      </c>
      <c r="G186" s="11" t="s">
        <v>87</v>
      </c>
      <c r="H186" s="11" t="s">
        <v>6864</v>
      </c>
      <c r="J186" s="5" t="s">
        <v>3990</v>
      </c>
      <c r="K186" s="11" t="s">
        <v>1239</v>
      </c>
      <c r="N186" s="11" t="s">
        <v>6884</v>
      </c>
      <c r="O186" s="11" t="s">
        <v>1834</v>
      </c>
      <c r="P186" s="5" t="s">
        <v>5695</v>
      </c>
      <c r="Q186" s="5" t="s">
        <v>5694</v>
      </c>
    </row>
    <row r="187" spans="1:17" x14ac:dyDescent="0.25">
      <c r="A187" s="11" t="s">
        <v>2496</v>
      </c>
      <c r="B187" s="5" t="s">
        <v>2500</v>
      </c>
      <c r="C187" s="11" t="s">
        <v>2006</v>
      </c>
      <c r="D187" s="11" t="s">
        <v>86</v>
      </c>
      <c r="E187">
        <v>1</v>
      </c>
      <c r="F187" s="11" t="s">
        <v>81</v>
      </c>
      <c r="G187" s="11" t="s">
        <v>6998</v>
      </c>
      <c r="H187" s="12"/>
      <c r="J187" s="5" t="s">
        <v>3990</v>
      </c>
      <c r="K187" s="11" t="s">
        <v>662</v>
      </c>
      <c r="N187" s="11" t="s">
        <v>6884</v>
      </c>
      <c r="O187" s="11" t="s">
        <v>31</v>
      </c>
      <c r="P187" s="5" t="s">
        <v>4697</v>
      </c>
      <c r="Q187" s="5" t="s">
        <v>4696</v>
      </c>
    </row>
    <row r="188" spans="1:17" x14ac:dyDescent="0.25">
      <c r="A188" s="11" t="s">
        <v>1772</v>
      </c>
      <c r="B188" s="5" t="s">
        <v>1775</v>
      </c>
      <c r="C188" s="11" t="s">
        <v>559</v>
      </c>
      <c r="D188" s="11" t="s">
        <v>89</v>
      </c>
      <c r="E188">
        <v>1</v>
      </c>
      <c r="F188" s="11" t="s">
        <v>6895</v>
      </c>
      <c r="G188" s="12"/>
      <c r="H188" s="11" t="s">
        <v>6864</v>
      </c>
      <c r="J188" s="5" t="s">
        <v>3990</v>
      </c>
      <c r="K188" s="11" t="s">
        <v>1400</v>
      </c>
      <c r="N188" s="11" t="s">
        <v>6862</v>
      </c>
      <c r="O188" s="11" t="s">
        <v>542</v>
      </c>
      <c r="P188" s="5"/>
      <c r="Q188" s="5"/>
    </row>
    <row r="189" spans="1:17" x14ac:dyDescent="0.25">
      <c r="A189" s="11" t="s">
        <v>2239</v>
      </c>
      <c r="B189" s="5" t="s">
        <v>2246</v>
      </c>
      <c r="C189" s="11" t="s">
        <v>2248</v>
      </c>
      <c r="D189" s="11" t="s">
        <v>2249</v>
      </c>
      <c r="E189">
        <v>1</v>
      </c>
      <c r="F189" s="11" t="s">
        <v>81</v>
      </c>
      <c r="G189" s="12"/>
      <c r="H189" s="11" t="s">
        <v>6883</v>
      </c>
      <c r="J189" s="5" t="s">
        <v>3990</v>
      </c>
      <c r="K189" s="11" t="s">
        <v>6889</v>
      </c>
      <c r="N189" s="11" t="s">
        <v>6886</v>
      </c>
      <c r="O189" s="11" t="s">
        <v>2250</v>
      </c>
      <c r="P189" s="5" t="s">
        <v>6890</v>
      </c>
      <c r="Q189" s="5"/>
    </row>
    <row r="190" spans="1:17" x14ac:dyDescent="0.25">
      <c r="A190" s="11" t="s">
        <v>2239</v>
      </c>
      <c r="B190" s="5" t="s">
        <v>2246</v>
      </c>
      <c r="C190" s="11" t="s">
        <v>559</v>
      </c>
      <c r="D190" s="11" t="s">
        <v>6918</v>
      </c>
      <c r="E190">
        <v>0</v>
      </c>
      <c r="F190" s="11" t="s">
        <v>305</v>
      </c>
      <c r="G190" s="12"/>
      <c r="H190" s="11" t="s">
        <v>6864</v>
      </c>
      <c r="J190" s="5" t="s">
        <v>3990</v>
      </c>
      <c r="K190" s="11" t="s">
        <v>1906</v>
      </c>
      <c r="N190" s="11" t="s">
        <v>6862</v>
      </c>
      <c r="O190" s="11" t="s">
        <v>1834</v>
      </c>
      <c r="P190" s="5"/>
      <c r="Q190" s="5"/>
    </row>
    <row r="191" spans="1:17" x14ac:dyDescent="0.25">
      <c r="A191" s="11" t="s">
        <v>3195</v>
      </c>
      <c r="B191" s="5" t="s">
        <v>3198</v>
      </c>
      <c r="C191" s="11" t="s">
        <v>1761</v>
      </c>
      <c r="D191" s="11" t="s">
        <v>1684</v>
      </c>
      <c r="E191">
        <v>1</v>
      </c>
      <c r="F191" s="11" t="s">
        <v>4246</v>
      </c>
      <c r="G191" s="12"/>
      <c r="H191" s="11" t="s">
        <v>6864</v>
      </c>
      <c r="J191" s="5" t="s">
        <v>3990</v>
      </c>
      <c r="K191" s="11" t="s">
        <v>3199</v>
      </c>
      <c r="N191" s="11" t="s">
        <v>6862</v>
      </c>
      <c r="O191" s="11" t="s">
        <v>2833</v>
      </c>
      <c r="P191" s="5" t="s">
        <v>244</v>
      </c>
      <c r="Q191" s="5"/>
    </row>
    <row r="192" spans="1:17" x14ac:dyDescent="0.25">
      <c r="A192" s="11" t="s">
        <v>3162</v>
      </c>
      <c r="B192" s="5" t="s">
        <v>3166</v>
      </c>
      <c r="C192" s="11" t="s">
        <v>3168</v>
      </c>
      <c r="D192" s="11" t="s">
        <v>2653</v>
      </c>
      <c r="E192">
        <v>1</v>
      </c>
      <c r="F192" s="12"/>
      <c r="G192" s="12"/>
      <c r="H192" s="12"/>
      <c r="J192" s="5" t="s">
        <v>3990</v>
      </c>
      <c r="K192" s="11" t="s">
        <v>945</v>
      </c>
      <c r="N192" s="11" t="s">
        <v>6862</v>
      </c>
      <c r="O192" s="11" t="s">
        <v>2859</v>
      </c>
      <c r="P192" s="5" t="s">
        <v>5475</v>
      </c>
      <c r="Q192" s="5"/>
    </row>
    <row r="193" spans="1:17" x14ac:dyDescent="0.25">
      <c r="A193" s="11" t="s">
        <v>1583</v>
      </c>
      <c r="B193" s="5" t="s">
        <v>1591</v>
      </c>
      <c r="C193" s="11" t="s">
        <v>1593</v>
      </c>
      <c r="D193" s="11" t="s">
        <v>89</v>
      </c>
      <c r="E193">
        <v>1</v>
      </c>
      <c r="F193" s="11" t="s">
        <v>81</v>
      </c>
      <c r="G193" s="11" t="s">
        <v>7032</v>
      </c>
      <c r="H193" s="11" t="s">
        <v>6864</v>
      </c>
      <c r="J193" s="5" t="s">
        <v>3990</v>
      </c>
      <c r="K193" s="11" t="s">
        <v>1595</v>
      </c>
      <c r="N193" s="11" t="s">
        <v>6884</v>
      </c>
      <c r="O193" s="11" t="s">
        <v>1594</v>
      </c>
      <c r="P193" s="5" t="s">
        <v>4206</v>
      </c>
      <c r="Q193" s="5" t="s">
        <v>4204</v>
      </c>
    </row>
    <row r="194" spans="1:17" x14ac:dyDescent="0.25">
      <c r="A194" s="11" t="s">
        <v>3387</v>
      </c>
      <c r="B194" s="5" t="s">
        <v>3392</v>
      </c>
      <c r="C194" s="11" t="s">
        <v>7378</v>
      </c>
      <c r="D194" s="11" t="s">
        <v>6871</v>
      </c>
      <c r="E194">
        <v>1</v>
      </c>
      <c r="F194" s="12"/>
      <c r="G194" s="12"/>
      <c r="H194" s="12"/>
      <c r="J194" s="5" t="s">
        <v>3990</v>
      </c>
      <c r="K194" s="11" t="s">
        <v>3394</v>
      </c>
      <c r="N194" s="11" t="s">
        <v>6862</v>
      </c>
      <c r="O194" s="11" t="s">
        <v>6872</v>
      </c>
      <c r="P194" s="5" t="s">
        <v>7438</v>
      </c>
      <c r="Q194" s="5"/>
    </row>
    <row r="195" spans="1:17" x14ac:dyDescent="0.25">
      <c r="A195" s="11" t="s">
        <v>1980</v>
      </c>
      <c r="B195" s="5" t="s">
        <v>1984</v>
      </c>
      <c r="C195" s="11" t="s">
        <v>365</v>
      </c>
      <c r="D195" s="11" t="s">
        <v>715</v>
      </c>
      <c r="E195">
        <v>1</v>
      </c>
      <c r="F195" s="11" t="s">
        <v>6881</v>
      </c>
      <c r="G195" s="11" t="s">
        <v>82</v>
      </c>
      <c r="H195" s="11" t="s">
        <v>6864</v>
      </c>
      <c r="J195" s="5" t="s">
        <v>3990</v>
      </c>
      <c r="K195" s="11" t="s">
        <v>1986</v>
      </c>
      <c r="N195" s="11" t="s">
        <v>6884</v>
      </c>
      <c r="O195" s="11" t="s">
        <v>110</v>
      </c>
      <c r="P195" s="5" t="s">
        <v>5157</v>
      </c>
      <c r="Q195" s="5" t="s">
        <v>5156</v>
      </c>
    </row>
    <row r="196" spans="1:17" x14ac:dyDescent="0.25">
      <c r="A196" s="11" t="s">
        <v>3523</v>
      </c>
      <c r="B196" s="5" t="s">
        <v>3529</v>
      </c>
      <c r="C196" s="11" t="s">
        <v>6885</v>
      </c>
      <c r="D196" s="11" t="s">
        <v>3401</v>
      </c>
      <c r="E196">
        <v>0</v>
      </c>
      <c r="F196" s="11" t="s">
        <v>81</v>
      </c>
      <c r="G196" s="12"/>
      <c r="H196" s="11" t="s">
        <v>6864</v>
      </c>
      <c r="J196" s="5" t="s">
        <v>3990</v>
      </c>
      <c r="K196" s="11" t="s">
        <v>3525</v>
      </c>
      <c r="N196" s="11" t="s">
        <v>6884</v>
      </c>
      <c r="O196" s="11" t="s">
        <v>3217</v>
      </c>
      <c r="P196" s="5"/>
      <c r="Q196" s="5"/>
    </row>
    <row r="197" spans="1:17" x14ac:dyDescent="0.25">
      <c r="A197" s="11" t="s">
        <v>3523</v>
      </c>
      <c r="B197" s="5" t="s">
        <v>3529</v>
      </c>
      <c r="C197" s="11" t="s">
        <v>1032</v>
      </c>
      <c r="D197" s="11" t="s">
        <v>3531</v>
      </c>
      <c r="E197">
        <v>1</v>
      </c>
      <c r="F197" s="11" t="s">
        <v>81</v>
      </c>
      <c r="G197" s="12"/>
      <c r="H197" s="11" t="s">
        <v>6887</v>
      </c>
      <c r="J197" s="5" t="s">
        <v>3990</v>
      </c>
      <c r="K197" s="11" t="s">
        <v>3532</v>
      </c>
      <c r="N197" s="11" t="s">
        <v>6886</v>
      </c>
      <c r="O197" s="11" t="s">
        <v>3192</v>
      </c>
      <c r="P197" s="5" t="s">
        <v>7439</v>
      </c>
      <c r="Q197" s="5"/>
    </row>
    <row r="198" spans="1:17" x14ac:dyDescent="0.25">
      <c r="A198" s="11" t="s">
        <v>3073</v>
      </c>
      <c r="B198" s="5" t="s">
        <v>3077</v>
      </c>
      <c r="C198" s="11" t="s">
        <v>3078</v>
      </c>
      <c r="D198" s="11" t="s">
        <v>86</v>
      </c>
      <c r="E198">
        <v>1</v>
      </c>
      <c r="F198" s="11" t="s">
        <v>4503</v>
      </c>
      <c r="G198" s="12"/>
      <c r="H198" s="11" t="s">
        <v>6864</v>
      </c>
      <c r="J198" s="5" t="s">
        <v>3990</v>
      </c>
      <c r="K198" s="11" t="s">
        <v>6948</v>
      </c>
      <c r="N198" s="11" t="s">
        <v>6867</v>
      </c>
      <c r="O198" s="11" t="s">
        <v>1685</v>
      </c>
      <c r="P198" s="5" t="s">
        <v>244</v>
      </c>
      <c r="Q198" s="5"/>
    </row>
    <row r="199" spans="1:17" x14ac:dyDescent="0.25">
      <c r="A199" s="11" t="s">
        <v>2278</v>
      </c>
      <c r="B199" s="5" t="s">
        <v>2284</v>
      </c>
      <c r="C199" s="11" t="s">
        <v>1032</v>
      </c>
      <c r="D199" s="11" t="s">
        <v>1358</v>
      </c>
      <c r="E199">
        <v>1</v>
      </c>
      <c r="F199" s="11" t="s">
        <v>81</v>
      </c>
      <c r="G199" s="11" t="s">
        <v>6998</v>
      </c>
      <c r="H199" s="11" t="s">
        <v>6864</v>
      </c>
      <c r="J199" s="5" t="s">
        <v>3990</v>
      </c>
      <c r="K199" s="11" t="s">
        <v>1239</v>
      </c>
      <c r="N199" s="11" t="s">
        <v>6884</v>
      </c>
      <c r="O199" s="11" t="s">
        <v>1853</v>
      </c>
      <c r="P199" s="5" t="s">
        <v>7002</v>
      </c>
      <c r="Q199" s="5" t="s">
        <v>4753</v>
      </c>
    </row>
    <row r="200" spans="1:17" x14ac:dyDescent="0.25">
      <c r="A200" s="11" t="s">
        <v>1167</v>
      </c>
      <c r="B200" s="5" t="s">
        <v>1176</v>
      </c>
      <c r="C200" s="11" t="s">
        <v>1178</v>
      </c>
      <c r="D200" s="11" t="s">
        <v>7016</v>
      </c>
      <c r="E200">
        <v>1</v>
      </c>
      <c r="F200" s="11" t="s">
        <v>6990</v>
      </c>
      <c r="G200" s="11" t="s">
        <v>6998</v>
      </c>
      <c r="H200" s="11" t="s">
        <v>6864</v>
      </c>
      <c r="I200" s="5">
        <v>211</v>
      </c>
      <c r="J200" s="5" t="s">
        <v>3990</v>
      </c>
      <c r="K200" s="11" t="s">
        <v>405</v>
      </c>
      <c r="N200" s="11" t="s">
        <v>6884</v>
      </c>
      <c r="O200" s="11" t="s">
        <v>7017</v>
      </c>
      <c r="P200" s="5" t="s">
        <v>5011</v>
      </c>
      <c r="Q200" s="5" t="s">
        <v>5009</v>
      </c>
    </row>
    <row r="201" spans="1:17" x14ac:dyDescent="0.25">
      <c r="A201" s="11" t="s">
        <v>2466</v>
      </c>
      <c r="B201" s="5" t="s">
        <v>2471</v>
      </c>
      <c r="C201" s="11" t="s">
        <v>6902</v>
      </c>
      <c r="D201" s="11" t="s">
        <v>1604</v>
      </c>
      <c r="E201">
        <v>0</v>
      </c>
      <c r="F201" s="11" t="s">
        <v>305</v>
      </c>
      <c r="G201" s="12"/>
      <c r="H201" s="11" t="s">
        <v>6864</v>
      </c>
      <c r="J201" s="5" t="s">
        <v>3990</v>
      </c>
      <c r="K201" s="11" t="s">
        <v>1350</v>
      </c>
      <c r="N201" s="11" t="s">
        <v>6862</v>
      </c>
      <c r="O201" s="11" t="s">
        <v>1853</v>
      </c>
      <c r="P201" s="5"/>
      <c r="Q201" s="5"/>
    </row>
    <row r="202" spans="1:17" x14ac:dyDescent="0.25">
      <c r="A202" s="11" t="s">
        <v>2466</v>
      </c>
      <c r="B202" s="5" t="s">
        <v>2471</v>
      </c>
      <c r="C202" s="11" t="s">
        <v>1916</v>
      </c>
      <c r="D202" s="11" t="s">
        <v>2473</v>
      </c>
      <c r="E202">
        <v>1</v>
      </c>
      <c r="F202" s="11" t="s">
        <v>6964</v>
      </c>
      <c r="G202" s="12"/>
      <c r="H202" s="11" t="s">
        <v>6905</v>
      </c>
      <c r="J202" s="5" t="s">
        <v>3990</v>
      </c>
      <c r="K202" s="11" t="s">
        <v>1350</v>
      </c>
      <c r="N202" s="11" t="s">
        <v>6884</v>
      </c>
      <c r="O202" s="11" t="s">
        <v>2474</v>
      </c>
      <c r="P202" s="5" t="s">
        <v>6965</v>
      </c>
      <c r="Q202" s="5"/>
    </row>
    <row r="203" spans="1:17" x14ac:dyDescent="0.25">
      <c r="A203" s="11" t="s">
        <v>486</v>
      </c>
      <c r="B203" s="5" t="s">
        <v>496</v>
      </c>
      <c r="C203" s="11" t="s">
        <v>88</v>
      </c>
      <c r="D203" s="11" t="s">
        <v>283</v>
      </c>
      <c r="E203">
        <v>1</v>
      </c>
      <c r="F203" s="11" t="s">
        <v>6990</v>
      </c>
      <c r="G203" s="11" t="s">
        <v>6998</v>
      </c>
      <c r="H203" s="11" t="s">
        <v>6864</v>
      </c>
      <c r="I203" s="5" t="s">
        <v>4474</v>
      </c>
      <c r="J203" s="5" t="s">
        <v>4011</v>
      </c>
      <c r="K203" s="11" t="s">
        <v>498</v>
      </c>
      <c r="N203" s="11" t="s">
        <v>6884</v>
      </c>
      <c r="O203" s="11" t="s">
        <v>7027</v>
      </c>
      <c r="P203" s="5" t="s">
        <v>7440</v>
      </c>
      <c r="Q203" s="5" t="s">
        <v>7506</v>
      </c>
    </row>
    <row r="204" spans="1:17" x14ac:dyDescent="0.25">
      <c r="A204" s="11" t="s">
        <v>3346</v>
      </c>
      <c r="B204" s="5" t="s">
        <v>3351</v>
      </c>
      <c r="C204" s="11" t="s">
        <v>1032</v>
      </c>
      <c r="D204" s="11" t="s">
        <v>1924</v>
      </c>
      <c r="E204">
        <v>1</v>
      </c>
      <c r="F204" s="11" t="s">
        <v>6967</v>
      </c>
      <c r="G204" s="11" t="s">
        <v>6980</v>
      </c>
      <c r="H204" s="11" t="s">
        <v>6864</v>
      </c>
      <c r="J204" s="5" t="s">
        <v>3990</v>
      </c>
      <c r="K204" s="11" t="s">
        <v>6981</v>
      </c>
      <c r="N204" s="11" t="s">
        <v>6879</v>
      </c>
      <c r="O204" s="11" t="s">
        <v>3353</v>
      </c>
      <c r="P204" s="5" t="s">
        <v>5790</v>
      </c>
      <c r="Q204" s="5" t="s">
        <v>7507</v>
      </c>
    </row>
    <row r="205" spans="1:17" x14ac:dyDescent="0.25">
      <c r="A205" s="11" t="s">
        <v>315</v>
      </c>
      <c r="B205" s="5" t="s">
        <v>326</v>
      </c>
      <c r="C205" s="11" t="s">
        <v>327</v>
      </c>
      <c r="D205" s="11" t="s">
        <v>328</v>
      </c>
      <c r="E205">
        <v>1</v>
      </c>
      <c r="F205" s="11" t="s">
        <v>6990</v>
      </c>
      <c r="G205" s="11" t="s">
        <v>6998</v>
      </c>
      <c r="H205" s="11" t="s">
        <v>6864</v>
      </c>
      <c r="J205" s="5" t="s">
        <v>3990</v>
      </c>
      <c r="K205" s="11" t="s">
        <v>330</v>
      </c>
      <c r="N205" s="11" t="s">
        <v>6884</v>
      </c>
      <c r="O205" s="11" t="s">
        <v>329</v>
      </c>
      <c r="P205" s="5" t="s">
        <v>7441</v>
      </c>
      <c r="Q205" s="5" t="s">
        <v>7018</v>
      </c>
    </row>
    <row r="206" spans="1:17" x14ac:dyDescent="0.25">
      <c r="A206" s="11" t="s">
        <v>1596</v>
      </c>
      <c r="B206" s="5" t="s">
        <v>1601</v>
      </c>
      <c r="C206" s="11" t="s">
        <v>1603</v>
      </c>
      <c r="D206" s="11" t="s">
        <v>1604</v>
      </c>
      <c r="E206">
        <v>1</v>
      </c>
      <c r="F206" s="11" t="s">
        <v>6967</v>
      </c>
      <c r="G206" s="11" t="s">
        <v>6980</v>
      </c>
      <c r="H206" s="11" t="s">
        <v>6864</v>
      </c>
      <c r="I206" s="5">
        <v>211</v>
      </c>
      <c r="J206" s="5" t="s">
        <v>3990</v>
      </c>
      <c r="K206" s="11" t="s">
        <v>1606</v>
      </c>
      <c r="N206" s="11" t="s">
        <v>6862</v>
      </c>
      <c r="O206" s="11" t="s">
        <v>1605</v>
      </c>
      <c r="P206" s="5" t="s">
        <v>4650</v>
      </c>
      <c r="Q206" s="5" t="s">
        <v>4648</v>
      </c>
    </row>
    <row r="207" spans="1:17" x14ac:dyDescent="0.25">
      <c r="A207" s="11" t="s">
        <v>2215</v>
      </c>
      <c r="B207" s="5" t="s">
        <v>2219</v>
      </c>
      <c r="C207" s="11" t="s">
        <v>2221</v>
      </c>
      <c r="D207" s="11" t="s">
        <v>1604</v>
      </c>
      <c r="E207">
        <v>1</v>
      </c>
      <c r="F207" s="11" t="s">
        <v>81</v>
      </c>
      <c r="G207" s="11" t="s">
        <v>6998</v>
      </c>
      <c r="H207" s="11" t="s">
        <v>6864</v>
      </c>
      <c r="I207" s="5" t="s">
        <v>7522</v>
      </c>
      <c r="J207" s="5" t="s">
        <v>4011</v>
      </c>
      <c r="K207" s="11" t="s">
        <v>1062</v>
      </c>
      <c r="N207" s="11" t="s">
        <v>6884</v>
      </c>
      <c r="O207" s="11" t="s">
        <v>2222</v>
      </c>
      <c r="P207" s="5" t="s">
        <v>4833</v>
      </c>
      <c r="Q207" s="5" t="s">
        <v>4832</v>
      </c>
    </row>
    <row r="208" spans="1:17" x14ac:dyDescent="0.25">
      <c r="A208" s="11" t="s">
        <v>2384</v>
      </c>
      <c r="B208" s="5" t="s">
        <v>2388</v>
      </c>
      <c r="C208" s="11" t="s">
        <v>1410</v>
      </c>
      <c r="D208" s="11" t="s">
        <v>1843</v>
      </c>
      <c r="E208">
        <v>1</v>
      </c>
      <c r="F208" s="11" t="s">
        <v>6895</v>
      </c>
      <c r="G208" s="12"/>
      <c r="H208" s="11" t="s">
        <v>6864</v>
      </c>
      <c r="J208" s="5" t="s">
        <v>3990</v>
      </c>
      <c r="K208" s="11" t="s">
        <v>1906</v>
      </c>
      <c r="N208" s="11" t="s">
        <v>6862</v>
      </c>
      <c r="O208" s="11" t="s">
        <v>59</v>
      </c>
      <c r="P208" s="5" t="s">
        <v>4568</v>
      </c>
      <c r="Q208" s="5"/>
    </row>
    <row r="209" spans="1:17" x14ac:dyDescent="0.25">
      <c r="A209" s="11" t="s">
        <v>3176</v>
      </c>
      <c r="B209" s="5" t="s">
        <v>3181</v>
      </c>
      <c r="C209" s="11" t="s">
        <v>1032</v>
      </c>
      <c r="D209" s="11" t="s">
        <v>1924</v>
      </c>
      <c r="E209">
        <v>1</v>
      </c>
      <c r="F209" s="11" t="s">
        <v>81</v>
      </c>
      <c r="G209" s="11" t="s">
        <v>6998</v>
      </c>
      <c r="H209" s="11" t="s">
        <v>6864</v>
      </c>
      <c r="J209" s="5" t="s">
        <v>3990</v>
      </c>
      <c r="K209" s="11" t="s">
        <v>1239</v>
      </c>
      <c r="N209" s="11" t="s">
        <v>6884</v>
      </c>
      <c r="O209" s="11" t="s">
        <v>1925</v>
      </c>
      <c r="P209" s="5" t="s">
        <v>5048</v>
      </c>
      <c r="Q209" s="5" t="s">
        <v>5047</v>
      </c>
    </row>
    <row r="210" spans="1:17" x14ac:dyDescent="0.25">
      <c r="A210" s="11" t="s">
        <v>579</v>
      </c>
      <c r="B210" s="5" t="s">
        <v>582</v>
      </c>
      <c r="C210" s="11" t="s">
        <v>559</v>
      </c>
      <c r="D210" s="11" t="s">
        <v>514</v>
      </c>
      <c r="E210">
        <v>1</v>
      </c>
      <c r="F210" s="11" t="s">
        <v>6931</v>
      </c>
      <c r="G210" s="12"/>
      <c r="H210" s="11" t="s">
        <v>6864</v>
      </c>
      <c r="J210" s="5" t="s">
        <v>3990</v>
      </c>
      <c r="K210" s="11" t="s">
        <v>570</v>
      </c>
      <c r="N210" s="11" t="s">
        <v>6862</v>
      </c>
      <c r="O210" s="11" t="s">
        <v>554</v>
      </c>
      <c r="P210" s="5" t="s">
        <v>7442</v>
      </c>
      <c r="Q210" s="5"/>
    </row>
    <row r="211" spans="1:17" x14ac:dyDescent="0.25">
      <c r="A211" s="11" t="s">
        <v>2545</v>
      </c>
      <c r="B211" s="5" t="s">
        <v>2550</v>
      </c>
      <c r="C211" s="11" t="s">
        <v>1946</v>
      </c>
      <c r="D211" s="11" t="s">
        <v>1160</v>
      </c>
      <c r="E211">
        <v>1</v>
      </c>
      <c r="F211" s="11" t="s">
        <v>6881</v>
      </c>
      <c r="G211" s="12"/>
      <c r="H211" s="11" t="s">
        <v>6863</v>
      </c>
      <c r="J211" s="5" t="s">
        <v>3990</v>
      </c>
      <c r="K211" s="11" t="s">
        <v>85</v>
      </c>
      <c r="N211" s="11" t="s">
        <v>6862</v>
      </c>
      <c r="O211" s="11" t="s">
        <v>2676</v>
      </c>
      <c r="P211" s="5" t="s">
        <v>7443</v>
      </c>
      <c r="Q211" s="5"/>
    </row>
    <row r="212" spans="1:17" x14ac:dyDescent="0.25">
      <c r="A212" s="11" t="s">
        <v>1677</v>
      </c>
      <c r="B212" s="5" t="s">
        <v>1682</v>
      </c>
      <c r="C212" s="11" t="s">
        <v>1032</v>
      </c>
      <c r="D212" s="11" t="s">
        <v>1684</v>
      </c>
      <c r="E212">
        <v>1</v>
      </c>
      <c r="F212" s="11" t="s">
        <v>6881</v>
      </c>
      <c r="G212" s="11" t="s">
        <v>6998</v>
      </c>
      <c r="H212" s="11" t="s">
        <v>6864</v>
      </c>
      <c r="J212" s="5" t="s">
        <v>3990</v>
      </c>
      <c r="K212" s="11" t="s">
        <v>662</v>
      </c>
      <c r="N212" s="11" t="s">
        <v>6884</v>
      </c>
      <c r="O212" s="11" t="s">
        <v>1685</v>
      </c>
      <c r="P212" s="5" t="s">
        <v>5809</v>
      </c>
      <c r="Q212" s="5" t="s">
        <v>7488</v>
      </c>
    </row>
    <row r="213" spans="1:17" x14ac:dyDescent="0.25">
      <c r="A213" s="11" t="s">
        <v>2816</v>
      </c>
      <c r="B213" s="5" t="s">
        <v>2822</v>
      </c>
      <c r="C213" s="11" t="s">
        <v>1032</v>
      </c>
      <c r="D213" s="11" t="s">
        <v>2824</v>
      </c>
      <c r="E213">
        <v>1</v>
      </c>
      <c r="F213" s="11" t="s">
        <v>81</v>
      </c>
      <c r="G213" s="12"/>
      <c r="H213" s="11" t="s">
        <v>6864</v>
      </c>
      <c r="J213" s="5" t="s">
        <v>3990</v>
      </c>
      <c r="K213" s="11" t="s">
        <v>662</v>
      </c>
      <c r="N213" s="11" t="s">
        <v>6884</v>
      </c>
      <c r="O213" s="11" t="s">
        <v>2825</v>
      </c>
      <c r="P213" s="5" t="s">
        <v>4454</v>
      </c>
      <c r="Q213" s="5"/>
    </row>
    <row r="214" spans="1:17" x14ac:dyDescent="0.25">
      <c r="A214" s="11" t="s">
        <v>1781</v>
      </c>
      <c r="B214" s="5" t="s">
        <v>1785</v>
      </c>
      <c r="C214" s="11" t="s">
        <v>559</v>
      </c>
      <c r="D214" s="11" t="s">
        <v>89</v>
      </c>
      <c r="E214">
        <v>1</v>
      </c>
      <c r="F214" s="11" t="s">
        <v>6895</v>
      </c>
      <c r="G214" s="12"/>
      <c r="H214" s="11" t="s">
        <v>6864</v>
      </c>
      <c r="J214" s="5" t="s">
        <v>3990</v>
      </c>
      <c r="K214" s="11" t="s">
        <v>1787</v>
      </c>
      <c r="N214" s="11" t="s">
        <v>6862</v>
      </c>
      <c r="O214" s="11" t="s">
        <v>542</v>
      </c>
      <c r="P214" s="5" t="s">
        <v>6067</v>
      </c>
      <c r="Q214" s="5"/>
    </row>
    <row r="215" spans="1:17" x14ac:dyDescent="0.25">
      <c r="A215" s="11" t="s">
        <v>963</v>
      </c>
      <c r="B215" s="5" t="s">
        <v>968</v>
      </c>
      <c r="C215" s="11" t="s">
        <v>559</v>
      </c>
      <c r="D215" s="11" t="s">
        <v>283</v>
      </c>
      <c r="E215">
        <v>1</v>
      </c>
      <c r="F215" s="11" t="s">
        <v>305</v>
      </c>
      <c r="G215" s="12"/>
      <c r="H215" s="11" t="s">
        <v>6864</v>
      </c>
      <c r="J215" s="5" t="s">
        <v>3990</v>
      </c>
      <c r="K215" s="11" t="s">
        <v>970</v>
      </c>
      <c r="N215" s="11" t="s">
        <v>6862</v>
      </c>
      <c r="O215" s="11" t="s">
        <v>466</v>
      </c>
      <c r="P215" s="5" t="s">
        <v>7444</v>
      </c>
      <c r="Q215" s="5"/>
    </row>
    <row r="216" spans="1:17" x14ac:dyDescent="0.25">
      <c r="A216" s="11" t="s">
        <v>1403</v>
      </c>
      <c r="B216" s="5" t="s">
        <v>1408</v>
      </c>
      <c r="C216" s="11" t="s">
        <v>1410</v>
      </c>
      <c r="D216" s="11" t="s">
        <v>1411</v>
      </c>
      <c r="E216">
        <v>1</v>
      </c>
      <c r="F216" s="11" t="s">
        <v>305</v>
      </c>
      <c r="G216" s="12"/>
      <c r="H216" s="11" t="s">
        <v>6864</v>
      </c>
      <c r="J216" s="5" t="s">
        <v>3990</v>
      </c>
      <c r="K216" s="11" t="s">
        <v>945</v>
      </c>
      <c r="N216" s="11" t="s">
        <v>6862</v>
      </c>
      <c r="O216" s="11" t="s">
        <v>1412</v>
      </c>
      <c r="P216" s="5" t="s">
        <v>6910</v>
      </c>
      <c r="Q216" s="5"/>
    </row>
    <row r="217" spans="1:17" x14ac:dyDescent="0.25">
      <c r="A217" s="11" t="s">
        <v>1146</v>
      </c>
      <c r="B217" s="5" t="s">
        <v>1153</v>
      </c>
      <c r="C217" s="11" t="s">
        <v>1032</v>
      </c>
      <c r="D217" s="11" t="s">
        <v>89</v>
      </c>
      <c r="E217">
        <v>1</v>
      </c>
      <c r="F217" s="11" t="s">
        <v>6990</v>
      </c>
      <c r="G217" s="11" t="s">
        <v>6998</v>
      </c>
      <c r="H217" s="11" t="s">
        <v>6864</v>
      </c>
      <c r="J217" s="5" t="s">
        <v>3990</v>
      </c>
      <c r="K217" s="11" t="s">
        <v>1156</v>
      </c>
      <c r="N217" s="11" t="s">
        <v>6884</v>
      </c>
      <c r="O217" s="11" t="s">
        <v>661</v>
      </c>
      <c r="P217" s="5" t="s">
        <v>7445</v>
      </c>
      <c r="Q217" s="5" t="s">
        <v>7508</v>
      </c>
    </row>
    <row r="218" spans="1:17" x14ac:dyDescent="0.25">
      <c r="A218" s="11" t="s">
        <v>2836</v>
      </c>
      <c r="B218" s="5" t="s">
        <v>2841</v>
      </c>
      <c r="C218" s="11" t="s">
        <v>6868</v>
      </c>
      <c r="D218" s="11" t="s">
        <v>1924</v>
      </c>
      <c r="E218">
        <v>0</v>
      </c>
      <c r="F218" s="12"/>
      <c r="G218" s="12"/>
      <c r="H218" s="12"/>
      <c r="J218" s="5" t="s">
        <v>3990</v>
      </c>
      <c r="K218" s="12"/>
      <c r="N218" s="11" t="s">
        <v>6867</v>
      </c>
      <c r="O218" s="11" t="s">
        <v>2132</v>
      </c>
      <c r="P218" s="5"/>
      <c r="Q218" s="5"/>
    </row>
    <row r="219" spans="1:17" x14ac:dyDescent="0.25">
      <c r="A219" s="11" t="s">
        <v>2836</v>
      </c>
      <c r="B219" s="5" t="s">
        <v>2841</v>
      </c>
      <c r="C219" s="11" t="s">
        <v>1671</v>
      </c>
      <c r="D219" s="11" t="s">
        <v>715</v>
      </c>
      <c r="E219">
        <v>1</v>
      </c>
      <c r="F219" s="11" t="s">
        <v>305</v>
      </c>
      <c r="G219" s="12"/>
      <c r="H219" s="12"/>
      <c r="J219" s="5" t="s">
        <v>3990</v>
      </c>
      <c r="K219" s="12"/>
      <c r="N219" s="11" t="s">
        <v>6867</v>
      </c>
      <c r="O219" s="11" t="s">
        <v>1673</v>
      </c>
      <c r="P219" s="5" t="s">
        <v>6906</v>
      </c>
      <c r="Q219" s="5"/>
    </row>
    <row r="220" spans="1:17" x14ac:dyDescent="0.25">
      <c r="A220" s="11" t="s">
        <v>2899</v>
      </c>
      <c r="B220" s="5" t="s">
        <v>2903</v>
      </c>
      <c r="C220" s="11" t="s">
        <v>559</v>
      </c>
      <c r="D220" s="11" t="s">
        <v>1604</v>
      </c>
      <c r="E220">
        <v>1</v>
      </c>
      <c r="F220" s="11" t="s">
        <v>4246</v>
      </c>
      <c r="G220" s="12"/>
      <c r="H220" s="12"/>
      <c r="J220" s="5" t="s">
        <v>3990</v>
      </c>
      <c r="K220" s="11" t="s">
        <v>6942</v>
      </c>
      <c r="N220" s="11" t="s">
        <v>6862</v>
      </c>
      <c r="O220" s="11" t="s">
        <v>1853</v>
      </c>
      <c r="P220" s="5"/>
      <c r="Q220" s="5"/>
    </row>
    <row r="221" spans="1:17" x14ac:dyDescent="0.25">
      <c r="A221" s="11" t="s">
        <v>3326</v>
      </c>
      <c r="B221" s="5" t="s">
        <v>3331</v>
      </c>
      <c r="C221" s="11" t="s">
        <v>6870</v>
      </c>
      <c r="D221" s="11" t="s">
        <v>6869</v>
      </c>
      <c r="E221">
        <v>0</v>
      </c>
      <c r="F221" s="12"/>
      <c r="G221" s="12"/>
      <c r="H221" s="12"/>
      <c r="J221" s="5" t="s">
        <v>3990</v>
      </c>
      <c r="K221" s="12"/>
      <c r="N221" s="11" t="s">
        <v>6867</v>
      </c>
      <c r="O221" s="11" t="s">
        <v>2859</v>
      </c>
      <c r="P221" s="5"/>
      <c r="Q221" s="5"/>
    </row>
    <row r="222" spans="1:17" x14ac:dyDescent="0.25">
      <c r="A222" s="11" t="s">
        <v>3326</v>
      </c>
      <c r="B222" s="5" t="s">
        <v>3331</v>
      </c>
      <c r="C222" s="11" t="s">
        <v>365</v>
      </c>
      <c r="D222" s="11" t="s">
        <v>3333</v>
      </c>
      <c r="E222">
        <v>1</v>
      </c>
      <c r="F222" s="11" t="s">
        <v>6926</v>
      </c>
      <c r="G222" s="12"/>
      <c r="H222" s="12"/>
      <c r="J222" s="5" t="s">
        <v>3990</v>
      </c>
      <c r="K222" s="11" t="s">
        <v>1350</v>
      </c>
      <c r="N222" s="11" t="s">
        <v>6862</v>
      </c>
      <c r="O222" s="11" t="s">
        <v>2810</v>
      </c>
      <c r="P222" s="5" t="s">
        <v>6928</v>
      </c>
      <c r="Q222" s="5"/>
    </row>
    <row r="223" spans="1:17" x14ac:dyDescent="0.25">
      <c r="A223" s="11" t="s">
        <v>777</v>
      </c>
      <c r="B223" s="5" t="s">
        <v>784</v>
      </c>
      <c r="C223" s="11" t="s">
        <v>426</v>
      </c>
      <c r="D223" s="11" t="s">
        <v>641</v>
      </c>
      <c r="E223">
        <v>1</v>
      </c>
      <c r="F223" s="11" t="s">
        <v>6990</v>
      </c>
      <c r="G223" s="11" t="s">
        <v>6998</v>
      </c>
      <c r="H223" s="11" t="s">
        <v>6864</v>
      </c>
      <c r="I223" s="5">
        <v>211</v>
      </c>
      <c r="J223" s="5" t="s">
        <v>3990</v>
      </c>
      <c r="K223" s="11" t="s">
        <v>786</v>
      </c>
      <c r="N223" s="11" t="s">
        <v>6884</v>
      </c>
      <c r="O223" s="11" t="s">
        <v>7023</v>
      </c>
      <c r="P223" s="5" t="s">
        <v>7446</v>
      </c>
      <c r="Q223" s="5" t="s">
        <v>7509</v>
      </c>
    </row>
    <row r="224" spans="1:17" x14ac:dyDescent="0.25">
      <c r="A224" s="11" t="s">
        <v>2477</v>
      </c>
      <c r="B224" s="5" t="s">
        <v>2482</v>
      </c>
      <c r="C224" s="11" t="s">
        <v>1032</v>
      </c>
      <c r="D224" s="11" t="s">
        <v>1604</v>
      </c>
      <c r="E224">
        <v>1</v>
      </c>
      <c r="F224" s="11" t="s">
        <v>81</v>
      </c>
      <c r="G224" s="11" t="s">
        <v>6998</v>
      </c>
      <c r="H224" s="11" t="s">
        <v>6864</v>
      </c>
      <c r="J224" s="5" t="s">
        <v>3990</v>
      </c>
      <c r="K224" s="11" t="s">
        <v>786</v>
      </c>
      <c r="N224" s="11" t="s">
        <v>6884</v>
      </c>
      <c r="O224" s="11" t="s">
        <v>2140</v>
      </c>
      <c r="P224" s="5" t="s">
        <v>5589</v>
      </c>
      <c r="Q224" s="5" t="s">
        <v>5588</v>
      </c>
    </row>
    <row r="225" spans="1:17" x14ac:dyDescent="0.25">
      <c r="A225" s="11" t="s">
        <v>1926</v>
      </c>
      <c r="B225" s="5" t="s">
        <v>1929</v>
      </c>
      <c r="C225" s="11" t="s">
        <v>827</v>
      </c>
      <c r="D225" s="11" t="s">
        <v>1931</v>
      </c>
      <c r="E225">
        <v>1</v>
      </c>
      <c r="F225" s="11" t="s">
        <v>6881</v>
      </c>
      <c r="G225" s="11" t="s">
        <v>82</v>
      </c>
      <c r="H225" s="11" t="s">
        <v>6864</v>
      </c>
      <c r="I225" s="5" t="s">
        <v>4474</v>
      </c>
      <c r="J225" s="5" t="s">
        <v>4011</v>
      </c>
      <c r="K225" s="11" t="s">
        <v>285</v>
      </c>
      <c r="N225" s="11" t="s">
        <v>6867</v>
      </c>
      <c r="O225" s="11" t="s">
        <v>1932</v>
      </c>
      <c r="P225" s="5" t="s">
        <v>5890</v>
      </c>
      <c r="Q225" s="5" t="s">
        <v>5889</v>
      </c>
    </row>
    <row r="226" spans="1:17" x14ac:dyDescent="0.25">
      <c r="A226" s="11" t="s">
        <v>2772</v>
      </c>
      <c r="B226" s="5" t="s">
        <v>2776</v>
      </c>
      <c r="C226" s="11" t="s">
        <v>1032</v>
      </c>
      <c r="D226" s="11" t="s">
        <v>1358</v>
      </c>
      <c r="E226">
        <v>1</v>
      </c>
      <c r="F226" s="11" t="s">
        <v>81</v>
      </c>
      <c r="G226" s="11" t="s">
        <v>6998</v>
      </c>
      <c r="H226" s="11" t="s">
        <v>6864</v>
      </c>
      <c r="J226" s="5" t="s">
        <v>3990</v>
      </c>
      <c r="K226" s="11" t="s">
        <v>1986</v>
      </c>
      <c r="N226" s="11" t="s">
        <v>6884</v>
      </c>
      <c r="O226" s="11" t="s">
        <v>1853</v>
      </c>
      <c r="P226" s="5" t="s">
        <v>5135</v>
      </c>
      <c r="Q226" s="5" t="s">
        <v>5134</v>
      </c>
    </row>
    <row r="227" spans="1:17" x14ac:dyDescent="0.25">
      <c r="A227" s="11" t="s">
        <v>607</v>
      </c>
      <c r="B227" s="5" t="s">
        <v>611</v>
      </c>
      <c r="C227" s="11" t="s">
        <v>589</v>
      </c>
      <c r="D227" s="11" t="s">
        <v>514</v>
      </c>
      <c r="E227">
        <v>1</v>
      </c>
      <c r="F227" s="11" t="s">
        <v>6931</v>
      </c>
      <c r="G227" s="12"/>
      <c r="H227" s="11" t="s">
        <v>6864</v>
      </c>
      <c r="J227" s="5" t="s">
        <v>3990</v>
      </c>
      <c r="K227" s="11" t="s">
        <v>613</v>
      </c>
      <c r="N227" s="11" t="s">
        <v>6862</v>
      </c>
      <c r="O227" s="11" t="s">
        <v>6933</v>
      </c>
      <c r="P227" s="5" t="s">
        <v>7447</v>
      </c>
      <c r="Q227" s="5"/>
    </row>
    <row r="228" spans="1:17" x14ac:dyDescent="0.25">
      <c r="A228" s="11" t="s">
        <v>3294</v>
      </c>
      <c r="B228" s="5" t="s">
        <v>3298</v>
      </c>
      <c r="C228" s="11" t="s">
        <v>3300</v>
      </c>
      <c r="D228" s="11" t="s">
        <v>3252</v>
      </c>
      <c r="E228">
        <v>1</v>
      </c>
      <c r="F228" s="12"/>
      <c r="G228" s="12"/>
      <c r="H228" s="12"/>
      <c r="J228" s="5" t="s">
        <v>3990</v>
      </c>
      <c r="K228" s="12"/>
      <c r="N228" s="11" t="s">
        <v>6867</v>
      </c>
      <c r="O228" s="11" t="s">
        <v>3301</v>
      </c>
      <c r="P228" s="5" t="s">
        <v>244</v>
      </c>
      <c r="Q228" s="5"/>
    </row>
    <row r="229" spans="1:17" x14ac:dyDescent="0.25">
      <c r="A229" s="11" t="s">
        <v>1870</v>
      </c>
      <c r="B229" s="5" t="s">
        <v>1874</v>
      </c>
      <c r="C229" s="11" t="s">
        <v>1876</v>
      </c>
      <c r="D229" s="11" t="s">
        <v>1877</v>
      </c>
      <c r="E229">
        <v>1</v>
      </c>
      <c r="F229" s="11" t="s">
        <v>6881</v>
      </c>
      <c r="G229" s="11" t="s">
        <v>82</v>
      </c>
      <c r="H229" s="11" t="s">
        <v>6864</v>
      </c>
      <c r="I229" s="5">
        <v>211</v>
      </c>
      <c r="J229" s="5" t="s">
        <v>3990</v>
      </c>
      <c r="K229" s="11" t="s">
        <v>1879</v>
      </c>
      <c r="N229" s="11" t="s">
        <v>6884</v>
      </c>
      <c r="O229" s="11" t="s">
        <v>1878</v>
      </c>
      <c r="P229" s="5" t="s">
        <v>4982</v>
      </c>
      <c r="Q229" s="5" t="s">
        <v>4980</v>
      </c>
    </row>
    <row r="230" spans="1:17" x14ac:dyDescent="0.25">
      <c r="A230" s="11" t="s">
        <v>1809</v>
      </c>
      <c r="B230" s="5" t="s">
        <v>1816</v>
      </c>
      <c r="C230" s="11" t="s">
        <v>1900</v>
      </c>
      <c r="D230" s="11" t="s">
        <v>1358</v>
      </c>
      <c r="E230">
        <v>0</v>
      </c>
      <c r="F230" s="11" t="s">
        <v>6895</v>
      </c>
      <c r="G230" s="12"/>
      <c r="H230" s="11" t="s">
        <v>6864</v>
      </c>
      <c r="J230" s="5" t="s">
        <v>3990</v>
      </c>
      <c r="K230" s="11" t="s">
        <v>330</v>
      </c>
      <c r="N230" s="11" t="s">
        <v>6862</v>
      </c>
      <c r="O230" s="11" t="s">
        <v>6896</v>
      </c>
      <c r="P230" s="5"/>
      <c r="Q230" s="5"/>
    </row>
    <row r="231" spans="1:17" x14ac:dyDescent="0.25">
      <c r="A231" s="11" t="s">
        <v>1809</v>
      </c>
      <c r="B231" s="5" t="s">
        <v>1816</v>
      </c>
      <c r="C231" s="11" t="s">
        <v>365</v>
      </c>
      <c r="D231" s="11" t="s">
        <v>1818</v>
      </c>
      <c r="E231">
        <v>1</v>
      </c>
      <c r="F231" s="11" t="s">
        <v>6959</v>
      </c>
      <c r="G231" s="12"/>
      <c r="H231" s="11" t="s">
        <v>6863</v>
      </c>
      <c r="J231" s="5" t="s">
        <v>3990</v>
      </c>
      <c r="K231" s="11" t="s">
        <v>1360</v>
      </c>
      <c r="N231" s="11" t="s">
        <v>6862</v>
      </c>
      <c r="O231" s="11" t="s">
        <v>1819</v>
      </c>
      <c r="P231" s="5" t="s">
        <v>6961</v>
      </c>
      <c r="Q231" s="5"/>
    </row>
    <row r="232" spans="1:17" x14ac:dyDescent="0.25">
      <c r="A232" s="11" t="s">
        <v>3433</v>
      </c>
      <c r="B232" s="5" t="s">
        <v>3438</v>
      </c>
      <c r="C232" s="11" t="s">
        <v>3440</v>
      </c>
      <c r="D232" s="11" t="s">
        <v>1254</v>
      </c>
      <c r="E232">
        <v>1</v>
      </c>
      <c r="F232" s="11" t="s">
        <v>4246</v>
      </c>
      <c r="G232" s="12"/>
      <c r="H232" s="11" t="s">
        <v>6864</v>
      </c>
      <c r="J232" s="5" t="s">
        <v>3990</v>
      </c>
      <c r="K232" s="11" t="s">
        <v>2896</v>
      </c>
      <c r="N232" s="11" t="s">
        <v>6867</v>
      </c>
      <c r="O232" s="11" t="s">
        <v>3441</v>
      </c>
      <c r="P232" s="5" t="s">
        <v>5368</v>
      </c>
      <c r="Q232" s="5"/>
    </row>
    <row r="233" spans="1:17" x14ac:dyDescent="0.25">
      <c r="A233" s="11" t="s">
        <v>3536</v>
      </c>
      <c r="B233" s="5" t="s">
        <v>3540</v>
      </c>
      <c r="C233" s="11" t="s">
        <v>2639</v>
      </c>
      <c r="D233" s="11" t="s">
        <v>6947</v>
      </c>
      <c r="E233">
        <v>1</v>
      </c>
      <c r="F233" s="11" t="s">
        <v>4503</v>
      </c>
      <c r="G233" s="12"/>
      <c r="H233" s="11" t="s">
        <v>6864</v>
      </c>
      <c r="J233" s="5" t="s">
        <v>3990</v>
      </c>
      <c r="K233" s="11" t="s">
        <v>2641</v>
      </c>
      <c r="N233" s="11" t="s">
        <v>6862</v>
      </c>
      <c r="O233" s="11" t="s">
        <v>3520</v>
      </c>
      <c r="P233" s="5" t="s">
        <v>7448</v>
      </c>
      <c r="Q233" s="5"/>
    </row>
    <row r="234" spans="1:17" x14ac:dyDescent="0.25">
      <c r="A234" s="11" t="s">
        <v>2431</v>
      </c>
      <c r="B234" s="5" t="s">
        <v>2436</v>
      </c>
      <c r="C234" s="11" t="s">
        <v>1032</v>
      </c>
      <c r="D234" s="11" t="s">
        <v>1694</v>
      </c>
      <c r="E234">
        <v>1</v>
      </c>
      <c r="F234" s="11" t="s">
        <v>6881</v>
      </c>
      <c r="G234" s="11" t="s">
        <v>6998</v>
      </c>
      <c r="H234" s="11" t="s">
        <v>6864</v>
      </c>
      <c r="J234" s="5" t="s">
        <v>3990</v>
      </c>
      <c r="K234" s="11" t="s">
        <v>662</v>
      </c>
      <c r="N234" s="11" t="s">
        <v>6862</v>
      </c>
      <c r="O234" s="11" t="s">
        <v>62</v>
      </c>
      <c r="P234" s="5" t="s">
        <v>5821</v>
      </c>
      <c r="Q234" s="5" t="s">
        <v>5820</v>
      </c>
    </row>
    <row r="235" spans="1:17" x14ac:dyDescent="0.25">
      <c r="A235" s="11" t="s">
        <v>2193</v>
      </c>
      <c r="B235" s="5" t="s">
        <v>2199</v>
      </c>
      <c r="C235" s="11" t="s">
        <v>7379</v>
      </c>
      <c r="D235" s="11" t="s">
        <v>1694</v>
      </c>
      <c r="E235">
        <v>1</v>
      </c>
      <c r="F235" s="11" t="s">
        <v>81</v>
      </c>
      <c r="G235" s="11" t="s">
        <v>6998</v>
      </c>
      <c r="H235" s="11" t="s">
        <v>6864</v>
      </c>
      <c r="J235" s="5" t="s">
        <v>3990</v>
      </c>
      <c r="K235" s="11" t="s">
        <v>828</v>
      </c>
      <c r="N235" s="11" t="s">
        <v>6884</v>
      </c>
      <c r="O235" s="11" t="s">
        <v>62</v>
      </c>
      <c r="P235" s="5" t="s">
        <v>7008</v>
      </c>
      <c r="Q235" s="5" t="s">
        <v>4618</v>
      </c>
    </row>
    <row r="236" spans="1:17" x14ac:dyDescent="0.25">
      <c r="A236" s="11" t="s">
        <v>2727</v>
      </c>
      <c r="B236" s="5" t="s">
        <v>2730</v>
      </c>
      <c r="C236" s="11" t="s">
        <v>6897</v>
      </c>
      <c r="D236" s="11" t="s">
        <v>2732</v>
      </c>
      <c r="E236">
        <v>1</v>
      </c>
      <c r="F236" s="11" t="s">
        <v>6895</v>
      </c>
      <c r="G236" s="12"/>
      <c r="H236" s="12"/>
      <c r="J236" s="5" t="s">
        <v>3990</v>
      </c>
      <c r="K236" s="11" t="s">
        <v>945</v>
      </c>
      <c r="N236" s="11" t="s">
        <v>6862</v>
      </c>
      <c r="O236" s="11" t="s">
        <v>2733</v>
      </c>
      <c r="P236" s="5" t="s">
        <v>4935</v>
      </c>
      <c r="Q236" s="5"/>
    </row>
    <row r="237" spans="1:17" x14ac:dyDescent="0.25">
      <c r="A237" s="11" t="s">
        <v>2020</v>
      </c>
      <c r="B237" s="5" t="s">
        <v>2027</v>
      </c>
      <c r="C237" s="11" t="s">
        <v>2028</v>
      </c>
      <c r="D237" s="11" t="s">
        <v>2029</v>
      </c>
      <c r="E237">
        <v>1</v>
      </c>
      <c r="F237" s="11" t="s">
        <v>6895</v>
      </c>
      <c r="G237" s="12"/>
      <c r="H237" s="11" t="s">
        <v>6863</v>
      </c>
      <c r="J237" s="5" t="s">
        <v>3990</v>
      </c>
      <c r="K237" s="11" t="s">
        <v>2022</v>
      </c>
      <c r="N237" s="11" t="s">
        <v>6862</v>
      </c>
      <c r="O237" s="11" t="s">
        <v>2030</v>
      </c>
      <c r="P237" s="5" t="s">
        <v>5171</v>
      </c>
      <c r="Q237" s="5"/>
    </row>
    <row r="238" spans="1:17" x14ac:dyDescent="0.25">
      <c r="A238" s="11" t="s">
        <v>584</v>
      </c>
      <c r="B238" s="5" t="s">
        <v>587</v>
      </c>
      <c r="C238" s="11" t="s">
        <v>589</v>
      </c>
      <c r="D238" s="11" t="s">
        <v>514</v>
      </c>
      <c r="E238">
        <v>1</v>
      </c>
      <c r="F238" s="11" t="s">
        <v>6931</v>
      </c>
      <c r="G238" s="12"/>
      <c r="H238" s="11" t="s">
        <v>6864</v>
      </c>
      <c r="J238" s="5" t="s">
        <v>3990</v>
      </c>
      <c r="K238" s="11" t="s">
        <v>590</v>
      </c>
      <c r="N238" s="11" t="s">
        <v>6862</v>
      </c>
      <c r="O238" s="11" t="s">
        <v>554</v>
      </c>
      <c r="P238" s="5" t="s">
        <v>7449</v>
      </c>
      <c r="Q238" s="5"/>
    </row>
    <row r="239" spans="1:17" x14ac:dyDescent="0.25">
      <c r="A239" s="11" t="s">
        <v>2142</v>
      </c>
      <c r="B239" s="5" t="s">
        <v>2147</v>
      </c>
      <c r="C239" s="11" t="s">
        <v>2149</v>
      </c>
      <c r="D239" s="11" t="s">
        <v>848</v>
      </c>
      <c r="E239">
        <v>1</v>
      </c>
      <c r="F239" s="11" t="s">
        <v>81</v>
      </c>
      <c r="G239" s="11" t="s">
        <v>6991</v>
      </c>
      <c r="H239" s="12"/>
      <c r="J239" s="5" t="s">
        <v>3990</v>
      </c>
      <c r="K239" s="11" t="s">
        <v>2150</v>
      </c>
      <c r="N239" s="11" t="s">
        <v>6867</v>
      </c>
      <c r="O239" s="11" t="s">
        <v>62</v>
      </c>
      <c r="P239" s="5" t="s">
        <v>4022</v>
      </c>
      <c r="Q239" s="5" t="s">
        <v>6995</v>
      </c>
    </row>
    <row r="240" spans="1:17" x14ac:dyDescent="0.25">
      <c r="A240" s="11" t="s">
        <v>2632</v>
      </c>
      <c r="B240" s="5" t="s">
        <v>2637</v>
      </c>
      <c r="C240" s="11" t="s">
        <v>6943</v>
      </c>
      <c r="D240" s="11" t="s">
        <v>1450</v>
      </c>
      <c r="E240">
        <v>1</v>
      </c>
      <c r="F240" s="11" t="s">
        <v>4246</v>
      </c>
      <c r="G240" s="12"/>
      <c r="H240" s="12"/>
      <c r="J240" s="5" t="s">
        <v>3990</v>
      </c>
      <c r="K240" s="11" t="s">
        <v>2641</v>
      </c>
      <c r="N240" s="11" t="s">
        <v>6867</v>
      </c>
      <c r="O240" s="11" t="s">
        <v>2640</v>
      </c>
      <c r="P240" s="5" t="s">
        <v>7450</v>
      </c>
      <c r="Q240" s="5"/>
    </row>
    <row r="241" spans="1:17" x14ac:dyDescent="0.25">
      <c r="A241" s="11" t="s">
        <v>2340</v>
      </c>
      <c r="B241" s="5" t="s">
        <v>2344</v>
      </c>
      <c r="C241" s="11" t="s">
        <v>2346</v>
      </c>
      <c r="D241" s="11" t="s">
        <v>1843</v>
      </c>
      <c r="E241">
        <v>1</v>
      </c>
      <c r="F241" s="11" t="s">
        <v>6895</v>
      </c>
      <c r="G241" s="12"/>
      <c r="H241" s="11" t="s">
        <v>6864</v>
      </c>
      <c r="J241" s="5" t="s">
        <v>3990</v>
      </c>
      <c r="K241" s="11" t="s">
        <v>945</v>
      </c>
      <c r="N241" s="11" t="s">
        <v>6862</v>
      </c>
      <c r="O241" s="11" t="s">
        <v>62</v>
      </c>
      <c r="P241" s="5" t="s">
        <v>5485</v>
      </c>
      <c r="Q241" s="5"/>
    </row>
    <row r="242" spans="1:17" x14ac:dyDescent="0.25">
      <c r="A242" s="11" t="s">
        <v>3093</v>
      </c>
      <c r="B242" s="5" t="s">
        <v>3097</v>
      </c>
      <c r="C242" s="11" t="s">
        <v>3099</v>
      </c>
      <c r="D242" s="11" t="s">
        <v>1807</v>
      </c>
      <c r="E242">
        <v>1</v>
      </c>
      <c r="F242" s="11" t="s">
        <v>305</v>
      </c>
      <c r="G242" s="12"/>
      <c r="H242" s="11" t="s">
        <v>6863</v>
      </c>
      <c r="J242" s="5" t="s">
        <v>3990</v>
      </c>
      <c r="K242" s="11" t="s">
        <v>3101</v>
      </c>
      <c r="N242" s="11" t="s">
        <v>6862</v>
      </c>
      <c r="O242" s="11" t="s">
        <v>3100</v>
      </c>
      <c r="P242" s="5" t="s">
        <v>5097</v>
      </c>
      <c r="Q242" s="5"/>
    </row>
    <row r="243" spans="1:17" x14ac:dyDescent="0.25">
      <c r="A243" s="11" t="s">
        <v>2286</v>
      </c>
      <c r="B243" s="5" t="s">
        <v>2292</v>
      </c>
      <c r="C243" s="11" t="s">
        <v>1508</v>
      </c>
      <c r="D243" s="11" t="s">
        <v>6962</v>
      </c>
      <c r="E243">
        <v>1</v>
      </c>
      <c r="F243" s="11" t="s">
        <v>6959</v>
      </c>
      <c r="G243" s="12"/>
      <c r="H243" s="12"/>
      <c r="J243" s="5" t="s">
        <v>3990</v>
      </c>
      <c r="K243" s="11" t="s">
        <v>85</v>
      </c>
      <c r="N243" s="11" t="s">
        <v>6911</v>
      </c>
      <c r="O243" s="11" t="s">
        <v>6963</v>
      </c>
      <c r="P243" s="5" t="s">
        <v>4426</v>
      </c>
      <c r="Q243" s="5"/>
    </row>
    <row r="244" spans="1:17" x14ac:dyDescent="0.25">
      <c r="A244" s="11" t="s">
        <v>3025</v>
      </c>
      <c r="B244" s="5" t="s">
        <v>3028</v>
      </c>
      <c r="C244" s="11" t="s">
        <v>1826</v>
      </c>
      <c r="D244" s="11" t="s">
        <v>3030</v>
      </c>
      <c r="E244">
        <v>1</v>
      </c>
      <c r="F244" s="11" t="s">
        <v>6926</v>
      </c>
      <c r="G244" s="12"/>
      <c r="H244" s="11" t="s">
        <v>6863</v>
      </c>
      <c r="J244" s="5" t="s">
        <v>3990</v>
      </c>
      <c r="K244" s="11" t="s">
        <v>6927</v>
      </c>
      <c r="N244" s="11" t="s">
        <v>6886</v>
      </c>
      <c r="O244" s="11" t="s">
        <v>3031</v>
      </c>
      <c r="P244" s="5" t="s">
        <v>5193</v>
      </c>
      <c r="Q244" s="5"/>
    </row>
    <row r="245" spans="1:17" x14ac:dyDescent="0.25">
      <c r="A245" s="11" t="s">
        <v>3025</v>
      </c>
      <c r="B245" s="5" t="s">
        <v>3028</v>
      </c>
      <c r="C245" s="11" t="s">
        <v>6950</v>
      </c>
      <c r="D245" s="11" t="s">
        <v>2578</v>
      </c>
      <c r="E245">
        <v>0</v>
      </c>
      <c r="F245" s="11" t="s">
        <v>4503</v>
      </c>
      <c r="G245" s="12"/>
      <c r="H245" s="11" t="s">
        <v>6864</v>
      </c>
      <c r="J245" s="5" t="s">
        <v>3990</v>
      </c>
      <c r="K245" s="11" t="s">
        <v>6951</v>
      </c>
      <c r="N245" s="11" t="s">
        <v>6862</v>
      </c>
      <c r="O245" s="11" t="s">
        <v>2579</v>
      </c>
      <c r="P245" s="5"/>
      <c r="Q245" s="5"/>
    </row>
    <row r="246" spans="1:17" x14ac:dyDescent="0.25">
      <c r="A246" s="11" t="s">
        <v>793</v>
      </c>
      <c r="B246" s="5" t="s">
        <v>800</v>
      </c>
      <c r="C246" s="11" t="s">
        <v>802</v>
      </c>
      <c r="D246" s="11" t="s">
        <v>328</v>
      </c>
      <c r="E246">
        <v>1</v>
      </c>
      <c r="F246" s="11" t="s">
        <v>6990</v>
      </c>
      <c r="G246" s="11" t="s">
        <v>6998</v>
      </c>
      <c r="H246" s="11" t="s">
        <v>6864</v>
      </c>
      <c r="I246" s="5">
        <v>211</v>
      </c>
      <c r="J246" s="5" t="s">
        <v>3990</v>
      </c>
      <c r="K246" s="11" t="s">
        <v>786</v>
      </c>
      <c r="N246" s="11" t="s">
        <v>6884</v>
      </c>
      <c r="O246" s="11" t="s">
        <v>366</v>
      </c>
      <c r="P246" s="5" t="s">
        <v>7451</v>
      </c>
      <c r="Q246" s="5" t="s">
        <v>7510</v>
      </c>
    </row>
    <row r="247" spans="1:17" x14ac:dyDescent="0.25">
      <c r="A247" s="11" t="s">
        <v>3005</v>
      </c>
      <c r="B247" s="5" t="s">
        <v>3009</v>
      </c>
      <c r="C247" s="11" t="s">
        <v>1032</v>
      </c>
      <c r="D247" s="11" t="s">
        <v>1358</v>
      </c>
      <c r="E247">
        <v>1</v>
      </c>
      <c r="F247" s="11" t="s">
        <v>6967</v>
      </c>
      <c r="G247" s="11" t="s">
        <v>6980</v>
      </c>
      <c r="H247" s="11" t="s">
        <v>6864</v>
      </c>
      <c r="J247" s="5" t="s">
        <v>3990</v>
      </c>
      <c r="K247" s="11" t="s">
        <v>3011</v>
      </c>
      <c r="N247" s="11" t="s">
        <v>6862</v>
      </c>
      <c r="O247" s="11" t="s">
        <v>2473</v>
      </c>
      <c r="P247" s="5" t="s">
        <v>5687</v>
      </c>
      <c r="Q247" s="5" t="s">
        <v>5686</v>
      </c>
    </row>
    <row r="248" spans="1:17" x14ac:dyDescent="0.25">
      <c r="A248" s="11" t="s">
        <v>3005</v>
      </c>
      <c r="B248" s="5" t="s">
        <v>3009</v>
      </c>
      <c r="C248" s="11" t="s">
        <v>1032</v>
      </c>
      <c r="D248" s="11" t="s">
        <v>2653</v>
      </c>
      <c r="E248">
        <v>0</v>
      </c>
      <c r="F248" s="11" t="s">
        <v>81</v>
      </c>
      <c r="G248" s="11" t="s">
        <v>6998</v>
      </c>
      <c r="H248" s="11" t="s">
        <v>6864</v>
      </c>
      <c r="J248" s="5" t="s">
        <v>3990</v>
      </c>
      <c r="K248" s="11" t="s">
        <v>1239</v>
      </c>
      <c r="N248" s="11" t="s">
        <v>6884</v>
      </c>
      <c r="O248" s="11" t="s">
        <v>2654</v>
      </c>
      <c r="P248" s="5" t="s">
        <v>5687</v>
      </c>
      <c r="Q248" s="5" t="s">
        <v>5686</v>
      </c>
    </row>
    <row r="249" spans="1:17" x14ac:dyDescent="0.25">
      <c r="A249" s="11" t="s">
        <v>1323</v>
      </c>
      <c r="B249" s="5" t="s">
        <v>1330</v>
      </c>
      <c r="C249" s="11" t="s">
        <v>1332</v>
      </c>
      <c r="D249" s="11" t="s">
        <v>89</v>
      </c>
      <c r="E249">
        <v>1</v>
      </c>
      <c r="F249" s="11" t="s">
        <v>81</v>
      </c>
      <c r="G249" s="11" t="s">
        <v>6998</v>
      </c>
      <c r="H249" s="11" t="s">
        <v>6864</v>
      </c>
      <c r="J249" s="5" t="s">
        <v>3990</v>
      </c>
      <c r="K249" s="11" t="s">
        <v>828</v>
      </c>
      <c r="N249" s="11" t="s">
        <v>6884</v>
      </c>
      <c r="O249" s="11" t="s">
        <v>1333</v>
      </c>
      <c r="P249" s="5" t="s">
        <v>6177</v>
      </c>
      <c r="Q249" s="5" t="s">
        <v>6176</v>
      </c>
    </row>
    <row r="250" spans="1:17" x14ac:dyDescent="0.25">
      <c r="A250" s="11" t="s">
        <v>2756</v>
      </c>
      <c r="B250" s="5" t="s">
        <v>2763</v>
      </c>
      <c r="C250" s="11" t="s">
        <v>7380</v>
      </c>
      <c r="D250" s="11" t="s">
        <v>1694</v>
      </c>
      <c r="E250">
        <v>1</v>
      </c>
      <c r="F250" s="11" t="s">
        <v>305</v>
      </c>
      <c r="G250" s="12"/>
      <c r="H250" s="12"/>
      <c r="J250" s="5" t="s">
        <v>3990</v>
      </c>
      <c r="K250" s="12"/>
      <c r="N250" s="11" t="s">
        <v>6867</v>
      </c>
      <c r="O250" s="11" t="s">
        <v>2140</v>
      </c>
      <c r="P250" s="5" t="s">
        <v>7452</v>
      </c>
      <c r="Q250" s="5"/>
    </row>
    <row r="251" spans="1:17" x14ac:dyDescent="0.25">
      <c r="A251" s="11" t="s">
        <v>600</v>
      </c>
      <c r="B251" s="5" t="s">
        <v>604</v>
      </c>
      <c r="C251" s="11" t="s">
        <v>589</v>
      </c>
      <c r="D251" s="11" t="s">
        <v>514</v>
      </c>
      <c r="E251">
        <v>1</v>
      </c>
      <c r="F251" s="11" t="s">
        <v>6931</v>
      </c>
      <c r="G251" s="12"/>
      <c r="H251" s="11" t="s">
        <v>6864</v>
      </c>
      <c r="J251" s="5" t="s">
        <v>3990</v>
      </c>
      <c r="K251" s="11" t="s">
        <v>606</v>
      </c>
      <c r="N251" s="11" t="s">
        <v>6862</v>
      </c>
      <c r="O251" s="11" t="s">
        <v>6933</v>
      </c>
      <c r="P251" s="5" t="s">
        <v>7453</v>
      </c>
      <c r="Q251" s="5"/>
    </row>
    <row r="252" spans="1:17" x14ac:dyDescent="0.25">
      <c r="A252" s="11" t="s">
        <v>2536</v>
      </c>
      <c r="B252" s="5" t="s">
        <v>2541</v>
      </c>
      <c r="C252" s="11" t="s">
        <v>1464</v>
      </c>
      <c r="D252" s="11" t="s">
        <v>1604</v>
      </c>
      <c r="E252">
        <v>1</v>
      </c>
      <c r="F252" s="11" t="s">
        <v>81</v>
      </c>
      <c r="G252" s="11" t="s">
        <v>6998</v>
      </c>
      <c r="H252" s="11" t="s">
        <v>6864</v>
      </c>
      <c r="I252" s="5">
        <v>211</v>
      </c>
      <c r="J252" s="5" t="s">
        <v>3990</v>
      </c>
      <c r="K252" s="11" t="s">
        <v>1475</v>
      </c>
      <c r="N252" s="11" t="s">
        <v>6867</v>
      </c>
      <c r="O252" s="11" t="s">
        <v>2140</v>
      </c>
      <c r="P252" s="5" t="s">
        <v>5843</v>
      </c>
      <c r="Q252" s="5" t="s">
        <v>5842</v>
      </c>
    </row>
    <row r="253" spans="1:17" x14ac:dyDescent="0.25">
      <c r="A253" s="11" t="s">
        <v>454</v>
      </c>
      <c r="B253" s="5" t="s">
        <v>464</v>
      </c>
      <c r="C253" s="11" t="s">
        <v>426</v>
      </c>
      <c r="D253" s="11" t="s">
        <v>328</v>
      </c>
      <c r="E253">
        <v>1</v>
      </c>
      <c r="F253" s="11" t="s">
        <v>6990</v>
      </c>
      <c r="G253" s="11" t="s">
        <v>6998</v>
      </c>
      <c r="H253" s="11" t="s">
        <v>6864</v>
      </c>
      <c r="I253" s="5">
        <v>211</v>
      </c>
      <c r="J253" s="5" t="s">
        <v>3990</v>
      </c>
      <c r="K253" s="11" t="s">
        <v>285</v>
      </c>
      <c r="N253" s="11" t="s">
        <v>6884</v>
      </c>
      <c r="O253" s="11" t="s">
        <v>7019</v>
      </c>
      <c r="P253" s="5" t="s">
        <v>7454</v>
      </c>
      <c r="Q253" s="5" t="s">
        <v>7511</v>
      </c>
    </row>
    <row r="254" spans="1:17" x14ac:dyDescent="0.25">
      <c r="A254" s="11" t="s">
        <v>1205</v>
      </c>
      <c r="B254" s="5" t="s">
        <v>1212</v>
      </c>
      <c r="C254" s="11" t="s">
        <v>1032</v>
      </c>
      <c r="D254" s="11" t="s">
        <v>89</v>
      </c>
      <c r="E254">
        <v>1</v>
      </c>
      <c r="F254" s="11" t="s">
        <v>6990</v>
      </c>
      <c r="G254" s="11" t="s">
        <v>6998</v>
      </c>
      <c r="H254" s="11" t="s">
        <v>6864</v>
      </c>
      <c r="J254" s="5" t="s">
        <v>3990</v>
      </c>
      <c r="K254" s="11" t="s">
        <v>1214</v>
      </c>
      <c r="N254" s="11" t="s">
        <v>6884</v>
      </c>
      <c r="O254" s="11" t="s">
        <v>661</v>
      </c>
      <c r="P254" s="5" t="s">
        <v>7455</v>
      </c>
      <c r="Q254" s="5" t="s">
        <v>4736</v>
      </c>
    </row>
    <row r="255" spans="1:17" x14ac:dyDescent="0.25">
      <c r="A255" s="11" t="s">
        <v>1390</v>
      </c>
      <c r="B255" s="5" t="s">
        <v>1396</v>
      </c>
      <c r="C255" s="11" t="s">
        <v>1385</v>
      </c>
      <c r="D255" s="11" t="s">
        <v>1398</v>
      </c>
      <c r="E255">
        <v>1</v>
      </c>
      <c r="F255" s="11" t="s">
        <v>305</v>
      </c>
      <c r="G255" s="12"/>
      <c r="H255" s="11" t="s">
        <v>6863</v>
      </c>
      <c r="J255" s="5" t="s">
        <v>3990</v>
      </c>
      <c r="K255" s="11" t="s">
        <v>1906</v>
      </c>
      <c r="N255" s="11" t="s">
        <v>6862</v>
      </c>
      <c r="O255" s="11" t="s">
        <v>1399</v>
      </c>
      <c r="P255" s="5" t="s">
        <v>6919</v>
      </c>
      <c r="Q255" s="5"/>
    </row>
    <row r="256" spans="1:17" x14ac:dyDescent="0.25">
      <c r="A256" s="11" t="s">
        <v>2347</v>
      </c>
      <c r="B256" s="5" t="s">
        <v>2352</v>
      </c>
      <c r="C256" s="11" t="s">
        <v>2354</v>
      </c>
      <c r="D256" s="11" t="s">
        <v>1694</v>
      </c>
      <c r="E256">
        <v>1</v>
      </c>
      <c r="F256" s="11" t="s">
        <v>6881</v>
      </c>
      <c r="G256" s="11" t="s">
        <v>6998</v>
      </c>
      <c r="H256" s="11" t="s">
        <v>6864</v>
      </c>
      <c r="J256" s="5" t="s">
        <v>3990</v>
      </c>
      <c r="K256" s="11" t="s">
        <v>2355</v>
      </c>
      <c r="N256" s="11" t="s">
        <v>6884</v>
      </c>
      <c r="O256" s="11" t="s">
        <v>62</v>
      </c>
      <c r="P256" s="5" t="s">
        <v>4630</v>
      </c>
      <c r="Q256" s="5" t="s">
        <v>4628</v>
      </c>
    </row>
    <row r="257" spans="1:17" x14ac:dyDescent="0.25">
      <c r="A257" s="11" t="s">
        <v>3357</v>
      </c>
      <c r="B257" s="5" t="s">
        <v>3360</v>
      </c>
      <c r="C257" s="11" t="s">
        <v>1032</v>
      </c>
      <c r="D257" s="11" t="s">
        <v>1684</v>
      </c>
      <c r="E257">
        <v>1</v>
      </c>
      <c r="F257" s="11" t="s">
        <v>81</v>
      </c>
      <c r="G257" s="12"/>
      <c r="H257" s="11" t="s">
        <v>6864</v>
      </c>
      <c r="J257" s="5" t="s">
        <v>3990</v>
      </c>
      <c r="K257" s="11" t="s">
        <v>3362</v>
      </c>
      <c r="N257" s="11" t="s">
        <v>6884</v>
      </c>
      <c r="O257" s="11" t="s">
        <v>2132</v>
      </c>
      <c r="P257" s="5" t="s">
        <v>4820</v>
      </c>
      <c r="Q257" s="5" t="s">
        <v>4819</v>
      </c>
    </row>
    <row r="258" spans="1:17" x14ac:dyDescent="0.25">
      <c r="A258" s="11" t="s">
        <v>2936</v>
      </c>
      <c r="B258" s="5" t="s">
        <v>2941</v>
      </c>
      <c r="C258" s="11" t="s">
        <v>1410</v>
      </c>
      <c r="D258" s="11" t="s">
        <v>1877</v>
      </c>
      <c r="E258">
        <v>1</v>
      </c>
      <c r="F258" s="11" t="s">
        <v>305</v>
      </c>
      <c r="G258" s="12"/>
      <c r="H258" s="11" t="s">
        <v>6864</v>
      </c>
      <c r="J258" s="5" t="s">
        <v>3990</v>
      </c>
      <c r="K258" s="11" t="s">
        <v>1906</v>
      </c>
      <c r="N258" s="11" t="s">
        <v>6862</v>
      </c>
      <c r="O258" s="11" t="s">
        <v>149</v>
      </c>
      <c r="P258" s="5" t="s">
        <v>5259</v>
      </c>
      <c r="Q258" s="5"/>
    </row>
    <row r="259" spans="1:17" x14ac:dyDescent="0.25">
      <c r="A259" s="11" t="s">
        <v>1755</v>
      </c>
      <c r="B259" s="5" t="s">
        <v>1759</v>
      </c>
      <c r="C259" s="11" t="s">
        <v>7381</v>
      </c>
      <c r="D259" s="11" t="s">
        <v>89</v>
      </c>
      <c r="E259">
        <v>1</v>
      </c>
      <c r="F259" s="11" t="s">
        <v>4246</v>
      </c>
      <c r="G259" s="12"/>
      <c r="H259" s="11" t="s">
        <v>6864</v>
      </c>
      <c r="J259" s="5" t="s">
        <v>3990</v>
      </c>
      <c r="K259" s="11" t="s">
        <v>1762</v>
      </c>
      <c r="N259" s="11" t="s">
        <v>6862</v>
      </c>
      <c r="O259" s="11" t="s">
        <v>542</v>
      </c>
      <c r="P259" s="5" t="s">
        <v>7456</v>
      </c>
      <c r="Q259" s="5"/>
    </row>
    <row r="260" spans="1:17" x14ac:dyDescent="0.25">
      <c r="A260" s="11" t="s">
        <v>2972</v>
      </c>
      <c r="B260" s="5" t="s">
        <v>2979</v>
      </c>
      <c r="C260" s="11" t="s">
        <v>2981</v>
      </c>
      <c r="D260" s="11" t="s">
        <v>1877</v>
      </c>
      <c r="E260">
        <v>1</v>
      </c>
      <c r="F260" s="11" t="s">
        <v>81</v>
      </c>
      <c r="G260" s="11" t="s">
        <v>6996</v>
      </c>
      <c r="H260" s="11" t="s">
        <v>6864</v>
      </c>
      <c r="J260" s="5" t="s">
        <v>3990</v>
      </c>
      <c r="K260" s="11" t="s">
        <v>2982</v>
      </c>
      <c r="N260" s="11" t="s">
        <v>6884</v>
      </c>
      <c r="O260" s="11" t="s">
        <v>2430</v>
      </c>
      <c r="P260" s="5" t="s">
        <v>5074</v>
      </c>
      <c r="Q260" s="5" t="s">
        <v>5072</v>
      </c>
    </row>
    <row r="261" spans="1:17" x14ac:dyDescent="0.25">
      <c r="A261" s="11" t="s">
        <v>2367</v>
      </c>
      <c r="B261" s="5" t="s">
        <v>2371</v>
      </c>
      <c r="C261" s="11" t="s">
        <v>559</v>
      </c>
      <c r="D261" s="11" t="s">
        <v>1843</v>
      </c>
      <c r="E261">
        <v>1</v>
      </c>
      <c r="F261" s="11" t="s">
        <v>6895</v>
      </c>
      <c r="G261" s="12"/>
      <c r="H261" s="11" t="s">
        <v>6864</v>
      </c>
      <c r="J261" s="5" t="s">
        <v>3990</v>
      </c>
      <c r="K261" s="11" t="s">
        <v>1835</v>
      </c>
      <c r="N261" s="11" t="s">
        <v>6862</v>
      </c>
      <c r="O261" s="11" t="s">
        <v>62</v>
      </c>
      <c r="P261" s="5" t="s">
        <v>4498</v>
      </c>
      <c r="Q261" s="5"/>
    </row>
    <row r="262" spans="1:17" x14ac:dyDescent="0.25">
      <c r="A262" s="11" t="s">
        <v>2750</v>
      </c>
      <c r="B262" s="5" t="s">
        <v>2754</v>
      </c>
      <c r="C262" s="11" t="s">
        <v>6897</v>
      </c>
      <c r="D262" s="11" t="s">
        <v>1694</v>
      </c>
      <c r="E262">
        <v>1</v>
      </c>
      <c r="F262" s="11" t="s">
        <v>6895</v>
      </c>
      <c r="G262" s="12"/>
      <c r="H262" s="12"/>
      <c r="J262" s="5" t="s">
        <v>3990</v>
      </c>
      <c r="K262" s="11" t="s">
        <v>945</v>
      </c>
      <c r="N262" s="11" t="s">
        <v>6862</v>
      </c>
      <c r="O262" s="11" t="s">
        <v>2140</v>
      </c>
      <c r="P262" s="5" t="s">
        <v>5734</v>
      </c>
      <c r="Q262" s="5"/>
    </row>
    <row r="263" spans="1:17" x14ac:dyDescent="0.25">
      <c r="A263" s="11" t="s">
        <v>3056</v>
      </c>
      <c r="B263" s="5" t="s">
        <v>3062</v>
      </c>
      <c r="C263" s="11" t="s">
        <v>1671</v>
      </c>
      <c r="D263" s="11" t="s">
        <v>541</v>
      </c>
      <c r="E263">
        <v>1</v>
      </c>
      <c r="F263" s="11" t="s">
        <v>305</v>
      </c>
      <c r="G263" s="12"/>
      <c r="H263" s="11" t="s">
        <v>6894</v>
      </c>
      <c r="J263" s="5" t="s">
        <v>3990</v>
      </c>
      <c r="K263" s="11" t="s">
        <v>2843</v>
      </c>
      <c r="N263" s="11" t="s">
        <v>6886</v>
      </c>
      <c r="O263" s="11" t="s">
        <v>2413</v>
      </c>
      <c r="P263" s="5" t="s">
        <v>5439</v>
      </c>
      <c r="Q263" s="5"/>
    </row>
    <row r="264" spans="1:17" x14ac:dyDescent="0.25">
      <c r="A264" s="11" t="s">
        <v>3513</v>
      </c>
      <c r="B264" s="5" t="s">
        <v>3518</v>
      </c>
      <c r="C264" s="11" t="s">
        <v>5996</v>
      </c>
      <c r="D264" s="11" t="s">
        <v>2526</v>
      </c>
      <c r="E264">
        <v>1</v>
      </c>
      <c r="F264" s="11" t="s">
        <v>4503</v>
      </c>
      <c r="G264" s="12"/>
      <c r="H264" s="12"/>
      <c r="J264" s="5" t="s">
        <v>3990</v>
      </c>
      <c r="K264" s="12"/>
      <c r="N264" s="11" t="s">
        <v>6862</v>
      </c>
      <c r="O264" s="11" t="s">
        <v>3520</v>
      </c>
      <c r="P264" s="5" t="s">
        <v>7457</v>
      </c>
      <c r="Q264" s="5"/>
    </row>
    <row r="265" spans="1:17" x14ac:dyDescent="0.25">
      <c r="A265" s="11" t="s">
        <v>688</v>
      </c>
      <c r="B265" s="5" t="s">
        <v>699</v>
      </c>
      <c r="C265" s="11" t="s">
        <v>426</v>
      </c>
      <c r="D265" s="11" t="s">
        <v>514</v>
      </c>
      <c r="E265">
        <v>1</v>
      </c>
      <c r="F265" s="11" t="s">
        <v>6973</v>
      </c>
      <c r="G265" s="11" t="s">
        <v>6985</v>
      </c>
      <c r="H265" s="11" t="s">
        <v>6864</v>
      </c>
      <c r="I265" s="5">
        <v>211</v>
      </c>
      <c r="J265" s="5" t="s">
        <v>3990</v>
      </c>
      <c r="K265" s="11" t="s">
        <v>438</v>
      </c>
      <c r="N265" s="11" t="s">
        <v>6862</v>
      </c>
      <c r="O265" s="11" t="s">
        <v>6984</v>
      </c>
      <c r="P265" s="5" t="s">
        <v>7458</v>
      </c>
      <c r="Q265" s="5" t="s">
        <v>7512</v>
      </c>
    </row>
    <row r="266" spans="1:17" x14ac:dyDescent="0.25">
      <c r="A266" s="11" t="s">
        <v>688</v>
      </c>
      <c r="B266" s="5" t="s">
        <v>699</v>
      </c>
      <c r="C266" s="11" t="s">
        <v>7015</v>
      </c>
      <c r="D266" s="11" t="s">
        <v>89</v>
      </c>
      <c r="E266">
        <v>0</v>
      </c>
      <c r="F266" s="11" t="s">
        <v>6990</v>
      </c>
      <c r="G266" s="11" t="s">
        <v>6998</v>
      </c>
      <c r="H266" s="11" t="s">
        <v>6864</v>
      </c>
      <c r="J266" s="5" t="s">
        <v>3990</v>
      </c>
      <c r="K266" s="11" t="s">
        <v>405</v>
      </c>
      <c r="N266" s="11" t="s">
        <v>6884</v>
      </c>
      <c r="O266" s="11" t="s">
        <v>7014</v>
      </c>
      <c r="P266" s="5"/>
      <c r="Q266" s="5"/>
    </row>
    <row r="267" spans="1:17" x14ac:dyDescent="0.25">
      <c r="A267" s="11" t="s">
        <v>2871</v>
      </c>
      <c r="B267" s="5" t="s">
        <v>2878</v>
      </c>
      <c r="C267" s="11" t="s">
        <v>559</v>
      </c>
      <c r="D267" s="11" t="s">
        <v>1877</v>
      </c>
      <c r="E267">
        <v>1</v>
      </c>
      <c r="F267" s="11" t="s">
        <v>305</v>
      </c>
      <c r="G267" s="12"/>
      <c r="H267" s="11" t="s">
        <v>6864</v>
      </c>
      <c r="J267" s="5" t="s">
        <v>3990</v>
      </c>
      <c r="K267" s="11" t="s">
        <v>1835</v>
      </c>
      <c r="N267" s="11" t="s">
        <v>6862</v>
      </c>
      <c r="O267" s="11" t="s">
        <v>149</v>
      </c>
      <c r="P267" s="5" t="s">
        <v>4525</v>
      </c>
      <c r="Q267" s="5"/>
    </row>
    <row r="268" spans="1:17" x14ac:dyDescent="0.25">
      <c r="A268" s="11" t="s">
        <v>3482</v>
      </c>
      <c r="B268" s="5" t="s">
        <v>3485</v>
      </c>
      <c r="C268" s="11" t="s">
        <v>3487</v>
      </c>
      <c r="D268" s="11" t="s">
        <v>2029</v>
      </c>
      <c r="E268">
        <v>1</v>
      </c>
      <c r="F268" s="11" t="s">
        <v>81</v>
      </c>
      <c r="G268" s="11" t="s">
        <v>6998</v>
      </c>
      <c r="H268" s="11" t="s">
        <v>6864</v>
      </c>
      <c r="I268" s="5">
        <v>211</v>
      </c>
      <c r="J268" s="5" t="s">
        <v>3990</v>
      </c>
      <c r="K268" s="11" t="s">
        <v>662</v>
      </c>
      <c r="N268" s="11" t="s">
        <v>6884</v>
      </c>
      <c r="O268" s="11" t="s">
        <v>3488</v>
      </c>
      <c r="P268" s="5" t="s">
        <v>4461</v>
      </c>
      <c r="Q268" s="5" t="s">
        <v>4461</v>
      </c>
    </row>
    <row r="269" spans="1:17" x14ac:dyDescent="0.25">
      <c r="A269" s="11" t="s">
        <v>373</v>
      </c>
      <c r="B269" s="5" t="s">
        <v>381</v>
      </c>
      <c r="C269" s="11" t="s">
        <v>383</v>
      </c>
      <c r="D269" s="11" t="s">
        <v>6977</v>
      </c>
      <c r="E269">
        <v>1</v>
      </c>
      <c r="F269" s="11" t="s">
        <v>6973</v>
      </c>
      <c r="G269" s="11" t="s">
        <v>6974</v>
      </c>
      <c r="H269" s="11" t="s">
        <v>6864</v>
      </c>
      <c r="J269" s="5" t="s">
        <v>3990</v>
      </c>
      <c r="K269" s="11" t="s">
        <v>385</v>
      </c>
      <c r="N269" s="11" t="s">
        <v>6978</v>
      </c>
      <c r="O269" s="11" t="s">
        <v>384</v>
      </c>
      <c r="P269" s="5" t="s">
        <v>244</v>
      </c>
      <c r="Q269" s="5" t="s">
        <v>7513</v>
      </c>
    </row>
    <row r="270" spans="1:17" x14ac:dyDescent="0.25">
      <c r="A270" s="11" t="s">
        <v>373</v>
      </c>
      <c r="B270" s="5" t="s">
        <v>381</v>
      </c>
      <c r="C270" s="11" t="s">
        <v>1508</v>
      </c>
      <c r="D270" s="11" t="s">
        <v>1843</v>
      </c>
      <c r="E270">
        <v>0</v>
      </c>
      <c r="F270" s="11" t="s">
        <v>6990</v>
      </c>
      <c r="G270" s="11" t="s">
        <v>7032</v>
      </c>
      <c r="H270" s="11" t="s">
        <v>6864</v>
      </c>
      <c r="J270" s="5" t="s">
        <v>3990</v>
      </c>
      <c r="K270" s="11" t="s">
        <v>1542</v>
      </c>
      <c r="N270" s="11" t="s">
        <v>6884</v>
      </c>
      <c r="O270" s="11" t="s">
        <v>7034</v>
      </c>
      <c r="P270" s="5" t="s">
        <v>244</v>
      </c>
      <c r="Q270" s="5"/>
    </row>
    <row r="271" spans="1:17" x14ac:dyDescent="0.25">
      <c r="A271" s="11" t="s">
        <v>1999</v>
      </c>
      <c r="B271" s="5" t="s">
        <v>2004</v>
      </c>
      <c r="C271" s="11" t="s">
        <v>2006</v>
      </c>
      <c r="D271" s="11" t="s">
        <v>1694</v>
      </c>
      <c r="E271">
        <v>1</v>
      </c>
      <c r="F271" s="11" t="s">
        <v>6881</v>
      </c>
      <c r="G271" s="11" t="s">
        <v>82</v>
      </c>
      <c r="H271" s="11" t="s">
        <v>6864</v>
      </c>
      <c r="J271" s="5" t="s">
        <v>3990</v>
      </c>
      <c r="K271" s="11" t="s">
        <v>1360</v>
      </c>
      <c r="N271" s="11" t="s">
        <v>6884</v>
      </c>
      <c r="O271" s="11" t="s">
        <v>2007</v>
      </c>
      <c r="P271" s="5" t="s">
        <v>4158</v>
      </c>
      <c r="Q271" s="5" t="s">
        <v>4156</v>
      </c>
    </row>
    <row r="272" spans="1:17" x14ac:dyDescent="0.25">
      <c r="A272" s="11" t="s">
        <v>2040</v>
      </c>
      <c r="B272" s="5" t="s">
        <v>2044</v>
      </c>
      <c r="C272" s="11" t="s">
        <v>2046</v>
      </c>
      <c r="D272" s="11" t="s">
        <v>2047</v>
      </c>
      <c r="E272">
        <v>1</v>
      </c>
      <c r="F272" s="11" t="s">
        <v>81</v>
      </c>
      <c r="G272" s="11" t="s">
        <v>82</v>
      </c>
      <c r="H272" s="11" t="s">
        <v>6864</v>
      </c>
      <c r="J272" s="5" t="s">
        <v>3990</v>
      </c>
      <c r="K272" s="11" t="s">
        <v>1006</v>
      </c>
      <c r="N272" s="11" t="s">
        <v>6884</v>
      </c>
      <c r="O272" s="11" t="s">
        <v>716</v>
      </c>
      <c r="P272" s="5" t="s">
        <v>4434</v>
      </c>
      <c r="Q272" s="5" t="s">
        <v>7514</v>
      </c>
    </row>
    <row r="273" spans="1:17" x14ac:dyDescent="0.25">
      <c r="A273" s="11" t="s">
        <v>1972</v>
      </c>
      <c r="B273" s="5" t="s">
        <v>1976</v>
      </c>
      <c r="C273" s="11" t="s">
        <v>1978</v>
      </c>
      <c r="D273" s="11" t="s">
        <v>1434</v>
      </c>
      <c r="E273">
        <v>1</v>
      </c>
      <c r="F273" s="11" t="s">
        <v>6895</v>
      </c>
      <c r="G273" s="12"/>
      <c r="H273" s="11" t="s">
        <v>6864</v>
      </c>
      <c r="J273" s="5" t="s">
        <v>3990</v>
      </c>
      <c r="K273" s="11" t="s">
        <v>1979</v>
      </c>
      <c r="N273" s="11" t="s">
        <v>6862</v>
      </c>
      <c r="O273" s="11" t="s">
        <v>109</v>
      </c>
      <c r="P273" s="5" t="s">
        <v>7459</v>
      </c>
      <c r="Q273" s="5"/>
    </row>
    <row r="274" spans="1:17" x14ac:dyDescent="0.25">
      <c r="A274" s="11" t="s">
        <v>2050</v>
      </c>
      <c r="B274" s="5" t="s">
        <v>2055</v>
      </c>
      <c r="C274" s="11" t="s">
        <v>559</v>
      </c>
      <c r="D274" s="11" t="s">
        <v>715</v>
      </c>
      <c r="E274">
        <v>1</v>
      </c>
      <c r="F274" s="11" t="s">
        <v>6895</v>
      </c>
      <c r="G274" s="12"/>
      <c r="H274" s="11" t="s">
        <v>6864</v>
      </c>
      <c r="J274" s="5" t="s">
        <v>3990</v>
      </c>
      <c r="K274" s="11" t="s">
        <v>2057</v>
      </c>
      <c r="N274" s="11" t="s">
        <v>6862</v>
      </c>
      <c r="O274" s="11" t="s">
        <v>716</v>
      </c>
      <c r="P274" s="5" t="s">
        <v>6059</v>
      </c>
      <c r="Q274" s="5"/>
    </row>
    <row r="275" spans="1:17" x14ac:dyDescent="0.25">
      <c r="A275" s="11" t="s">
        <v>1521</v>
      </c>
      <c r="B275" s="5" t="s">
        <v>3270</v>
      </c>
      <c r="C275" s="11" t="s">
        <v>3272</v>
      </c>
      <c r="D275" s="11" t="s">
        <v>1450</v>
      </c>
      <c r="E275">
        <v>1</v>
      </c>
      <c r="F275" s="11" t="s">
        <v>4503</v>
      </c>
      <c r="G275" s="12"/>
      <c r="H275" s="12"/>
      <c r="J275" s="5" t="s">
        <v>3990</v>
      </c>
      <c r="K275" s="11" t="s">
        <v>6952</v>
      </c>
      <c r="N275" s="11" t="s">
        <v>6862</v>
      </c>
      <c r="O275" s="11" t="s">
        <v>2640</v>
      </c>
      <c r="P275" s="5" t="s">
        <v>5307</v>
      </c>
      <c r="Q275" s="5"/>
    </row>
    <row r="276" spans="1:17" x14ac:dyDescent="0.25">
      <c r="A276" s="11" t="s">
        <v>548</v>
      </c>
      <c r="B276" s="5" t="s">
        <v>557</v>
      </c>
      <c r="C276" s="11" t="s">
        <v>559</v>
      </c>
      <c r="D276" s="11" t="s">
        <v>514</v>
      </c>
      <c r="E276">
        <v>1</v>
      </c>
      <c r="F276" s="11" t="s">
        <v>6931</v>
      </c>
      <c r="G276" s="12"/>
      <c r="H276" s="11" t="s">
        <v>6864</v>
      </c>
      <c r="J276" s="5" t="s">
        <v>3990</v>
      </c>
      <c r="K276" s="11" t="s">
        <v>560</v>
      </c>
      <c r="N276" s="11" t="s">
        <v>6862</v>
      </c>
      <c r="O276" s="11" t="s">
        <v>6933</v>
      </c>
      <c r="P276" s="5" t="s">
        <v>7460</v>
      </c>
      <c r="Q276" s="5"/>
    </row>
    <row r="277" spans="1:17" x14ac:dyDescent="0.25">
      <c r="A277" s="11" t="s">
        <v>2447</v>
      </c>
      <c r="B277" s="5" t="s">
        <v>2452</v>
      </c>
      <c r="C277" s="11" t="s">
        <v>2454</v>
      </c>
      <c r="D277" s="11" t="s">
        <v>121</v>
      </c>
      <c r="E277">
        <v>1</v>
      </c>
      <c r="F277" s="11" t="s">
        <v>81</v>
      </c>
      <c r="G277" s="12"/>
      <c r="H277" s="11" t="s">
        <v>6883</v>
      </c>
      <c r="J277" s="5" t="s">
        <v>3990</v>
      </c>
      <c r="K277" s="11" t="s">
        <v>1595</v>
      </c>
      <c r="N277" s="11" t="s">
        <v>6867</v>
      </c>
      <c r="O277" s="11" t="s">
        <v>2455</v>
      </c>
      <c r="P277" s="5" t="s">
        <v>7461</v>
      </c>
      <c r="Q277" s="5"/>
    </row>
    <row r="278" spans="1:17" x14ac:dyDescent="0.25">
      <c r="A278" s="11" t="s">
        <v>2953</v>
      </c>
      <c r="B278" s="5" t="s">
        <v>2957</v>
      </c>
      <c r="C278" s="11" t="s">
        <v>2959</v>
      </c>
      <c r="D278" s="11" t="s">
        <v>2578</v>
      </c>
      <c r="E278">
        <v>1</v>
      </c>
      <c r="F278" s="11" t="s">
        <v>81</v>
      </c>
      <c r="G278" s="11" t="s">
        <v>6998</v>
      </c>
      <c r="H278" s="11" t="s">
        <v>6864</v>
      </c>
      <c r="J278" s="5" t="s">
        <v>3990</v>
      </c>
      <c r="K278" s="11" t="s">
        <v>662</v>
      </c>
      <c r="N278" s="11" t="s">
        <v>6884</v>
      </c>
      <c r="O278" s="11" t="s">
        <v>2833</v>
      </c>
      <c r="P278" s="5" t="s">
        <v>4875</v>
      </c>
      <c r="Q278" s="5" t="s">
        <v>4873</v>
      </c>
    </row>
    <row r="279" spans="1:17" x14ac:dyDescent="0.25">
      <c r="A279" s="11" t="s">
        <v>1259</v>
      </c>
      <c r="B279" s="5" t="s">
        <v>1263</v>
      </c>
      <c r="C279" s="11" t="s">
        <v>1852</v>
      </c>
      <c r="D279" s="11" t="s">
        <v>121</v>
      </c>
      <c r="E279">
        <v>0</v>
      </c>
      <c r="F279" s="11" t="s">
        <v>6931</v>
      </c>
      <c r="G279" s="12"/>
      <c r="H279" s="11" t="s">
        <v>6864</v>
      </c>
      <c r="J279" s="5" t="s">
        <v>3990</v>
      </c>
      <c r="K279" s="11" t="s">
        <v>613</v>
      </c>
      <c r="N279" s="11" t="s">
        <v>6862</v>
      </c>
      <c r="O279" s="11" t="s">
        <v>1266</v>
      </c>
      <c r="P279" s="5"/>
      <c r="Q279" s="5"/>
    </row>
    <row r="280" spans="1:17" x14ac:dyDescent="0.25">
      <c r="A280" s="11" t="s">
        <v>1259</v>
      </c>
      <c r="B280" s="5" t="s">
        <v>1263</v>
      </c>
      <c r="C280" s="11" t="s">
        <v>1265</v>
      </c>
      <c r="D280" s="11" t="s">
        <v>1094</v>
      </c>
      <c r="E280">
        <v>1</v>
      </c>
      <c r="F280" s="11" t="s">
        <v>6990</v>
      </c>
      <c r="G280" s="11" t="s">
        <v>6998</v>
      </c>
      <c r="H280" s="11" t="s">
        <v>6864</v>
      </c>
      <c r="J280" s="5" t="s">
        <v>3990</v>
      </c>
      <c r="K280" s="11" t="s">
        <v>828</v>
      </c>
      <c r="N280" s="11" t="s">
        <v>6886</v>
      </c>
      <c r="O280" s="11" t="s">
        <v>642</v>
      </c>
      <c r="P280" s="5" t="s">
        <v>7462</v>
      </c>
      <c r="Q280" s="5" t="s">
        <v>7022</v>
      </c>
    </row>
    <row r="281" spans="1:17" x14ac:dyDescent="0.25">
      <c r="A281" s="11" t="s">
        <v>3209</v>
      </c>
      <c r="B281" s="5" t="s">
        <v>3213</v>
      </c>
      <c r="C281" s="11" t="s">
        <v>3215</v>
      </c>
      <c r="D281" s="11" t="s">
        <v>3216</v>
      </c>
      <c r="E281">
        <v>1</v>
      </c>
      <c r="F281" s="11" t="s">
        <v>1705</v>
      </c>
      <c r="G281" s="12"/>
      <c r="H281" s="12"/>
      <c r="J281" s="5" t="s">
        <v>3990</v>
      </c>
      <c r="K281" s="12"/>
      <c r="N281" s="11" t="s">
        <v>6867</v>
      </c>
      <c r="O281" s="11" t="s">
        <v>3217</v>
      </c>
      <c r="P281" s="5" t="s">
        <v>244</v>
      </c>
      <c r="Q281" s="5"/>
    </row>
    <row r="282" spans="1:17" x14ac:dyDescent="0.25">
      <c r="A282" s="11" t="s">
        <v>1545</v>
      </c>
      <c r="B282" s="5" t="s">
        <v>1551</v>
      </c>
      <c r="C282" s="11" t="s">
        <v>7040</v>
      </c>
      <c r="D282" s="11" t="s">
        <v>541</v>
      </c>
      <c r="E282">
        <v>1</v>
      </c>
      <c r="F282" s="11" t="s">
        <v>81</v>
      </c>
      <c r="G282" s="11" t="s">
        <v>7038</v>
      </c>
      <c r="H282" s="11" t="s">
        <v>6864</v>
      </c>
      <c r="I282" s="5" t="s">
        <v>4474</v>
      </c>
      <c r="J282" s="5" t="s">
        <v>4011</v>
      </c>
      <c r="K282" s="11" t="s">
        <v>1553</v>
      </c>
      <c r="N282" s="11" t="s">
        <v>6884</v>
      </c>
      <c r="O282" s="11" t="s">
        <v>1552</v>
      </c>
      <c r="P282" s="5" t="s">
        <v>4720</v>
      </c>
      <c r="Q282" s="5" t="s">
        <v>4719</v>
      </c>
    </row>
    <row r="283" spans="1:17" x14ac:dyDescent="0.25">
      <c r="A283" s="11" t="s">
        <v>2907</v>
      </c>
      <c r="B283" s="5" t="s">
        <v>2910</v>
      </c>
      <c r="C283" s="11" t="s">
        <v>2912</v>
      </c>
      <c r="D283" s="11" t="s">
        <v>1358</v>
      </c>
      <c r="E283">
        <v>1</v>
      </c>
      <c r="F283" s="11" t="s">
        <v>81</v>
      </c>
      <c r="G283" s="11" t="s">
        <v>6998</v>
      </c>
      <c r="H283" s="11" t="s">
        <v>6864</v>
      </c>
      <c r="J283" s="5" t="s">
        <v>3990</v>
      </c>
      <c r="K283" s="11" t="s">
        <v>1986</v>
      </c>
      <c r="N283" s="11" t="s">
        <v>6884</v>
      </c>
      <c r="O283" s="11" t="s">
        <v>1853</v>
      </c>
      <c r="P283" s="5" t="s">
        <v>5142</v>
      </c>
      <c r="Q283" s="5" t="s">
        <v>5140</v>
      </c>
    </row>
    <row r="284" spans="1:17" x14ac:dyDescent="0.25">
      <c r="A284" s="11" t="s">
        <v>3152</v>
      </c>
      <c r="B284" s="5" t="s">
        <v>3157</v>
      </c>
      <c r="C284" s="11" t="s">
        <v>6873</v>
      </c>
      <c r="D284" s="11" t="s">
        <v>2029</v>
      </c>
      <c r="E284">
        <v>0</v>
      </c>
      <c r="F284" s="12"/>
      <c r="G284" s="12"/>
      <c r="H284" s="12"/>
      <c r="J284" s="5" t="s">
        <v>3990</v>
      </c>
      <c r="K284" s="11" t="s">
        <v>6874</v>
      </c>
      <c r="N284" s="11" t="s">
        <v>6862</v>
      </c>
      <c r="O284" s="11" t="s">
        <v>2654</v>
      </c>
      <c r="P284" s="5" t="s">
        <v>5397</v>
      </c>
      <c r="Q284" s="5"/>
    </row>
    <row r="285" spans="1:17" x14ac:dyDescent="0.25">
      <c r="A285" s="11" t="s">
        <v>3152</v>
      </c>
      <c r="B285" s="5" t="s">
        <v>3157</v>
      </c>
      <c r="C285" s="11" t="s">
        <v>6877</v>
      </c>
      <c r="D285" s="11" t="s">
        <v>1843</v>
      </c>
      <c r="E285">
        <v>1</v>
      </c>
      <c r="F285" s="12"/>
      <c r="G285" s="12"/>
      <c r="H285" s="12"/>
      <c r="J285" s="5" t="s">
        <v>3990</v>
      </c>
      <c r="K285" s="11" t="s">
        <v>6878</v>
      </c>
      <c r="N285" s="11" t="s">
        <v>6879</v>
      </c>
      <c r="O285" s="11" t="s">
        <v>3159</v>
      </c>
      <c r="P285" s="5"/>
      <c r="Q285" s="5"/>
    </row>
    <row r="286" spans="1:17" x14ac:dyDescent="0.25">
      <c r="A286" s="11" t="s">
        <v>705</v>
      </c>
      <c r="B286" s="5" t="s">
        <v>712</v>
      </c>
      <c r="C286" s="11" t="s">
        <v>6946</v>
      </c>
      <c r="D286" s="11" t="s">
        <v>715</v>
      </c>
      <c r="E286">
        <v>1</v>
      </c>
      <c r="F286" s="11" t="s">
        <v>4246</v>
      </c>
      <c r="G286" s="12"/>
      <c r="H286" s="11" t="s">
        <v>6864</v>
      </c>
      <c r="J286" s="5" t="s">
        <v>3990</v>
      </c>
      <c r="K286" s="11" t="s">
        <v>717</v>
      </c>
      <c r="N286" s="11" t="s">
        <v>6862</v>
      </c>
      <c r="O286" s="11" t="s">
        <v>716</v>
      </c>
      <c r="P286" s="5" t="s">
        <v>7463</v>
      </c>
      <c r="Q286" s="5"/>
    </row>
    <row r="287" spans="1:17" x14ac:dyDescent="0.25">
      <c r="A287" s="11" t="s">
        <v>432</v>
      </c>
      <c r="B287" s="5" t="s">
        <v>444</v>
      </c>
      <c r="C287" s="11" t="s">
        <v>446</v>
      </c>
      <c r="D287" s="11" t="s">
        <v>86</v>
      </c>
      <c r="E287">
        <v>1</v>
      </c>
      <c r="F287" s="11" t="s">
        <v>6990</v>
      </c>
      <c r="G287" s="11" t="s">
        <v>6998</v>
      </c>
      <c r="H287" s="11" t="s">
        <v>6864</v>
      </c>
      <c r="I287" s="5" t="s">
        <v>4474</v>
      </c>
      <c r="J287" s="5" t="s">
        <v>4011</v>
      </c>
      <c r="K287" s="11" t="s">
        <v>447</v>
      </c>
      <c r="N287" s="11" t="s">
        <v>6884</v>
      </c>
      <c r="O287" s="11" t="s">
        <v>149</v>
      </c>
      <c r="P287" s="5" t="s">
        <v>7464</v>
      </c>
      <c r="Q287" s="5" t="s">
        <v>7515</v>
      </c>
    </row>
    <row r="288" spans="1:17" x14ac:dyDescent="0.25">
      <c r="A288" s="11" t="s">
        <v>1511</v>
      </c>
      <c r="B288" s="5" t="s">
        <v>1518</v>
      </c>
      <c r="C288" s="11" t="s">
        <v>559</v>
      </c>
      <c r="D288" s="11" t="s">
        <v>641</v>
      </c>
      <c r="E288">
        <v>1</v>
      </c>
      <c r="F288" s="11" t="s">
        <v>305</v>
      </c>
      <c r="G288" s="12"/>
      <c r="H288" s="11" t="s">
        <v>6864</v>
      </c>
      <c r="J288" s="5" t="s">
        <v>3990</v>
      </c>
      <c r="K288" s="11" t="s">
        <v>1520</v>
      </c>
      <c r="N288" s="11" t="s">
        <v>6862</v>
      </c>
      <c r="O288" s="11" t="s">
        <v>661</v>
      </c>
      <c r="P288" s="5" t="s">
        <v>4561</v>
      </c>
      <c r="Q288" s="5"/>
    </row>
    <row r="289" spans="1:17" x14ac:dyDescent="0.25">
      <c r="A289" s="11" t="s">
        <v>1726</v>
      </c>
      <c r="B289" s="5" t="s">
        <v>1732</v>
      </c>
      <c r="C289" s="11" t="s">
        <v>1734</v>
      </c>
      <c r="D289" s="11" t="s">
        <v>715</v>
      </c>
      <c r="E289">
        <v>1</v>
      </c>
      <c r="F289" s="11" t="s">
        <v>6881</v>
      </c>
      <c r="G289" s="11" t="s">
        <v>6998</v>
      </c>
      <c r="H289" s="11" t="s">
        <v>6864</v>
      </c>
      <c r="I289" s="5" t="s">
        <v>4474</v>
      </c>
      <c r="J289" s="5" t="s">
        <v>4011</v>
      </c>
      <c r="K289" s="11" t="s">
        <v>1156</v>
      </c>
      <c r="N289" s="11" t="s">
        <v>6884</v>
      </c>
      <c r="O289" s="11" t="s">
        <v>1735</v>
      </c>
      <c r="P289" s="5" t="s">
        <v>4992</v>
      </c>
      <c r="Q289" s="5" t="s">
        <v>4990</v>
      </c>
    </row>
    <row r="290" spans="1:17" x14ac:dyDescent="0.25">
      <c r="A290" s="11" t="s">
        <v>2945</v>
      </c>
      <c r="B290" s="5" t="s">
        <v>2950</v>
      </c>
      <c r="C290" s="11" t="s">
        <v>2952</v>
      </c>
      <c r="D290" s="11" t="s">
        <v>1684</v>
      </c>
      <c r="E290">
        <v>1</v>
      </c>
      <c r="F290" s="11" t="s">
        <v>305</v>
      </c>
      <c r="G290" s="12"/>
      <c r="H290" s="11" t="s">
        <v>6864</v>
      </c>
      <c r="J290" s="5" t="s">
        <v>3990</v>
      </c>
      <c r="K290" s="11" t="s">
        <v>1400</v>
      </c>
      <c r="N290" s="11" t="s">
        <v>6862</v>
      </c>
      <c r="O290" s="11" t="s">
        <v>2833</v>
      </c>
      <c r="P290" s="5" t="s">
        <v>6909</v>
      </c>
      <c r="Q290" s="5"/>
    </row>
    <row r="291" spans="1:17" x14ac:dyDescent="0.25">
      <c r="A291" s="11" t="s">
        <v>3491</v>
      </c>
      <c r="B291" s="5" t="s">
        <v>3496</v>
      </c>
      <c r="C291" s="11" t="s">
        <v>6893</v>
      </c>
      <c r="D291" s="11" t="s">
        <v>3191</v>
      </c>
      <c r="E291">
        <v>1</v>
      </c>
      <c r="F291" s="11" t="s">
        <v>81</v>
      </c>
      <c r="G291" s="12"/>
      <c r="H291" s="11" t="s">
        <v>6864</v>
      </c>
      <c r="J291" s="5" t="s">
        <v>3990</v>
      </c>
      <c r="K291" s="11" t="s">
        <v>3500</v>
      </c>
      <c r="N291" s="11" t="s">
        <v>6884</v>
      </c>
      <c r="O291" s="11" t="s">
        <v>3499</v>
      </c>
      <c r="P291" s="5" t="s">
        <v>4076</v>
      </c>
      <c r="Q291" s="5"/>
    </row>
    <row r="292" spans="1:17" x14ac:dyDescent="0.25">
      <c r="A292" s="11" t="s">
        <v>738</v>
      </c>
      <c r="B292" s="5" t="s">
        <v>750</v>
      </c>
      <c r="C292" s="11" t="s">
        <v>752</v>
      </c>
      <c r="D292" s="11" t="s">
        <v>121</v>
      </c>
      <c r="E292">
        <v>1</v>
      </c>
      <c r="F292" s="11" t="s">
        <v>6973</v>
      </c>
      <c r="G292" s="11" t="s">
        <v>6980</v>
      </c>
      <c r="H292" s="11" t="s">
        <v>6864</v>
      </c>
      <c r="J292" s="5" t="s">
        <v>3990</v>
      </c>
      <c r="K292" s="11" t="s">
        <v>754</v>
      </c>
      <c r="N292" s="11" t="s">
        <v>6862</v>
      </c>
      <c r="O292" s="11" t="s">
        <v>753</v>
      </c>
      <c r="P292" s="5" t="s">
        <v>7465</v>
      </c>
      <c r="Q292" s="5" t="s">
        <v>7516</v>
      </c>
    </row>
    <row r="293" spans="1:17" x14ac:dyDescent="0.25">
      <c r="A293" s="11" t="s">
        <v>738</v>
      </c>
      <c r="B293" s="5" t="s">
        <v>750</v>
      </c>
      <c r="C293" s="11" t="s">
        <v>752</v>
      </c>
      <c r="D293" s="11" t="s">
        <v>7025</v>
      </c>
      <c r="E293">
        <v>0</v>
      </c>
      <c r="F293" s="11" t="s">
        <v>6990</v>
      </c>
      <c r="G293" s="11" t="s">
        <v>6998</v>
      </c>
      <c r="H293" s="11" t="s">
        <v>6864</v>
      </c>
      <c r="J293" s="5" t="s">
        <v>3990</v>
      </c>
      <c r="K293" s="11" t="s">
        <v>264</v>
      </c>
      <c r="N293" s="11" t="s">
        <v>6884</v>
      </c>
      <c r="O293" s="11" t="s">
        <v>7026</v>
      </c>
      <c r="P293" s="5" t="s">
        <v>7465</v>
      </c>
      <c r="Q293" s="5" t="s">
        <v>7516</v>
      </c>
    </row>
    <row r="294" spans="1:17" x14ac:dyDescent="0.25">
      <c r="A294" s="11" t="s">
        <v>2399</v>
      </c>
      <c r="B294" s="5" t="s">
        <v>2404</v>
      </c>
      <c r="C294" s="11" t="s">
        <v>1032</v>
      </c>
      <c r="D294" s="11" t="s">
        <v>1694</v>
      </c>
      <c r="E294">
        <v>1</v>
      </c>
      <c r="F294" s="11" t="s">
        <v>6881</v>
      </c>
      <c r="G294" s="11" t="s">
        <v>6996</v>
      </c>
      <c r="H294" s="11" t="s">
        <v>6864</v>
      </c>
      <c r="J294" s="5" t="s">
        <v>3990</v>
      </c>
      <c r="K294" s="11" t="s">
        <v>662</v>
      </c>
      <c r="N294" s="11" t="s">
        <v>6862</v>
      </c>
      <c r="O294" s="11" t="s">
        <v>62</v>
      </c>
      <c r="P294" s="5" t="s">
        <v>5850</v>
      </c>
      <c r="Q294" s="5" t="s">
        <v>5849</v>
      </c>
    </row>
    <row r="295" spans="1:17" x14ac:dyDescent="0.25">
      <c r="A295" s="11" t="s">
        <v>1456</v>
      </c>
      <c r="B295" s="5" t="s">
        <v>1463</v>
      </c>
      <c r="C295" s="11" t="s">
        <v>1464</v>
      </c>
      <c r="D295" s="11" t="s">
        <v>541</v>
      </c>
      <c r="E295">
        <v>1</v>
      </c>
      <c r="F295" s="11" t="s">
        <v>81</v>
      </c>
      <c r="G295" s="11" t="s">
        <v>6998</v>
      </c>
      <c r="H295" s="11" t="s">
        <v>6864</v>
      </c>
      <c r="I295" s="5">
        <v>211</v>
      </c>
      <c r="J295" s="5" t="s">
        <v>3990</v>
      </c>
      <c r="K295" s="11" t="s">
        <v>828</v>
      </c>
      <c r="N295" s="11" t="s">
        <v>6884</v>
      </c>
      <c r="O295" s="11" t="s">
        <v>1465</v>
      </c>
      <c r="P295" s="5" t="s">
        <v>7466</v>
      </c>
      <c r="Q295" s="5" t="s">
        <v>4964</v>
      </c>
    </row>
    <row r="296" spans="1:17" x14ac:dyDescent="0.25">
      <c r="A296" s="11" t="s">
        <v>2669</v>
      </c>
      <c r="B296" s="5" t="s">
        <v>2674</v>
      </c>
      <c r="C296" s="11" t="s">
        <v>1946</v>
      </c>
      <c r="D296" s="11" t="s">
        <v>1160</v>
      </c>
      <c r="E296">
        <v>1</v>
      </c>
      <c r="F296" s="11" t="s">
        <v>6959</v>
      </c>
      <c r="G296" s="12"/>
      <c r="H296" s="12"/>
      <c r="J296" s="5" t="s">
        <v>3990</v>
      </c>
      <c r="K296" s="11" t="s">
        <v>85</v>
      </c>
      <c r="N296" s="11" t="s">
        <v>6862</v>
      </c>
      <c r="O296" s="11" t="s">
        <v>2676</v>
      </c>
      <c r="P296" s="5" t="s">
        <v>5805</v>
      </c>
      <c r="Q296" s="5"/>
    </row>
    <row r="297" spans="1:17" x14ac:dyDescent="0.25">
      <c r="A297" s="11" t="s">
        <v>1569</v>
      </c>
      <c r="B297" s="5" t="s">
        <v>1578</v>
      </c>
      <c r="C297" s="11" t="s">
        <v>1032</v>
      </c>
      <c r="D297" s="11" t="s">
        <v>541</v>
      </c>
      <c r="E297">
        <v>1</v>
      </c>
      <c r="F297" s="11" t="s">
        <v>6967</v>
      </c>
      <c r="G297" s="11" t="s">
        <v>6980</v>
      </c>
      <c r="H297" s="11" t="s">
        <v>6864</v>
      </c>
      <c r="J297" s="5" t="s">
        <v>3990</v>
      </c>
      <c r="K297" s="11" t="s">
        <v>543</v>
      </c>
      <c r="N297" s="11" t="s">
        <v>6862</v>
      </c>
      <c r="O297" s="11" t="s">
        <v>1580</v>
      </c>
      <c r="P297" s="5" t="s">
        <v>7467</v>
      </c>
      <c r="Q297" s="5" t="s">
        <v>4666</v>
      </c>
    </row>
    <row r="298" spans="1:17" x14ac:dyDescent="0.25">
      <c r="A298" s="11" t="s">
        <v>1745</v>
      </c>
      <c r="B298" s="5" t="s">
        <v>1751</v>
      </c>
      <c r="C298" s="11" t="s">
        <v>1753</v>
      </c>
      <c r="D298" s="11" t="s">
        <v>86</v>
      </c>
      <c r="E298">
        <v>1</v>
      </c>
      <c r="F298" s="11" t="s">
        <v>6881</v>
      </c>
      <c r="G298" s="11" t="s">
        <v>82</v>
      </c>
      <c r="H298" s="11" t="s">
        <v>6864</v>
      </c>
      <c r="I298" s="5">
        <v>211</v>
      </c>
      <c r="J298" s="5" t="s">
        <v>3990</v>
      </c>
      <c r="K298" s="11" t="s">
        <v>662</v>
      </c>
      <c r="N298" s="11" t="s">
        <v>6884</v>
      </c>
      <c r="O298" s="11" t="s">
        <v>1754</v>
      </c>
      <c r="P298" s="5" t="s">
        <v>5941</v>
      </c>
      <c r="Q298" s="5" t="s">
        <v>5939</v>
      </c>
    </row>
    <row r="299" spans="1:17" x14ac:dyDescent="0.25">
      <c r="A299" s="11" t="s">
        <v>471</v>
      </c>
      <c r="B299" s="5" t="s">
        <v>481</v>
      </c>
      <c r="C299" s="11" t="s">
        <v>483</v>
      </c>
      <c r="D299" s="11" t="s">
        <v>328</v>
      </c>
      <c r="E299">
        <v>1</v>
      </c>
      <c r="F299" s="11" t="s">
        <v>6990</v>
      </c>
      <c r="G299" s="11" t="s">
        <v>6998</v>
      </c>
      <c r="H299" s="11" t="s">
        <v>6864</v>
      </c>
      <c r="I299" s="5" t="s">
        <v>4474</v>
      </c>
      <c r="J299" s="5" t="s">
        <v>4011</v>
      </c>
      <c r="K299" s="11" t="s">
        <v>84</v>
      </c>
      <c r="N299" s="11" t="s">
        <v>6884</v>
      </c>
      <c r="O299" s="11" t="s">
        <v>7020</v>
      </c>
      <c r="P299" s="5" t="s">
        <v>7468</v>
      </c>
      <c r="Q299" s="5" t="s">
        <v>7517</v>
      </c>
    </row>
    <row r="300" spans="1:17" x14ac:dyDescent="0.25">
      <c r="A300" s="11" t="s">
        <v>1788</v>
      </c>
      <c r="B300" s="5" t="s">
        <v>1791</v>
      </c>
      <c r="C300" s="11" t="s">
        <v>559</v>
      </c>
      <c r="D300" s="11" t="s">
        <v>89</v>
      </c>
      <c r="E300">
        <v>1</v>
      </c>
      <c r="F300" s="11" t="s">
        <v>6895</v>
      </c>
      <c r="G300" s="12"/>
      <c r="H300" s="11" t="s">
        <v>6864</v>
      </c>
      <c r="J300" s="5" t="s">
        <v>3990</v>
      </c>
      <c r="K300" s="11" t="s">
        <v>1744</v>
      </c>
      <c r="N300" s="11" t="s">
        <v>6862</v>
      </c>
      <c r="O300" s="11" t="s">
        <v>542</v>
      </c>
      <c r="P300" s="5" t="s">
        <v>6104</v>
      </c>
      <c r="Q300" s="5"/>
    </row>
    <row r="301" spans="1:17" x14ac:dyDescent="0.25">
      <c r="A301" s="11" t="s">
        <v>1987</v>
      </c>
      <c r="B301" s="5" t="s">
        <v>1992</v>
      </c>
      <c r="C301" s="11" t="s">
        <v>1994</v>
      </c>
      <c r="D301" s="11" t="s">
        <v>1254</v>
      </c>
      <c r="E301">
        <v>1</v>
      </c>
      <c r="F301" s="11" t="s">
        <v>120</v>
      </c>
      <c r="G301" s="12"/>
      <c r="H301" s="11" t="s">
        <v>6864</v>
      </c>
      <c r="J301" s="5" t="s">
        <v>3990</v>
      </c>
      <c r="K301" s="11" t="s">
        <v>6956</v>
      </c>
      <c r="N301" s="11" t="s">
        <v>6862</v>
      </c>
      <c r="O301" s="11" t="s">
        <v>1995</v>
      </c>
      <c r="P301" s="5" t="s">
        <v>4274</v>
      </c>
      <c r="Q301" s="5"/>
    </row>
    <row r="302" spans="1:17" x14ac:dyDescent="0.25">
      <c r="A302" s="11" t="s">
        <v>3606</v>
      </c>
      <c r="B302" s="5" t="s">
        <v>3612</v>
      </c>
      <c r="C302" s="11" t="s">
        <v>3614</v>
      </c>
      <c r="D302" s="11" t="s">
        <v>3216</v>
      </c>
      <c r="E302">
        <v>1</v>
      </c>
      <c r="F302" s="11" t="s">
        <v>81</v>
      </c>
      <c r="G302" s="12"/>
      <c r="H302" s="11" t="s">
        <v>6864</v>
      </c>
      <c r="J302" s="5" t="s">
        <v>3990</v>
      </c>
      <c r="K302" s="11" t="s">
        <v>3608</v>
      </c>
      <c r="N302" s="11" t="s">
        <v>6884</v>
      </c>
      <c r="O302" s="11" t="s">
        <v>3301</v>
      </c>
      <c r="P302" s="5" t="s">
        <v>7469</v>
      </c>
      <c r="Q302" s="5"/>
    </row>
    <row r="303" spans="1:17" x14ac:dyDescent="0.25">
      <c r="A303" s="11" t="s">
        <v>1836</v>
      </c>
      <c r="B303" s="5" t="s">
        <v>1841</v>
      </c>
      <c r="C303" s="11" t="s">
        <v>886</v>
      </c>
      <c r="D303" s="11" t="s">
        <v>1843</v>
      </c>
      <c r="E303">
        <v>1</v>
      </c>
      <c r="F303" s="11" t="s">
        <v>6881</v>
      </c>
      <c r="G303" s="11" t="s">
        <v>82</v>
      </c>
      <c r="H303" s="11" t="s">
        <v>6864</v>
      </c>
      <c r="I303" s="5" t="s">
        <v>4474</v>
      </c>
      <c r="J303" s="5" t="s">
        <v>4011</v>
      </c>
      <c r="K303" s="11" t="s">
        <v>786</v>
      </c>
      <c r="N303" s="11" t="s">
        <v>6884</v>
      </c>
      <c r="O303" s="11" t="s">
        <v>1844</v>
      </c>
      <c r="P303" s="5" t="s">
        <v>4840</v>
      </c>
      <c r="Q303" s="5" t="s">
        <v>4838</v>
      </c>
    </row>
    <row r="304" spans="1:17" x14ac:dyDescent="0.25">
      <c r="A304" s="11" t="s">
        <v>1627</v>
      </c>
      <c r="B304" s="5" t="s">
        <v>1630</v>
      </c>
      <c r="C304" s="11" t="s">
        <v>1632</v>
      </c>
      <c r="D304" s="11" t="s">
        <v>541</v>
      </c>
      <c r="E304">
        <v>1</v>
      </c>
      <c r="F304" s="11" t="s">
        <v>305</v>
      </c>
      <c r="G304" s="12"/>
      <c r="H304" s="11" t="s">
        <v>6864</v>
      </c>
      <c r="J304" s="5" t="s">
        <v>3990</v>
      </c>
      <c r="K304" s="11" t="s">
        <v>945</v>
      </c>
      <c r="N304" s="11" t="s">
        <v>6911</v>
      </c>
      <c r="O304" s="11" t="s">
        <v>661</v>
      </c>
      <c r="P304" s="5" t="s">
        <v>6912</v>
      </c>
      <c r="Q304" s="5"/>
    </row>
    <row r="305" spans="1:17" x14ac:dyDescent="0.25">
      <c r="A305" s="11" t="s">
        <v>1109</v>
      </c>
      <c r="B305" s="5" t="s">
        <v>1116</v>
      </c>
      <c r="C305" s="11" t="s">
        <v>1118</v>
      </c>
      <c r="D305" s="11" t="s">
        <v>121</v>
      </c>
      <c r="E305">
        <v>1</v>
      </c>
      <c r="F305" s="11" t="s">
        <v>6990</v>
      </c>
      <c r="G305" s="11" t="s">
        <v>6998</v>
      </c>
      <c r="H305" s="11" t="s">
        <v>6864</v>
      </c>
      <c r="J305" s="5" t="s">
        <v>3990</v>
      </c>
      <c r="K305" s="11" t="s">
        <v>1062</v>
      </c>
      <c r="N305" s="11" t="s">
        <v>6884</v>
      </c>
      <c r="O305" s="11" t="s">
        <v>7021</v>
      </c>
      <c r="P305" s="5" t="s">
        <v>7470</v>
      </c>
      <c r="Q305" s="5" t="s">
        <v>7518</v>
      </c>
    </row>
    <row r="306" spans="1:17" x14ac:dyDescent="0.25">
      <c r="A306" s="11" t="s">
        <v>1230</v>
      </c>
      <c r="B306" s="5" t="s">
        <v>1235</v>
      </c>
      <c r="C306" s="11" t="s">
        <v>1237</v>
      </c>
      <c r="D306" s="11" t="s">
        <v>641</v>
      </c>
      <c r="E306">
        <v>1</v>
      </c>
      <c r="F306" s="11" t="s">
        <v>6990</v>
      </c>
      <c r="G306" s="11" t="s">
        <v>6998</v>
      </c>
      <c r="H306" s="11" t="s">
        <v>6864</v>
      </c>
      <c r="J306" s="5" t="s">
        <v>3990</v>
      </c>
      <c r="K306" s="11" t="s">
        <v>1239</v>
      </c>
      <c r="N306" s="11" t="s">
        <v>6884</v>
      </c>
      <c r="O306" s="11" t="s">
        <v>1238</v>
      </c>
      <c r="P306" s="5" t="s">
        <v>7471</v>
      </c>
      <c r="Q306" s="5" t="s">
        <v>5639</v>
      </c>
    </row>
    <row r="307" spans="1:17" x14ac:dyDescent="0.25">
      <c r="A307" s="11" t="s">
        <v>1633</v>
      </c>
      <c r="B307" s="5" t="s">
        <v>1637</v>
      </c>
      <c r="C307" s="11" t="s">
        <v>597</v>
      </c>
      <c r="D307" s="11" t="s">
        <v>660</v>
      </c>
      <c r="E307">
        <v>1</v>
      </c>
      <c r="F307" s="11" t="s">
        <v>305</v>
      </c>
      <c r="G307" s="12"/>
      <c r="H307" s="11" t="s">
        <v>6864</v>
      </c>
      <c r="J307" s="5" t="s">
        <v>3990</v>
      </c>
      <c r="K307" s="12"/>
      <c r="N307" s="11" t="s">
        <v>6862</v>
      </c>
      <c r="O307" s="11" t="s">
        <v>1639</v>
      </c>
      <c r="P307" s="5" t="s">
        <v>6907</v>
      </c>
      <c r="Q307" s="5"/>
    </row>
    <row r="308" spans="1:17" x14ac:dyDescent="0.25">
      <c r="A308" s="11" t="s">
        <v>2962</v>
      </c>
      <c r="B308" s="5" t="s">
        <v>2966</v>
      </c>
      <c r="C308" s="11" t="s">
        <v>7382</v>
      </c>
      <c r="D308" s="11" t="s">
        <v>2578</v>
      </c>
      <c r="E308">
        <v>1</v>
      </c>
      <c r="F308" s="11" t="s">
        <v>4503</v>
      </c>
      <c r="G308" s="12"/>
      <c r="H308" s="11" t="s">
        <v>6864</v>
      </c>
      <c r="J308" s="5" t="s">
        <v>3990</v>
      </c>
      <c r="K308" s="11" t="s">
        <v>2969</v>
      </c>
      <c r="N308" s="11" t="s">
        <v>6862</v>
      </c>
      <c r="O308" s="11" t="s">
        <v>2579</v>
      </c>
      <c r="P308" s="5" t="s">
        <v>5873</v>
      </c>
      <c r="Q308" s="5"/>
    </row>
    <row r="309" spans="1:17" x14ac:dyDescent="0.25">
      <c r="A309" s="11" t="s">
        <v>1714</v>
      </c>
      <c r="B309" s="5" t="s">
        <v>1721</v>
      </c>
      <c r="C309" s="11" t="s">
        <v>6939</v>
      </c>
      <c r="D309" s="11" t="s">
        <v>1724</v>
      </c>
      <c r="E309">
        <v>1</v>
      </c>
      <c r="F309" s="11" t="s">
        <v>4246</v>
      </c>
      <c r="G309" s="12"/>
      <c r="H309" s="11" t="s">
        <v>6864</v>
      </c>
      <c r="J309" s="5" t="s">
        <v>3990</v>
      </c>
      <c r="K309" s="11" t="s">
        <v>6940</v>
      </c>
      <c r="N309" s="11" t="s">
        <v>6862</v>
      </c>
      <c r="O309" s="11" t="s">
        <v>1725</v>
      </c>
      <c r="P309" s="5" t="s">
        <v>7472</v>
      </c>
      <c r="Q309" s="5"/>
    </row>
    <row r="310" spans="1:17" x14ac:dyDescent="0.25">
      <c r="A310" s="11" t="s">
        <v>1901</v>
      </c>
      <c r="B310" s="5" t="s">
        <v>1905</v>
      </c>
      <c r="C310" s="11" t="s">
        <v>7375</v>
      </c>
      <c r="D310" s="11" t="s">
        <v>1694</v>
      </c>
      <c r="E310">
        <v>1</v>
      </c>
      <c r="F310" s="11" t="s">
        <v>4246</v>
      </c>
      <c r="G310" s="12"/>
      <c r="H310" s="11" t="s">
        <v>6864</v>
      </c>
      <c r="J310" s="5" t="s">
        <v>3990</v>
      </c>
      <c r="K310" s="11" t="s">
        <v>1762</v>
      </c>
      <c r="N310" s="11" t="s">
        <v>6862</v>
      </c>
      <c r="O310" s="11" t="s">
        <v>2140</v>
      </c>
      <c r="P310" s="5"/>
      <c r="Q310" s="5"/>
    </row>
    <row r="311" spans="1:17" x14ac:dyDescent="0.25">
      <c r="A311" s="11" t="s">
        <v>2995</v>
      </c>
      <c r="B311" s="5" t="s">
        <v>3000</v>
      </c>
      <c r="C311" s="11" t="s">
        <v>6949</v>
      </c>
      <c r="D311" s="11" t="s">
        <v>1358</v>
      </c>
      <c r="E311">
        <v>1</v>
      </c>
      <c r="F311" s="11" t="s">
        <v>4503</v>
      </c>
      <c r="G311" s="12"/>
      <c r="H311" s="11" t="s">
        <v>6864</v>
      </c>
      <c r="J311" s="5" t="s">
        <v>3990</v>
      </c>
      <c r="K311" s="11" t="s">
        <v>2896</v>
      </c>
      <c r="N311" s="11" t="s">
        <v>6862</v>
      </c>
      <c r="O311" s="11" t="s">
        <v>2430</v>
      </c>
      <c r="P311" s="5" t="s">
        <v>7473</v>
      </c>
      <c r="Q311" s="5"/>
    </row>
    <row r="312" spans="1:17" x14ac:dyDescent="0.25">
      <c r="A312" s="11" t="s">
        <v>1091</v>
      </c>
      <c r="B312" s="5" t="s">
        <v>1101</v>
      </c>
      <c r="C312" s="11" t="s">
        <v>1103</v>
      </c>
      <c r="D312" s="11" t="s">
        <v>660</v>
      </c>
      <c r="E312">
        <v>1</v>
      </c>
      <c r="F312" s="11" t="s">
        <v>6990</v>
      </c>
      <c r="G312" s="11" t="s">
        <v>6998</v>
      </c>
      <c r="H312" s="11" t="s">
        <v>6864</v>
      </c>
      <c r="I312" s="5">
        <v>211</v>
      </c>
      <c r="J312" s="5" t="s">
        <v>3990</v>
      </c>
      <c r="K312" s="11" t="s">
        <v>405</v>
      </c>
      <c r="N312" s="11" t="s">
        <v>6884</v>
      </c>
      <c r="O312" s="11" t="s">
        <v>1082</v>
      </c>
      <c r="P312" s="5" t="s">
        <v>7474</v>
      </c>
      <c r="Q312" s="5" t="s">
        <v>7519</v>
      </c>
    </row>
    <row r="313" spans="1:17" x14ac:dyDescent="0.25">
      <c r="A313" s="11" t="s">
        <v>571</v>
      </c>
      <c r="B313" s="5" t="s">
        <v>576</v>
      </c>
      <c r="C313" s="11" t="s">
        <v>559</v>
      </c>
      <c r="D313" s="11" t="s">
        <v>514</v>
      </c>
      <c r="E313">
        <v>1</v>
      </c>
      <c r="F313" s="11" t="s">
        <v>6931</v>
      </c>
      <c r="G313" s="12"/>
      <c r="H313" s="11" t="s">
        <v>6864</v>
      </c>
      <c r="J313" s="5" t="s">
        <v>3990</v>
      </c>
      <c r="K313" s="11" t="s">
        <v>570</v>
      </c>
      <c r="N313" s="11" t="s">
        <v>6867</v>
      </c>
      <c r="O313" s="11" t="s">
        <v>554</v>
      </c>
      <c r="P313" s="5" t="s">
        <v>7475</v>
      </c>
      <c r="Q313" s="5"/>
    </row>
    <row r="314" spans="1:17" x14ac:dyDescent="0.25">
      <c r="A314" s="11" t="s">
        <v>2734</v>
      </c>
      <c r="B314" s="5" t="s">
        <v>2738</v>
      </c>
      <c r="C314" s="11" t="s">
        <v>1410</v>
      </c>
      <c r="D314" s="11" t="s">
        <v>1694</v>
      </c>
      <c r="E314">
        <v>1</v>
      </c>
      <c r="F314" s="11" t="s">
        <v>305</v>
      </c>
      <c r="G314" s="12"/>
      <c r="H314" s="12"/>
      <c r="J314" s="5" t="s">
        <v>3990</v>
      </c>
      <c r="K314" s="11" t="s">
        <v>945</v>
      </c>
      <c r="N314" s="11" t="s">
        <v>6862</v>
      </c>
      <c r="O314" s="11" t="s">
        <v>2301</v>
      </c>
      <c r="P314" s="5" t="s">
        <v>7476</v>
      </c>
      <c r="Q314" s="5"/>
    </row>
    <row r="315" spans="1:17" x14ac:dyDescent="0.25">
      <c r="A315" s="11" t="s">
        <v>664</v>
      </c>
      <c r="B315" s="5" t="s">
        <v>679</v>
      </c>
      <c r="C315" s="11" t="s">
        <v>6970</v>
      </c>
      <c r="D315" s="11" t="s">
        <v>660</v>
      </c>
      <c r="E315">
        <v>1</v>
      </c>
      <c r="F315" s="11" t="s">
        <v>6973</v>
      </c>
      <c r="G315" s="11" t="s">
        <v>6974</v>
      </c>
      <c r="H315" s="11" t="s">
        <v>6864</v>
      </c>
      <c r="J315" s="5" t="s">
        <v>3990</v>
      </c>
      <c r="K315" s="11" t="s">
        <v>6971</v>
      </c>
      <c r="N315" s="11" t="s">
        <v>6972</v>
      </c>
      <c r="O315" s="11" t="s">
        <v>1614</v>
      </c>
      <c r="P315" s="5" t="s">
        <v>244</v>
      </c>
      <c r="Q315" s="5" t="s">
        <v>7520</v>
      </c>
    </row>
    <row r="316" spans="1:17" x14ac:dyDescent="0.25">
      <c r="A316" s="11" t="s">
        <v>664</v>
      </c>
      <c r="B316" s="5" t="s">
        <v>679</v>
      </c>
      <c r="C316" s="11" t="s">
        <v>6993</v>
      </c>
      <c r="D316" s="11" t="s">
        <v>1434</v>
      </c>
      <c r="E316">
        <v>0</v>
      </c>
      <c r="F316" s="11" t="s">
        <v>6990</v>
      </c>
      <c r="G316" s="11" t="s">
        <v>6991</v>
      </c>
      <c r="H316" s="11" t="s">
        <v>6864</v>
      </c>
      <c r="J316" s="5" t="s">
        <v>3990</v>
      </c>
      <c r="K316" s="11" t="s">
        <v>6994</v>
      </c>
      <c r="N316" s="11" t="s">
        <v>6862</v>
      </c>
      <c r="O316" s="11" t="s">
        <v>6992</v>
      </c>
      <c r="P316" s="5" t="s">
        <v>244</v>
      </c>
      <c r="Q316" s="5"/>
    </row>
    <row r="317" spans="1:17" x14ac:dyDescent="0.25">
      <c r="A317" s="11" t="s">
        <v>502</v>
      </c>
      <c r="B317" s="5" t="s">
        <v>511</v>
      </c>
      <c r="C317" s="11" t="s">
        <v>513</v>
      </c>
      <c r="D317" s="11" t="s">
        <v>514</v>
      </c>
      <c r="E317">
        <v>1</v>
      </c>
      <c r="F317" s="11" t="s">
        <v>6967</v>
      </c>
      <c r="G317" s="11" t="s">
        <v>6980</v>
      </c>
      <c r="H317" s="11" t="s">
        <v>6864</v>
      </c>
      <c r="J317" s="5" t="s">
        <v>3990</v>
      </c>
      <c r="K317" s="11" t="s">
        <v>515</v>
      </c>
      <c r="N317" s="11" t="s">
        <v>6862</v>
      </c>
      <c r="O317" s="11" t="s">
        <v>6979</v>
      </c>
      <c r="P317" s="5" t="s">
        <v>7477</v>
      </c>
      <c r="Q317" s="5" t="s">
        <v>7521</v>
      </c>
    </row>
    <row r="318" spans="1:17" x14ac:dyDescent="0.25">
      <c r="A318" s="11" t="s">
        <v>502</v>
      </c>
      <c r="B318" s="5" t="s">
        <v>511</v>
      </c>
      <c r="C318" s="11" t="s">
        <v>802</v>
      </c>
      <c r="D318" s="11" t="s">
        <v>660</v>
      </c>
      <c r="E318">
        <v>0</v>
      </c>
      <c r="F318" s="11" t="s">
        <v>6990</v>
      </c>
      <c r="G318" s="11" t="s">
        <v>6998</v>
      </c>
      <c r="H318" s="11" t="s">
        <v>6864</v>
      </c>
      <c r="J318" s="5" t="s">
        <v>3990</v>
      </c>
      <c r="K318" s="11" t="s">
        <v>786</v>
      </c>
      <c r="N318" s="11" t="s">
        <v>6884</v>
      </c>
      <c r="O318" s="11" t="s">
        <v>1082</v>
      </c>
      <c r="P318" s="5"/>
      <c r="Q318" s="5"/>
    </row>
    <row r="319" spans="1:17" x14ac:dyDescent="0.25">
      <c r="A319" s="11" t="s">
        <v>2091</v>
      </c>
      <c r="B319" s="5" t="s">
        <v>2096</v>
      </c>
      <c r="C319" s="11" t="s">
        <v>559</v>
      </c>
      <c r="D319" s="11" t="s">
        <v>715</v>
      </c>
      <c r="E319">
        <v>1</v>
      </c>
      <c r="F319" s="11" t="s">
        <v>305</v>
      </c>
      <c r="G319" s="12"/>
      <c r="H319" s="11" t="s">
        <v>6864</v>
      </c>
      <c r="J319" s="5" t="s">
        <v>3990</v>
      </c>
      <c r="K319" s="11" t="s">
        <v>2067</v>
      </c>
      <c r="N319" s="11" t="s">
        <v>6862</v>
      </c>
      <c r="O319" s="11" t="s">
        <v>716</v>
      </c>
      <c r="P319" s="5" t="s">
        <v>4555</v>
      </c>
      <c r="Q319" s="5"/>
    </row>
    <row r="320" spans="1:17" x14ac:dyDescent="0.25">
      <c r="A320" s="11" t="s">
        <v>2889</v>
      </c>
      <c r="B320" s="5" t="s">
        <v>2894</v>
      </c>
      <c r="C320" s="11" t="s">
        <v>6897</v>
      </c>
      <c r="D320" s="11" t="s">
        <v>1604</v>
      </c>
      <c r="E320">
        <v>1</v>
      </c>
      <c r="F320" s="11" t="s">
        <v>305</v>
      </c>
      <c r="G320" s="12"/>
      <c r="H320" s="12"/>
      <c r="J320" s="5" t="s">
        <v>3990</v>
      </c>
      <c r="K320" s="11" t="s">
        <v>945</v>
      </c>
      <c r="N320" s="11" t="s">
        <v>6862</v>
      </c>
      <c r="O320" s="11" t="s">
        <v>1853</v>
      </c>
      <c r="P320" s="5" t="s">
        <v>6030</v>
      </c>
      <c r="Q320" s="5"/>
    </row>
  </sheetData>
  <mergeCells count="2">
    <mergeCell ref="A2:Q2"/>
    <mergeCell ref="A1:Q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79" activePane="bottomLeft" state="frozen"/>
      <selection pane="bottomLeft" activeCell="D652" sqref="D652"/>
    </sheetView>
  </sheetViews>
  <sheetFormatPr defaultRowHeight="14.4" x14ac:dyDescent="0.25"/>
  <cols>
    <col min="1" max="1" width="22.44140625" bestFit="1" customWidth="1"/>
    <col min="2" max="2" width="21.109375" style="5"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89" t="s">
        <v>91</v>
      </c>
      <c r="B1" s="90"/>
      <c r="C1" s="90"/>
      <c r="D1" s="90"/>
      <c r="E1" s="90"/>
      <c r="F1" s="90"/>
      <c r="G1" s="90"/>
      <c r="H1" s="90"/>
      <c r="I1" s="90"/>
      <c r="J1" s="90"/>
      <c r="K1" s="90"/>
    </row>
    <row r="2" spans="1:11" ht="18" customHeight="1" x14ac:dyDescent="0.25">
      <c r="A2" s="91" t="s">
        <v>92</v>
      </c>
      <c r="B2" s="90"/>
      <c r="C2" s="90"/>
      <c r="D2" s="90"/>
      <c r="E2" s="90"/>
      <c r="F2" s="90"/>
      <c r="G2" s="90"/>
      <c r="H2" s="90"/>
      <c r="I2" s="90"/>
      <c r="J2" s="90"/>
      <c r="K2" s="90"/>
    </row>
    <row r="3" spans="1:11" ht="22.05" customHeight="1" x14ac:dyDescent="0.25">
      <c r="A3" s="3" t="s">
        <v>37</v>
      </c>
      <c r="B3" s="6" t="s">
        <v>3</v>
      </c>
      <c r="C3" s="7" t="s">
        <v>93</v>
      </c>
      <c r="D3" s="1" t="s">
        <v>94</v>
      </c>
      <c r="E3" s="1" t="s">
        <v>95</v>
      </c>
      <c r="F3" s="1" t="s">
        <v>96</v>
      </c>
      <c r="G3" s="1" t="s">
        <v>97</v>
      </c>
      <c r="H3" s="1" t="s">
        <v>98</v>
      </c>
      <c r="I3" s="1" t="s">
        <v>99</v>
      </c>
      <c r="J3" s="1" t="s">
        <v>100</v>
      </c>
      <c r="K3" s="1" t="s">
        <v>101</v>
      </c>
    </row>
    <row r="4" spans="1:11" x14ac:dyDescent="0.25">
      <c r="A4" t="s">
        <v>2926</v>
      </c>
      <c r="B4" t="s">
        <v>2930</v>
      </c>
      <c r="C4" t="s">
        <v>6284</v>
      </c>
      <c r="D4" t="s">
        <v>102</v>
      </c>
      <c r="E4" t="s">
        <v>103</v>
      </c>
      <c r="F4" t="s">
        <v>6287</v>
      </c>
      <c r="G4" t="s">
        <v>6288</v>
      </c>
      <c r="K4">
        <v>1</v>
      </c>
    </row>
    <row r="5" spans="1:11" x14ac:dyDescent="0.25">
      <c r="A5" t="s">
        <v>2926</v>
      </c>
      <c r="B5" t="s">
        <v>2930</v>
      </c>
      <c r="C5" t="s">
        <v>6289</v>
      </c>
      <c r="D5" t="s">
        <v>102</v>
      </c>
      <c r="E5" t="s">
        <v>103</v>
      </c>
      <c r="F5" t="s">
        <v>6287</v>
      </c>
      <c r="G5" t="s">
        <v>6290</v>
      </c>
      <c r="K5">
        <v>1</v>
      </c>
    </row>
    <row r="6" spans="1:11" x14ac:dyDescent="0.25">
      <c r="A6" t="s">
        <v>1801</v>
      </c>
      <c r="B6" t="s">
        <v>1805</v>
      </c>
      <c r="C6" t="s">
        <v>6284</v>
      </c>
      <c r="D6" t="s">
        <v>102</v>
      </c>
      <c r="E6" t="s">
        <v>103</v>
      </c>
      <c r="F6" t="s">
        <v>294</v>
      </c>
      <c r="G6" t="s">
        <v>6291</v>
      </c>
      <c r="K6">
        <v>1</v>
      </c>
    </row>
    <row r="7" spans="1:11" x14ac:dyDescent="0.25">
      <c r="A7" t="s">
        <v>1801</v>
      </c>
      <c r="B7" t="s">
        <v>1805</v>
      </c>
      <c r="C7" t="s">
        <v>6289</v>
      </c>
      <c r="D7" t="s">
        <v>102</v>
      </c>
      <c r="E7" t="s">
        <v>103</v>
      </c>
      <c r="F7" t="s">
        <v>294</v>
      </c>
      <c r="G7" t="s">
        <v>6291</v>
      </c>
      <c r="K7">
        <v>1</v>
      </c>
    </row>
    <row r="8" spans="1:11" x14ac:dyDescent="0.25">
      <c r="A8" t="s">
        <v>2880</v>
      </c>
      <c r="B8" t="s">
        <v>2885</v>
      </c>
      <c r="C8" t="s">
        <v>6284</v>
      </c>
      <c r="D8" t="s">
        <v>102</v>
      </c>
      <c r="E8" t="s">
        <v>6292</v>
      </c>
      <c r="F8" t="s">
        <v>6293</v>
      </c>
      <c r="G8" t="s">
        <v>6294</v>
      </c>
      <c r="K8">
        <v>1</v>
      </c>
    </row>
    <row r="9" spans="1:11" x14ac:dyDescent="0.25">
      <c r="A9" t="s">
        <v>2880</v>
      </c>
      <c r="B9" t="s">
        <v>2885</v>
      </c>
      <c r="C9" t="s">
        <v>6289</v>
      </c>
      <c r="D9" t="s">
        <v>102</v>
      </c>
      <c r="E9" t="s">
        <v>6292</v>
      </c>
      <c r="F9" t="s">
        <v>6293</v>
      </c>
      <c r="G9" t="s">
        <v>6295</v>
      </c>
      <c r="K9">
        <v>1</v>
      </c>
    </row>
    <row r="10" spans="1:11" x14ac:dyDescent="0.25">
      <c r="A10" t="s">
        <v>3064</v>
      </c>
      <c r="B10" t="s">
        <v>3068</v>
      </c>
      <c r="C10" t="s">
        <v>6284</v>
      </c>
      <c r="D10" t="s">
        <v>102</v>
      </c>
      <c r="E10" t="s">
        <v>6296</v>
      </c>
      <c r="F10" t="s">
        <v>6297</v>
      </c>
      <c r="G10" t="s">
        <v>6298</v>
      </c>
      <c r="K10">
        <v>1</v>
      </c>
    </row>
    <row r="11" spans="1:11" x14ac:dyDescent="0.25">
      <c r="A11" t="s">
        <v>3064</v>
      </c>
      <c r="B11" t="s">
        <v>3068</v>
      </c>
      <c r="C11" t="s">
        <v>6289</v>
      </c>
      <c r="D11" t="s">
        <v>102</v>
      </c>
      <c r="E11" t="s">
        <v>103</v>
      </c>
      <c r="F11" t="s">
        <v>6285</v>
      </c>
      <c r="G11" t="s">
        <v>6299</v>
      </c>
      <c r="K11">
        <v>1</v>
      </c>
    </row>
    <row r="12" spans="1:11" x14ac:dyDescent="0.25">
      <c r="A12" t="s">
        <v>1439</v>
      </c>
      <c r="B12" t="s">
        <v>1447</v>
      </c>
      <c r="C12" t="s">
        <v>6284</v>
      </c>
      <c r="D12" t="s">
        <v>1442</v>
      </c>
      <c r="E12" t="s">
        <v>6300</v>
      </c>
      <c r="F12" t="s">
        <v>6301</v>
      </c>
      <c r="G12" t="s">
        <v>6302</v>
      </c>
      <c r="K12">
        <v>1</v>
      </c>
    </row>
    <row r="13" spans="1:11" x14ac:dyDescent="0.25">
      <c r="A13" t="s">
        <v>1439</v>
      </c>
      <c r="B13" t="s">
        <v>1447</v>
      </c>
      <c r="C13" t="s">
        <v>6289</v>
      </c>
      <c r="D13" t="s">
        <v>102</v>
      </c>
      <c r="E13" t="s">
        <v>103</v>
      </c>
      <c r="F13" t="s">
        <v>6303</v>
      </c>
      <c r="G13" t="s">
        <v>6304</v>
      </c>
      <c r="K13">
        <v>1</v>
      </c>
    </row>
    <row r="14" spans="1:11" x14ac:dyDescent="0.25">
      <c r="A14" t="s">
        <v>1010</v>
      </c>
      <c r="B14" t="s">
        <v>1018</v>
      </c>
      <c r="C14" t="s">
        <v>6284</v>
      </c>
      <c r="D14" t="s">
        <v>102</v>
      </c>
      <c r="E14" t="s">
        <v>6305</v>
      </c>
      <c r="F14" t="s">
        <v>6306</v>
      </c>
      <c r="G14" t="s">
        <v>6307</v>
      </c>
      <c r="K14">
        <v>1</v>
      </c>
    </row>
    <row r="15" spans="1:11" x14ac:dyDescent="0.25">
      <c r="A15" t="s">
        <v>1010</v>
      </c>
      <c r="B15" t="s">
        <v>1018</v>
      </c>
      <c r="C15" t="s">
        <v>6289</v>
      </c>
      <c r="D15" t="s">
        <v>102</v>
      </c>
      <c r="E15" t="s">
        <v>6305</v>
      </c>
      <c r="F15" t="s">
        <v>6306</v>
      </c>
      <c r="G15" t="s">
        <v>6307</v>
      </c>
      <c r="K15">
        <v>1</v>
      </c>
    </row>
    <row r="16" spans="1:11" x14ac:dyDescent="0.25">
      <c r="A16" t="s">
        <v>3137</v>
      </c>
      <c r="B16" t="s">
        <v>3141</v>
      </c>
      <c r="C16" t="s">
        <v>6284</v>
      </c>
      <c r="D16" t="s">
        <v>102</v>
      </c>
      <c r="E16" t="s">
        <v>103</v>
      </c>
      <c r="F16" t="s">
        <v>294</v>
      </c>
      <c r="G16" t="s">
        <v>6308</v>
      </c>
      <c r="K16">
        <v>1</v>
      </c>
    </row>
    <row r="17" spans="1:11" x14ac:dyDescent="0.25">
      <c r="A17" t="s">
        <v>3137</v>
      </c>
      <c r="B17" t="s">
        <v>3141</v>
      </c>
      <c r="C17" t="s">
        <v>6289</v>
      </c>
      <c r="D17" t="s">
        <v>102</v>
      </c>
      <c r="E17" t="s">
        <v>103</v>
      </c>
      <c r="F17" t="s">
        <v>294</v>
      </c>
      <c r="G17" t="s">
        <v>6308</v>
      </c>
      <c r="K17">
        <v>1</v>
      </c>
    </row>
    <row r="18" spans="1:11" x14ac:dyDescent="0.25">
      <c r="A18" t="s">
        <v>2416</v>
      </c>
      <c r="B18" t="s">
        <v>2420</v>
      </c>
      <c r="C18" t="s">
        <v>6284</v>
      </c>
      <c r="D18" t="s">
        <v>102</v>
      </c>
      <c r="E18" t="s">
        <v>6296</v>
      </c>
      <c r="F18" t="s">
        <v>6309</v>
      </c>
      <c r="G18" t="s">
        <v>6310</v>
      </c>
      <c r="K18">
        <v>1</v>
      </c>
    </row>
    <row r="19" spans="1:11" x14ac:dyDescent="0.25">
      <c r="A19" t="s">
        <v>2416</v>
      </c>
      <c r="B19" t="s">
        <v>2420</v>
      </c>
      <c r="C19" t="s">
        <v>6289</v>
      </c>
      <c r="D19" t="s">
        <v>102</v>
      </c>
      <c r="E19" t="s">
        <v>6296</v>
      </c>
      <c r="F19" t="s">
        <v>6309</v>
      </c>
      <c r="G19" t="s">
        <v>6310</v>
      </c>
      <c r="K19">
        <v>1</v>
      </c>
    </row>
    <row r="20" spans="1:11" x14ac:dyDescent="0.25">
      <c r="A20" t="s">
        <v>2684</v>
      </c>
      <c r="B20" t="s">
        <v>2688</v>
      </c>
      <c r="C20" t="s">
        <v>6284</v>
      </c>
      <c r="D20" t="s">
        <v>102</v>
      </c>
      <c r="E20" t="s">
        <v>6296</v>
      </c>
      <c r="F20" t="s">
        <v>6309</v>
      </c>
      <c r="G20" t="s">
        <v>6311</v>
      </c>
      <c r="K20">
        <v>1</v>
      </c>
    </row>
    <row r="21" spans="1:11" x14ac:dyDescent="0.25">
      <c r="A21" t="s">
        <v>2684</v>
      </c>
      <c r="B21" t="s">
        <v>2688</v>
      </c>
      <c r="C21" t="s">
        <v>6289</v>
      </c>
      <c r="D21" t="s">
        <v>102</v>
      </c>
      <c r="E21" t="s">
        <v>6296</v>
      </c>
      <c r="F21" t="s">
        <v>6309</v>
      </c>
      <c r="G21" t="s">
        <v>6311</v>
      </c>
      <c r="K21">
        <v>1</v>
      </c>
    </row>
    <row r="22" spans="1:11" x14ac:dyDescent="0.25">
      <c r="A22" t="s">
        <v>1910</v>
      </c>
      <c r="B22" t="s">
        <v>1914</v>
      </c>
      <c r="C22" t="s">
        <v>6284</v>
      </c>
      <c r="D22" t="s">
        <v>102</v>
      </c>
      <c r="E22" t="s">
        <v>103</v>
      </c>
      <c r="F22" t="s">
        <v>294</v>
      </c>
      <c r="G22" t="s">
        <v>6312</v>
      </c>
      <c r="K22">
        <v>1</v>
      </c>
    </row>
    <row r="23" spans="1:11" x14ac:dyDescent="0.25">
      <c r="A23" t="s">
        <v>1910</v>
      </c>
      <c r="B23" t="s">
        <v>1914</v>
      </c>
      <c r="C23" t="s">
        <v>6289</v>
      </c>
      <c r="D23" t="s">
        <v>102</v>
      </c>
      <c r="E23" t="s">
        <v>103</v>
      </c>
      <c r="F23" t="s">
        <v>294</v>
      </c>
      <c r="G23" t="s">
        <v>6312</v>
      </c>
      <c r="K23">
        <v>1</v>
      </c>
    </row>
    <row r="24" spans="1:11" x14ac:dyDescent="0.25">
      <c r="A24" t="s">
        <v>913</v>
      </c>
      <c r="B24" t="s">
        <v>919</v>
      </c>
      <c r="C24" t="s">
        <v>6284</v>
      </c>
      <c r="D24" t="s">
        <v>102</v>
      </c>
      <c r="E24" t="s">
        <v>6313</v>
      </c>
      <c r="G24" t="s">
        <v>6314</v>
      </c>
      <c r="K24">
        <v>1</v>
      </c>
    </row>
    <row r="25" spans="1:11" x14ac:dyDescent="0.25">
      <c r="A25" t="s">
        <v>913</v>
      </c>
      <c r="B25" t="s">
        <v>919</v>
      </c>
      <c r="C25" t="s">
        <v>6289</v>
      </c>
      <c r="D25" t="s">
        <v>102</v>
      </c>
      <c r="E25" t="s">
        <v>6315</v>
      </c>
      <c r="F25" t="s">
        <v>6316</v>
      </c>
      <c r="G25" t="s">
        <v>6317</v>
      </c>
      <c r="K25">
        <v>1</v>
      </c>
    </row>
    <row r="26" spans="1:11" x14ac:dyDescent="0.25">
      <c r="A26" t="s">
        <v>1427</v>
      </c>
      <c r="B26" t="s">
        <v>1432</v>
      </c>
      <c r="C26" t="s">
        <v>6284</v>
      </c>
      <c r="D26" t="s">
        <v>102</v>
      </c>
      <c r="E26" t="s">
        <v>6296</v>
      </c>
      <c r="F26" t="s">
        <v>6297</v>
      </c>
      <c r="G26" t="s">
        <v>6318</v>
      </c>
      <c r="K26">
        <v>1</v>
      </c>
    </row>
    <row r="27" spans="1:11" x14ac:dyDescent="0.25">
      <c r="A27" t="s">
        <v>1427</v>
      </c>
      <c r="B27" t="s">
        <v>1432</v>
      </c>
      <c r="C27" t="s">
        <v>6289</v>
      </c>
      <c r="D27" t="s">
        <v>102</v>
      </c>
      <c r="E27" t="s">
        <v>6296</v>
      </c>
      <c r="F27" t="s">
        <v>6297</v>
      </c>
      <c r="G27" t="s">
        <v>6318</v>
      </c>
      <c r="K27">
        <v>1</v>
      </c>
    </row>
    <row r="28" spans="1:11" x14ac:dyDescent="0.25">
      <c r="A28" t="s">
        <v>1127</v>
      </c>
      <c r="B28" t="s">
        <v>1135</v>
      </c>
      <c r="C28" t="s">
        <v>6284</v>
      </c>
      <c r="D28" t="s">
        <v>102</v>
      </c>
      <c r="E28" t="s">
        <v>6319</v>
      </c>
      <c r="F28" t="s">
        <v>6320</v>
      </c>
      <c r="G28" t="s">
        <v>6321</v>
      </c>
      <c r="K28">
        <v>1</v>
      </c>
    </row>
    <row r="29" spans="1:11" x14ac:dyDescent="0.25">
      <c r="A29" t="s">
        <v>1127</v>
      </c>
      <c r="B29" t="s">
        <v>1135</v>
      </c>
      <c r="C29" t="s">
        <v>6289</v>
      </c>
      <c r="D29" t="s">
        <v>102</v>
      </c>
      <c r="E29" t="s">
        <v>103</v>
      </c>
      <c r="F29" t="s">
        <v>6285</v>
      </c>
      <c r="G29" t="s">
        <v>6322</v>
      </c>
      <c r="K29">
        <v>1</v>
      </c>
    </row>
    <row r="30" spans="1:11" x14ac:dyDescent="0.25">
      <c r="A30" t="s">
        <v>3370</v>
      </c>
      <c r="B30" t="s">
        <v>3374</v>
      </c>
      <c r="C30" t="s">
        <v>6284</v>
      </c>
      <c r="D30" t="s">
        <v>102</v>
      </c>
      <c r="E30" t="s">
        <v>103</v>
      </c>
      <c r="F30" t="s">
        <v>294</v>
      </c>
      <c r="G30" t="s">
        <v>6323</v>
      </c>
      <c r="K30">
        <v>1</v>
      </c>
    </row>
    <row r="31" spans="1:11" x14ac:dyDescent="0.25">
      <c r="A31" t="s">
        <v>3370</v>
      </c>
      <c r="B31" t="s">
        <v>3374</v>
      </c>
      <c r="C31" t="s">
        <v>6289</v>
      </c>
      <c r="D31" t="s">
        <v>102</v>
      </c>
      <c r="E31" t="s">
        <v>103</v>
      </c>
      <c r="F31" t="s">
        <v>294</v>
      </c>
      <c r="G31" t="s">
        <v>6323</v>
      </c>
      <c r="K31">
        <v>1</v>
      </c>
    </row>
    <row r="32" spans="1:11" x14ac:dyDescent="0.25">
      <c r="A32" t="s">
        <v>2564</v>
      </c>
      <c r="B32" t="s">
        <v>2567</v>
      </c>
      <c r="C32" t="s">
        <v>6284</v>
      </c>
      <c r="D32" t="s">
        <v>102</v>
      </c>
      <c r="E32" t="s">
        <v>103</v>
      </c>
      <c r="F32" t="s">
        <v>294</v>
      </c>
      <c r="G32" t="s">
        <v>6324</v>
      </c>
      <c r="K32">
        <v>1</v>
      </c>
    </row>
    <row r="33" spans="1:11" x14ac:dyDescent="0.25">
      <c r="A33" t="s">
        <v>2564</v>
      </c>
      <c r="B33" t="s">
        <v>2567</v>
      </c>
      <c r="C33" t="s">
        <v>6289</v>
      </c>
      <c r="D33" t="s">
        <v>102</v>
      </c>
      <c r="E33" t="s">
        <v>103</v>
      </c>
      <c r="F33" t="s">
        <v>294</v>
      </c>
      <c r="G33" t="s">
        <v>6325</v>
      </c>
      <c r="K33">
        <v>1</v>
      </c>
    </row>
    <row r="34" spans="1:11" x14ac:dyDescent="0.25">
      <c r="A34" t="s">
        <v>946</v>
      </c>
      <c r="B34" t="s">
        <v>950</v>
      </c>
      <c r="C34" t="s">
        <v>6284</v>
      </c>
      <c r="D34" t="s">
        <v>102</v>
      </c>
      <c r="E34" t="s">
        <v>6313</v>
      </c>
      <c r="G34" t="s">
        <v>6326</v>
      </c>
      <c r="K34">
        <v>1</v>
      </c>
    </row>
    <row r="35" spans="1:11" x14ac:dyDescent="0.25">
      <c r="A35" t="s">
        <v>946</v>
      </c>
      <c r="B35" t="s">
        <v>950</v>
      </c>
      <c r="C35" t="s">
        <v>6289</v>
      </c>
      <c r="D35" t="s">
        <v>102</v>
      </c>
      <c r="E35" t="s">
        <v>6313</v>
      </c>
      <c r="G35" t="s">
        <v>6326</v>
      </c>
      <c r="K35">
        <v>1</v>
      </c>
    </row>
    <row r="36" spans="1:11" x14ac:dyDescent="0.25">
      <c r="A36" t="s">
        <v>3595</v>
      </c>
      <c r="B36" t="s">
        <v>3601</v>
      </c>
      <c r="C36" t="s">
        <v>6284</v>
      </c>
      <c r="D36" t="s">
        <v>102</v>
      </c>
      <c r="E36" t="s">
        <v>103</v>
      </c>
      <c r="F36" t="s">
        <v>6285</v>
      </c>
      <c r="G36" t="s">
        <v>6327</v>
      </c>
      <c r="K36">
        <v>1</v>
      </c>
    </row>
    <row r="37" spans="1:11" x14ac:dyDescent="0.25">
      <c r="A37" t="s">
        <v>3595</v>
      </c>
      <c r="B37" t="s">
        <v>3601</v>
      </c>
      <c r="C37" t="s">
        <v>6289</v>
      </c>
      <c r="D37" t="s">
        <v>102</v>
      </c>
      <c r="E37" t="s">
        <v>103</v>
      </c>
      <c r="F37" t="s">
        <v>6285</v>
      </c>
      <c r="G37" t="s">
        <v>6328</v>
      </c>
      <c r="K37">
        <v>1</v>
      </c>
    </row>
    <row r="38" spans="1:11" x14ac:dyDescent="0.25">
      <c r="A38" t="s">
        <v>3110</v>
      </c>
      <c r="B38" t="s">
        <v>3114</v>
      </c>
      <c r="C38" t="s">
        <v>6284</v>
      </c>
      <c r="D38" t="s">
        <v>102</v>
      </c>
      <c r="E38" t="s">
        <v>103</v>
      </c>
      <c r="F38" t="s">
        <v>6303</v>
      </c>
      <c r="G38" t="s">
        <v>6329</v>
      </c>
      <c r="K38">
        <v>1</v>
      </c>
    </row>
    <row r="39" spans="1:11" x14ac:dyDescent="0.25">
      <c r="A39" t="s">
        <v>3110</v>
      </c>
      <c r="B39" t="s">
        <v>3114</v>
      </c>
      <c r="C39" t="s">
        <v>6289</v>
      </c>
      <c r="D39" t="s">
        <v>102</v>
      </c>
      <c r="E39" t="s">
        <v>103</v>
      </c>
      <c r="G39" t="s">
        <v>6330</v>
      </c>
      <c r="K39">
        <v>1</v>
      </c>
    </row>
    <row r="40" spans="1:11" x14ac:dyDescent="0.25">
      <c r="A40" t="s">
        <v>3413</v>
      </c>
      <c r="B40" t="s">
        <v>3417</v>
      </c>
      <c r="C40" t="s">
        <v>6284</v>
      </c>
      <c r="D40" t="s">
        <v>102</v>
      </c>
      <c r="E40" t="s">
        <v>103</v>
      </c>
      <c r="F40" t="s">
        <v>6287</v>
      </c>
      <c r="G40" t="s">
        <v>6331</v>
      </c>
      <c r="K40">
        <v>1</v>
      </c>
    </row>
    <row r="41" spans="1:11" x14ac:dyDescent="0.25">
      <c r="A41" t="s">
        <v>3413</v>
      </c>
      <c r="B41" t="s">
        <v>3417</v>
      </c>
      <c r="C41" t="s">
        <v>6289</v>
      </c>
      <c r="D41" t="s">
        <v>102</v>
      </c>
      <c r="E41" t="s">
        <v>103</v>
      </c>
      <c r="F41" t="s">
        <v>6287</v>
      </c>
      <c r="G41" t="s">
        <v>6331</v>
      </c>
      <c r="K41">
        <v>1</v>
      </c>
    </row>
    <row r="42" spans="1:11" x14ac:dyDescent="0.25">
      <c r="A42" t="s">
        <v>2458</v>
      </c>
      <c r="B42" t="s">
        <v>2462</v>
      </c>
      <c r="C42" t="s">
        <v>6284</v>
      </c>
      <c r="D42" t="s">
        <v>102</v>
      </c>
      <c r="E42" t="s">
        <v>6313</v>
      </c>
      <c r="G42" t="s">
        <v>6332</v>
      </c>
      <c r="K42">
        <v>1</v>
      </c>
    </row>
    <row r="43" spans="1:11" x14ac:dyDescent="0.25">
      <c r="A43" t="s">
        <v>2458</v>
      </c>
      <c r="B43" t="s">
        <v>2462</v>
      </c>
      <c r="C43" t="s">
        <v>6289</v>
      </c>
      <c r="D43" t="s">
        <v>102</v>
      </c>
      <c r="E43" t="s">
        <v>6313</v>
      </c>
      <c r="G43" t="s">
        <v>6332</v>
      </c>
      <c r="K43">
        <v>1</v>
      </c>
    </row>
    <row r="44" spans="1:11" x14ac:dyDescent="0.25">
      <c r="A44" t="s">
        <v>2008</v>
      </c>
      <c r="B44" t="s">
        <v>2015</v>
      </c>
      <c r="C44" t="s">
        <v>6284</v>
      </c>
      <c r="D44" t="s">
        <v>102</v>
      </c>
      <c r="E44" t="s">
        <v>103</v>
      </c>
      <c r="F44" t="s">
        <v>6333</v>
      </c>
      <c r="G44" t="s">
        <v>6334</v>
      </c>
      <c r="K44">
        <v>1</v>
      </c>
    </row>
    <row r="45" spans="1:11" x14ac:dyDescent="0.25">
      <c r="A45" t="s">
        <v>2008</v>
      </c>
      <c r="B45" t="s">
        <v>2015</v>
      </c>
      <c r="C45" t="s">
        <v>6289</v>
      </c>
      <c r="D45" t="s">
        <v>102</v>
      </c>
      <c r="E45" t="s">
        <v>103</v>
      </c>
      <c r="F45" t="s">
        <v>6333</v>
      </c>
      <c r="G45" t="s">
        <v>6335</v>
      </c>
      <c r="K45">
        <v>1</v>
      </c>
    </row>
    <row r="46" spans="1:11" x14ac:dyDescent="0.25">
      <c r="A46" t="s">
        <v>291</v>
      </c>
      <c r="B46" t="s">
        <v>303</v>
      </c>
      <c r="C46" t="s">
        <v>6284</v>
      </c>
      <c r="D46" t="s">
        <v>102</v>
      </c>
      <c r="E46" t="s">
        <v>103</v>
      </c>
      <c r="F46" t="s">
        <v>294</v>
      </c>
      <c r="G46" t="s">
        <v>6336</v>
      </c>
      <c r="K46">
        <v>1</v>
      </c>
    </row>
    <row r="47" spans="1:11" x14ac:dyDescent="0.25">
      <c r="A47" t="s">
        <v>291</v>
      </c>
      <c r="B47" t="s">
        <v>303</v>
      </c>
      <c r="C47" t="s">
        <v>6289</v>
      </c>
      <c r="D47" t="s">
        <v>102</v>
      </c>
      <c r="E47" t="s">
        <v>103</v>
      </c>
      <c r="F47" t="s">
        <v>294</v>
      </c>
      <c r="G47" t="s">
        <v>6336</v>
      </c>
      <c r="K47">
        <v>1</v>
      </c>
    </row>
    <row r="48" spans="1:11" x14ac:dyDescent="0.25">
      <c r="A48" t="s">
        <v>3582</v>
      </c>
      <c r="B48" t="s">
        <v>3589</v>
      </c>
      <c r="C48" t="s">
        <v>6284</v>
      </c>
      <c r="D48" t="s">
        <v>102</v>
      </c>
      <c r="E48" t="s">
        <v>103</v>
      </c>
      <c r="F48" t="s">
        <v>6285</v>
      </c>
      <c r="G48" t="s">
        <v>6337</v>
      </c>
      <c r="K48">
        <v>1</v>
      </c>
    </row>
    <row r="49" spans="1:11" x14ac:dyDescent="0.25">
      <c r="A49" t="s">
        <v>3582</v>
      </c>
      <c r="B49" t="s">
        <v>3589</v>
      </c>
      <c r="C49" t="s">
        <v>6289</v>
      </c>
      <c r="D49" t="s">
        <v>102</v>
      </c>
      <c r="E49" t="s">
        <v>103</v>
      </c>
      <c r="F49" t="s">
        <v>6285</v>
      </c>
      <c r="G49" t="s">
        <v>6338</v>
      </c>
      <c r="K49">
        <v>1</v>
      </c>
    </row>
    <row r="50" spans="1:11" x14ac:dyDescent="0.25">
      <c r="A50" t="s">
        <v>1346</v>
      </c>
      <c r="B50" t="s">
        <v>1356</v>
      </c>
      <c r="C50" t="s">
        <v>6284</v>
      </c>
      <c r="D50" t="s">
        <v>102</v>
      </c>
      <c r="E50" t="s">
        <v>6296</v>
      </c>
      <c r="F50" t="s">
        <v>6297</v>
      </c>
      <c r="G50" t="s">
        <v>6339</v>
      </c>
      <c r="K50">
        <v>1</v>
      </c>
    </row>
    <row r="51" spans="1:11" x14ac:dyDescent="0.25">
      <c r="A51" t="s">
        <v>1346</v>
      </c>
      <c r="B51" t="s">
        <v>1356</v>
      </c>
      <c r="C51" t="s">
        <v>6289</v>
      </c>
      <c r="D51" t="s">
        <v>102</v>
      </c>
      <c r="E51" t="s">
        <v>103</v>
      </c>
      <c r="F51" t="s">
        <v>6286</v>
      </c>
      <c r="G51" t="s">
        <v>6340</v>
      </c>
      <c r="K51">
        <v>1</v>
      </c>
    </row>
    <row r="52" spans="1:11" x14ac:dyDescent="0.25">
      <c r="A52" t="s">
        <v>2375</v>
      </c>
      <c r="B52" t="s">
        <v>2379</v>
      </c>
      <c r="C52" t="s">
        <v>6284</v>
      </c>
      <c r="D52" t="s">
        <v>102</v>
      </c>
      <c r="E52" t="s">
        <v>6341</v>
      </c>
      <c r="F52" t="s">
        <v>6342</v>
      </c>
      <c r="G52" t="s">
        <v>6343</v>
      </c>
      <c r="K52">
        <v>1</v>
      </c>
    </row>
    <row r="53" spans="1:11" x14ac:dyDescent="0.25">
      <c r="A53" t="s">
        <v>2375</v>
      </c>
      <c r="B53" t="s">
        <v>2379</v>
      </c>
      <c r="C53" t="s">
        <v>6289</v>
      </c>
      <c r="D53" t="s">
        <v>102</v>
      </c>
      <c r="E53" t="s">
        <v>6341</v>
      </c>
      <c r="F53" t="s">
        <v>6342</v>
      </c>
      <c r="G53" t="s">
        <v>6343</v>
      </c>
      <c r="K53">
        <v>1</v>
      </c>
    </row>
    <row r="54" spans="1:11" x14ac:dyDescent="0.25">
      <c r="A54" t="s">
        <v>2504</v>
      </c>
      <c r="B54" t="s">
        <v>2511</v>
      </c>
      <c r="C54" t="s">
        <v>6284</v>
      </c>
      <c r="D54" t="s">
        <v>102</v>
      </c>
      <c r="E54" t="s">
        <v>103</v>
      </c>
      <c r="F54" t="s">
        <v>294</v>
      </c>
      <c r="G54" t="s">
        <v>6344</v>
      </c>
      <c r="K54">
        <v>1</v>
      </c>
    </row>
    <row r="55" spans="1:11" x14ac:dyDescent="0.25">
      <c r="A55" t="s">
        <v>2504</v>
      </c>
      <c r="B55" t="s">
        <v>2511</v>
      </c>
      <c r="C55" t="s">
        <v>6289</v>
      </c>
      <c r="D55" t="s">
        <v>102</v>
      </c>
      <c r="E55" t="s">
        <v>103</v>
      </c>
      <c r="F55" t="s">
        <v>294</v>
      </c>
      <c r="G55" t="s">
        <v>6345</v>
      </c>
      <c r="K55">
        <v>1</v>
      </c>
    </row>
    <row r="56" spans="1:11" x14ac:dyDescent="0.25">
      <c r="A56" t="s">
        <v>1523</v>
      </c>
      <c r="B56" t="s">
        <v>1529</v>
      </c>
      <c r="C56" t="s">
        <v>6284</v>
      </c>
      <c r="D56" t="s">
        <v>102</v>
      </c>
      <c r="E56" t="s">
        <v>6346</v>
      </c>
      <c r="F56" t="s">
        <v>6347</v>
      </c>
      <c r="G56" t="s">
        <v>6348</v>
      </c>
      <c r="K56">
        <v>1</v>
      </c>
    </row>
    <row r="57" spans="1:11" x14ac:dyDescent="0.25">
      <c r="A57" t="s">
        <v>1523</v>
      </c>
      <c r="B57" t="s">
        <v>1529</v>
      </c>
      <c r="C57" t="s">
        <v>6289</v>
      </c>
      <c r="D57" t="s">
        <v>102</v>
      </c>
      <c r="E57" t="s">
        <v>6346</v>
      </c>
      <c r="F57" t="s">
        <v>6347</v>
      </c>
      <c r="G57" t="s">
        <v>6348</v>
      </c>
      <c r="K57">
        <v>1</v>
      </c>
    </row>
    <row r="58" spans="1:11" x14ac:dyDescent="0.25">
      <c r="A58" t="s">
        <v>1376</v>
      </c>
      <c r="B58" t="s">
        <v>1383</v>
      </c>
      <c r="C58" t="s">
        <v>6284</v>
      </c>
      <c r="D58" t="s">
        <v>102</v>
      </c>
      <c r="E58" t="s">
        <v>103</v>
      </c>
      <c r="F58" t="s">
        <v>294</v>
      </c>
      <c r="G58" t="s">
        <v>6349</v>
      </c>
      <c r="K58">
        <v>1</v>
      </c>
    </row>
    <row r="59" spans="1:11" x14ac:dyDescent="0.25">
      <c r="A59" t="s">
        <v>1376</v>
      </c>
      <c r="B59" t="s">
        <v>1383</v>
      </c>
      <c r="C59" t="s">
        <v>6289</v>
      </c>
      <c r="D59" t="s">
        <v>102</v>
      </c>
      <c r="E59" t="s">
        <v>103</v>
      </c>
      <c r="F59" t="s">
        <v>294</v>
      </c>
      <c r="G59" t="s">
        <v>6349</v>
      </c>
      <c r="K59">
        <v>1</v>
      </c>
    </row>
    <row r="60" spans="1:11" x14ac:dyDescent="0.25">
      <c r="A60" t="s">
        <v>3035</v>
      </c>
      <c r="B60" t="s">
        <v>3041</v>
      </c>
      <c r="C60" t="s">
        <v>6284</v>
      </c>
      <c r="D60" t="s">
        <v>102</v>
      </c>
      <c r="E60" t="s">
        <v>103</v>
      </c>
      <c r="F60" t="s">
        <v>6285</v>
      </c>
      <c r="G60" t="s">
        <v>6350</v>
      </c>
      <c r="K60">
        <v>1</v>
      </c>
    </row>
    <row r="61" spans="1:11" x14ac:dyDescent="0.25">
      <c r="A61" t="s">
        <v>3035</v>
      </c>
      <c r="B61" t="s">
        <v>3041</v>
      </c>
      <c r="C61" t="s">
        <v>6289</v>
      </c>
      <c r="D61" t="s">
        <v>102</v>
      </c>
      <c r="E61" t="s">
        <v>6351</v>
      </c>
      <c r="G61" t="s">
        <v>6352</v>
      </c>
      <c r="K61">
        <v>1</v>
      </c>
    </row>
    <row r="62" spans="1:11" x14ac:dyDescent="0.25">
      <c r="A62" t="s">
        <v>3088</v>
      </c>
      <c r="B62" t="s">
        <v>3091</v>
      </c>
      <c r="C62" t="s">
        <v>6284</v>
      </c>
      <c r="D62" t="s">
        <v>102</v>
      </c>
      <c r="E62" t="s">
        <v>103</v>
      </c>
      <c r="F62" t="s">
        <v>294</v>
      </c>
      <c r="G62" t="s">
        <v>6353</v>
      </c>
      <c r="K62">
        <v>1</v>
      </c>
    </row>
    <row r="63" spans="1:11" x14ac:dyDescent="0.25">
      <c r="A63" t="s">
        <v>3088</v>
      </c>
      <c r="B63" t="s">
        <v>3091</v>
      </c>
      <c r="C63" t="s">
        <v>6289</v>
      </c>
      <c r="D63" t="s">
        <v>102</v>
      </c>
      <c r="E63" t="s">
        <v>103</v>
      </c>
      <c r="F63" t="s">
        <v>294</v>
      </c>
      <c r="G63" t="s">
        <v>6353</v>
      </c>
      <c r="K63">
        <v>1</v>
      </c>
    </row>
    <row r="64" spans="1:11" x14ac:dyDescent="0.25">
      <c r="A64" t="s">
        <v>1688</v>
      </c>
      <c r="B64" t="s">
        <v>1692</v>
      </c>
      <c r="C64" t="s">
        <v>6284</v>
      </c>
      <c r="D64" t="s">
        <v>102</v>
      </c>
      <c r="E64" t="s">
        <v>6296</v>
      </c>
      <c r="F64" t="s">
        <v>6354</v>
      </c>
      <c r="G64" t="s">
        <v>6355</v>
      </c>
      <c r="K64">
        <v>1</v>
      </c>
    </row>
    <row r="65" spans="1:11" x14ac:dyDescent="0.25">
      <c r="A65" t="s">
        <v>1688</v>
      </c>
      <c r="B65" t="s">
        <v>1692</v>
      </c>
      <c r="C65" t="s">
        <v>6289</v>
      </c>
      <c r="D65" t="s">
        <v>102</v>
      </c>
      <c r="E65" t="s">
        <v>103</v>
      </c>
      <c r="F65" t="s">
        <v>6356</v>
      </c>
      <c r="G65" t="s">
        <v>6357</v>
      </c>
      <c r="K65">
        <v>1</v>
      </c>
    </row>
    <row r="66" spans="1:11" x14ac:dyDescent="0.25">
      <c r="A66" t="s">
        <v>1337</v>
      </c>
      <c r="B66" t="s">
        <v>1341</v>
      </c>
      <c r="C66" t="s">
        <v>6284</v>
      </c>
      <c r="D66" t="s">
        <v>102</v>
      </c>
      <c r="E66" t="s">
        <v>6358</v>
      </c>
      <c r="F66" t="s">
        <v>6359</v>
      </c>
      <c r="G66" t="s">
        <v>6360</v>
      </c>
      <c r="K66">
        <v>1</v>
      </c>
    </row>
    <row r="67" spans="1:11" x14ac:dyDescent="0.25">
      <c r="A67" t="s">
        <v>1337</v>
      </c>
      <c r="B67" t="s">
        <v>1341</v>
      </c>
      <c r="C67" t="s">
        <v>6289</v>
      </c>
      <c r="D67" t="s">
        <v>102</v>
      </c>
      <c r="E67" t="s">
        <v>6358</v>
      </c>
      <c r="F67" t="s">
        <v>6359</v>
      </c>
      <c r="G67" t="s">
        <v>6360</v>
      </c>
      <c r="K67">
        <v>1</v>
      </c>
    </row>
    <row r="68" spans="1:11" x14ac:dyDescent="0.25">
      <c r="A68" t="s">
        <v>2608</v>
      </c>
      <c r="B68" t="s">
        <v>3427</v>
      </c>
      <c r="C68" t="s">
        <v>6284</v>
      </c>
      <c r="D68" t="s">
        <v>102</v>
      </c>
      <c r="E68" t="s">
        <v>103</v>
      </c>
      <c r="F68" t="s">
        <v>6361</v>
      </c>
      <c r="G68" t="s">
        <v>6362</v>
      </c>
      <c r="K68">
        <v>1</v>
      </c>
    </row>
    <row r="69" spans="1:11" x14ac:dyDescent="0.25">
      <c r="A69" t="s">
        <v>2608</v>
      </c>
      <c r="B69" t="s">
        <v>3427</v>
      </c>
      <c r="C69" t="s">
        <v>6289</v>
      </c>
      <c r="D69" t="s">
        <v>102</v>
      </c>
      <c r="E69" t="s">
        <v>103</v>
      </c>
      <c r="F69" t="s">
        <v>6361</v>
      </c>
      <c r="G69" t="s">
        <v>6362</v>
      </c>
      <c r="K69">
        <v>1</v>
      </c>
    </row>
    <row r="70" spans="1:11" x14ac:dyDescent="0.25">
      <c r="A70" t="s">
        <v>2679</v>
      </c>
      <c r="B70" t="s">
        <v>2682</v>
      </c>
      <c r="C70" t="s">
        <v>6284</v>
      </c>
      <c r="D70" t="s">
        <v>102</v>
      </c>
      <c r="E70" t="s">
        <v>6341</v>
      </c>
      <c r="F70" t="s">
        <v>6363</v>
      </c>
      <c r="G70" t="s">
        <v>6364</v>
      </c>
      <c r="K70">
        <v>1</v>
      </c>
    </row>
    <row r="71" spans="1:11" x14ac:dyDescent="0.25">
      <c r="A71" t="s">
        <v>2679</v>
      </c>
      <c r="B71" t="s">
        <v>2682</v>
      </c>
      <c r="C71" t="s">
        <v>6289</v>
      </c>
      <c r="D71" t="s">
        <v>102</v>
      </c>
      <c r="E71" t="s">
        <v>6341</v>
      </c>
      <c r="F71" t="s">
        <v>6342</v>
      </c>
      <c r="G71" t="s">
        <v>6364</v>
      </c>
      <c r="K71">
        <v>1</v>
      </c>
    </row>
    <row r="72" spans="1:11" x14ac:dyDescent="0.25">
      <c r="A72" t="s">
        <v>1829</v>
      </c>
      <c r="B72" t="s">
        <v>1832</v>
      </c>
      <c r="C72" t="s">
        <v>6284</v>
      </c>
      <c r="D72" t="s">
        <v>102</v>
      </c>
      <c r="E72" t="s">
        <v>6296</v>
      </c>
      <c r="F72" t="s">
        <v>6313</v>
      </c>
      <c r="G72" t="s">
        <v>6365</v>
      </c>
      <c r="K72">
        <v>1</v>
      </c>
    </row>
    <row r="73" spans="1:11" x14ac:dyDescent="0.25">
      <c r="A73" t="s">
        <v>1829</v>
      </c>
      <c r="B73" t="s">
        <v>1832</v>
      </c>
      <c r="C73" t="s">
        <v>6289</v>
      </c>
      <c r="D73" t="s">
        <v>102</v>
      </c>
      <c r="E73" t="s">
        <v>6296</v>
      </c>
      <c r="F73" t="s">
        <v>6313</v>
      </c>
      <c r="G73" t="s">
        <v>6365</v>
      </c>
      <c r="K73">
        <v>1</v>
      </c>
    </row>
    <row r="74" spans="1:11" x14ac:dyDescent="0.25">
      <c r="A74" t="s">
        <v>719</v>
      </c>
      <c r="B74" t="s">
        <v>727</v>
      </c>
      <c r="C74" t="s">
        <v>6284</v>
      </c>
      <c r="D74" t="s">
        <v>102</v>
      </c>
      <c r="E74" t="s">
        <v>6296</v>
      </c>
      <c r="F74" t="s">
        <v>6309</v>
      </c>
      <c r="G74" t="s">
        <v>6366</v>
      </c>
      <c r="K74">
        <v>1</v>
      </c>
    </row>
    <row r="75" spans="1:11" x14ac:dyDescent="0.25">
      <c r="A75" t="s">
        <v>719</v>
      </c>
      <c r="B75" t="s">
        <v>727</v>
      </c>
      <c r="C75" t="s">
        <v>6289</v>
      </c>
      <c r="D75" t="s">
        <v>102</v>
      </c>
      <c r="E75" t="s">
        <v>6296</v>
      </c>
      <c r="F75" t="s">
        <v>6309</v>
      </c>
      <c r="G75" t="s">
        <v>6366</v>
      </c>
      <c r="K75">
        <v>1</v>
      </c>
    </row>
    <row r="76" spans="1:11" x14ac:dyDescent="0.25">
      <c r="A76" t="s">
        <v>1707</v>
      </c>
      <c r="B76" t="s">
        <v>1712</v>
      </c>
      <c r="C76" t="s">
        <v>6284</v>
      </c>
      <c r="D76" t="s">
        <v>102</v>
      </c>
      <c r="E76" t="s">
        <v>103</v>
      </c>
      <c r="F76" t="s">
        <v>6285</v>
      </c>
      <c r="G76" t="s">
        <v>6367</v>
      </c>
      <c r="K76">
        <v>1</v>
      </c>
    </row>
    <row r="77" spans="1:11" x14ac:dyDescent="0.25">
      <c r="A77" t="s">
        <v>1707</v>
      </c>
      <c r="B77" t="s">
        <v>1712</v>
      </c>
      <c r="C77" t="s">
        <v>6289</v>
      </c>
      <c r="D77" t="s">
        <v>102</v>
      </c>
      <c r="E77" t="s">
        <v>103</v>
      </c>
      <c r="F77" t="s">
        <v>6285</v>
      </c>
      <c r="G77" t="s">
        <v>6367</v>
      </c>
      <c r="K77">
        <v>1</v>
      </c>
    </row>
    <row r="78" spans="1:11" x14ac:dyDescent="0.25">
      <c r="A78" t="s">
        <v>2645</v>
      </c>
      <c r="B78" t="s">
        <v>2651</v>
      </c>
      <c r="C78" t="s">
        <v>6284</v>
      </c>
      <c r="D78" t="s">
        <v>102</v>
      </c>
      <c r="E78" t="s">
        <v>103</v>
      </c>
      <c r="F78" t="s">
        <v>6368</v>
      </c>
      <c r="G78" t="s">
        <v>6369</v>
      </c>
      <c r="K78">
        <v>1</v>
      </c>
    </row>
    <row r="79" spans="1:11" x14ac:dyDescent="0.25">
      <c r="A79" t="s">
        <v>2645</v>
      </c>
      <c r="B79" t="s">
        <v>2651</v>
      </c>
      <c r="C79" t="s">
        <v>6289</v>
      </c>
      <c r="D79" t="s">
        <v>102</v>
      </c>
      <c r="E79" t="s">
        <v>103</v>
      </c>
      <c r="F79" t="s">
        <v>6285</v>
      </c>
      <c r="G79" t="s">
        <v>6370</v>
      </c>
      <c r="K79">
        <v>1</v>
      </c>
    </row>
    <row r="80" spans="1:11" x14ac:dyDescent="0.25">
      <c r="A80" t="s">
        <v>2589</v>
      </c>
      <c r="B80" t="s">
        <v>2596</v>
      </c>
      <c r="C80" t="s">
        <v>6284</v>
      </c>
      <c r="D80" t="s">
        <v>102</v>
      </c>
      <c r="E80" t="s">
        <v>103</v>
      </c>
      <c r="F80" t="s">
        <v>294</v>
      </c>
      <c r="G80" t="s">
        <v>6371</v>
      </c>
      <c r="K80">
        <v>1</v>
      </c>
    </row>
    <row r="81" spans="1:11" x14ac:dyDescent="0.25">
      <c r="A81" t="s">
        <v>2589</v>
      </c>
      <c r="B81" t="s">
        <v>2596</v>
      </c>
      <c r="C81" t="s">
        <v>6289</v>
      </c>
      <c r="D81" t="s">
        <v>102</v>
      </c>
      <c r="E81" t="s">
        <v>103</v>
      </c>
      <c r="F81" t="s">
        <v>294</v>
      </c>
      <c r="G81" t="s">
        <v>6372</v>
      </c>
      <c r="K81">
        <v>1</v>
      </c>
    </row>
    <row r="82" spans="1:11" x14ac:dyDescent="0.25">
      <c r="A82" t="s">
        <v>2162</v>
      </c>
      <c r="B82" t="s">
        <v>2167</v>
      </c>
      <c r="C82" t="s">
        <v>6284</v>
      </c>
      <c r="D82" t="s">
        <v>102</v>
      </c>
      <c r="E82" t="s">
        <v>6373</v>
      </c>
      <c r="F82" t="s">
        <v>6374</v>
      </c>
      <c r="G82" t="s">
        <v>6375</v>
      </c>
      <c r="K82">
        <v>1</v>
      </c>
    </row>
    <row r="83" spans="1:11" x14ac:dyDescent="0.25">
      <c r="A83" t="s">
        <v>2162</v>
      </c>
      <c r="B83" t="s">
        <v>2167</v>
      </c>
      <c r="C83" t="s">
        <v>6289</v>
      </c>
      <c r="D83" t="s">
        <v>102</v>
      </c>
      <c r="E83" t="s">
        <v>6373</v>
      </c>
      <c r="F83" t="s">
        <v>6374</v>
      </c>
      <c r="G83" t="s">
        <v>6375</v>
      </c>
      <c r="K83">
        <v>1</v>
      </c>
    </row>
    <row r="84" spans="1:11" x14ac:dyDescent="0.25">
      <c r="A84" t="s">
        <v>3365</v>
      </c>
      <c r="B84" t="s">
        <v>3368</v>
      </c>
      <c r="C84" t="s">
        <v>6284</v>
      </c>
      <c r="D84" t="s">
        <v>102</v>
      </c>
      <c r="E84" t="s">
        <v>103</v>
      </c>
      <c r="F84" t="s">
        <v>294</v>
      </c>
      <c r="G84" t="s">
        <v>6376</v>
      </c>
      <c r="K84">
        <v>1</v>
      </c>
    </row>
    <row r="85" spans="1:11" x14ac:dyDescent="0.25">
      <c r="A85" t="s">
        <v>3365</v>
      </c>
      <c r="B85" t="s">
        <v>3368</v>
      </c>
      <c r="C85" t="s">
        <v>6289</v>
      </c>
      <c r="D85" t="s">
        <v>102</v>
      </c>
      <c r="E85" t="s">
        <v>103</v>
      </c>
      <c r="F85" t="s">
        <v>294</v>
      </c>
      <c r="G85" t="s">
        <v>6376</v>
      </c>
      <c r="K85">
        <v>1</v>
      </c>
    </row>
    <row r="86" spans="1:11" x14ac:dyDescent="0.25">
      <c r="A86" t="s">
        <v>527</v>
      </c>
      <c r="B86" t="s">
        <v>538</v>
      </c>
      <c r="C86" t="s">
        <v>6284</v>
      </c>
      <c r="D86" t="s">
        <v>102</v>
      </c>
      <c r="E86" t="s">
        <v>103</v>
      </c>
      <c r="F86" t="s">
        <v>6377</v>
      </c>
      <c r="G86" t="s">
        <v>6378</v>
      </c>
      <c r="K86">
        <v>1</v>
      </c>
    </row>
    <row r="87" spans="1:11" x14ac:dyDescent="0.25">
      <c r="A87" t="s">
        <v>527</v>
      </c>
      <c r="B87" t="s">
        <v>538</v>
      </c>
      <c r="C87" t="s">
        <v>6289</v>
      </c>
      <c r="D87" t="s">
        <v>102</v>
      </c>
      <c r="E87" t="s">
        <v>103</v>
      </c>
      <c r="F87" t="s">
        <v>6377</v>
      </c>
      <c r="G87" t="s">
        <v>6378</v>
      </c>
      <c r="K87">
        <v>1</v>
      </c>
    </row>
    <row r="88" spans="1:11" x14ac:dyDescent="0.25">
      <c r="A88" t="s">
        <v>2700</v>
      </c>
      <c r="B88" t="s">
        <v>2704</v>
      </c>
      <c r="C88" t="s">
        <v>6284</v>
      </c>
      <c r="D88" t="s">
        <v>102</v>
      </c>
      <c r="E88" t="s">
        <v>6313</v>
      </c>
      <c r="G88" t="s">
        <v>6379</v>
      </c>
      <c r="K88">
        <v>1</v>
      </c>
    </row>
    <row r="89" spans="1:11" x14ac:dyDescent="0.25">
      <c r="A89" t="s">
        <v>2700</v>
      </c>
      <c r="B89" t="s">
        <v>2704</v>
      </c>
      <c r="C89" t="s">
        <v>6289</v>
      </c>
      <c r="D89" t="s">
        <v>102</v>
      </c>
      <c r="E89" t="s">
        <v>6313</v>
      </c>
      <c r="G89" t="s">
        <v>6379</v>
      </c>
      <c r="K89">
        <v>1</v>
      </c>
    </row>
    <row r="90" spans="1:11" x14ac:dyDescent="0.25">
      <c r="A90" t="s">
        <v>971</v>
      </c>
      <c r="B90" t="s">
        <v>978</v>
      </c>
      <c r="C90" t="s">
        <v>6284</v>
      </c>
      <c r="D90" t="s">
        <v>102</v>
      </c>
      <c r="E90" t="s">
        <v>6292</v>
      </c>
      <c r="F90" t="s">
        <v>6380</v>
      </c>
      <c r="G90" t="s">
        <v>6381</v>
      </c>
      <c r="K90">
        <v>1</v>
      </c>
    </row>
    <row r="91" spans="1:11" x14ac:dyDescent="0.25">
      <c r="A91" t="s">
        <v>971</v>
      </c>
      <c r="B91" t="s">
        <v>978</v>
      </c>
      <c r="C91" t="s">
        <v>6289</v>
      </c>
      <c r="D91" t="s">
        <v>102</v>
      </c>
      <c r="E91" t="s">
        <v>103</v>
      </c>
      <c r="F91" t="s">
        <v>6285</v>
      </c>
      <c r="G91" t="s">
        <v>6382</v>
      </c>
      <c r="K91">
        <v>1</v>
      </c>
    </row>
    <row r="92" spans="1:11" x14ac:dyDescent="0.25">
      <c r="A92" t="s">
        <v>1479</v>
      </c>
      <c r="B92" t="s">
        <v>1485</v>
      </c>
      <c r="C92" t="s">
        <v>6284</v>
      </c>
      <c r="D92" t="s">
        <v>102</v>
      </c>
      <c r="E92" t="s">
        <v>6358</v>
      </c>
      <c r="F92" t="s">
        <v>6359</v>
      </c>
      <c r="G92" t="s">
        <v>6383</v>
      </c>
      <c r="K92">
        <v>1</v>
      </c>
    </row>
    <row r="93" spans="1:11" x14ac:dyDescent="0.25">
      <c r="A93" t="s">
        <v>1479</v>
      </c>
      <c r="B93" t="s">
        <v>1485</v>
      </c>
      <c r="C93" t="s">
        <v>6289</v>
      </c>
      <c r="D93" t="s">
        <v>102</v>
      </c>
      <c r="E93" t="s">
        <v>103</v>
      </c>
      <c r="F93" t="s">
        <v>6285</v>
      </c>
      <c r="G93" t="s">
        <v>6384</v>
      </c>
      <c r="K93">
        <v>1</v>
      </c>
    </row>
    <row r="94" spans="1:11" x14ac:dyDescent="0.25">
      <c r="A94" t="s">
        <v>2408</v>
      </c>
      <c r="B94" t="s">
        <v>2412</v>
      </c>
      <c r="C94" t="s">
        <v>6284</v>
      </c>
      <c r="D94" t="s">
        <v>102</v>
      </c>
      <c r="E94" t="s">
        <v>6296</v>
      </c>
      <c r="F94" t="s">
        <v>6297</v>
      </c>
      <c r="G94" t="s">
        <v>6385</v>
      </c>
      <c r="K94">
        <v>1</v>
      </c>
    </row>
    <row r="95" spans="1:11" x14ac:dyDescent="0.25">
      <c r="A95" t="s">
        <v>2408</v>
      </c>
      <c r="B95" t="s">
        <v>2412</v>
      </c>
      <c r="C95" t="s">
        <v>6289</v>
      </c>
      <c r="D95" t="s">
        <v>102</v>
      </c>
      <c r="E95" t="s">
        <v>6296</v>
      </c>
      <c r="F95" t="s">
        <v>6297</v>
      </c>
      <c r="G95" t="s">
        <v>6385</v>
      </c>
      <c r="K95">
        <v>1</v>
      </c>
    </row>
    <row r="96" spans="1:11" x14ac:dyDescent="0.25">
      <c r="A96" t="s">
        <v>2780</v>
      </c>
      <c r="B96" t="s">
        <v>2784</v>
      </c>
      <c r="C96" t="s">
        <v>6284</v>
      </c>
      <c r="D96" t="s">
        <v>102</v>
      </c>
      <c r="E96" t="s">
        <v>103</v>
      </c>
      <c r="F96" t="s">
        <v>6285</v>
      </c>
      <c r="G96" t="s">
        <v>6386</v>
      </c>
      <c r="K96">
        <v>1</v>
      </c>
    </row>
    <row r="97" spans="1:11" x14ac:dyDescent="0.25">
      <c r="A97" t="s">
        <v>2780</v>
      </c>
      <c r="B97" t="s">
        <v>2784</v>
      </c>
      <c r="C97" t="s">
        <v>6289</v>
      </c>
      <c r="D97" t="s">
        <v>102</v>
      </c>
      <c r="E97" t="s">
        <v>103</v>
      </c>
      <c r="F97" t="s">
        <v>6387</v>
      </c>
      <c r="G97" t="s">
        <v>6388</v>
      </c>
      <c r="K97">
        <v>1</v>
      </c>
    </row>
    <row r="98" spans="1:11" x14ac:dyDescent="0.25">
      <c r="A98" t="s">
        <v>2710</v>
      </c>
      <c r="B98" t="s">
        <v>2713</v>
      </c>
      <c r="C98" t="s">
        <v>6284</v>
      </c>
      <c r="D98" t="s">
        <v>102</v>
      </c>
      <c r="E98" t="s">
        <v>6296</v>
      </c>
      <c r="F98" t="s">
        <v>6389</v>
      </c>
      <c r="G98" t="s">
        <v>6390</v>
      </c>
      <c r="K98">
        <v>1</v>
      </c>
    </row>
    <row r="99" spans="1:11" x14ac:dyDescent="0.25">
      <c r="A99" t="s">
        <v>2710</v>
      </c>
      <c r="B99" t="s">
        <v>2713</v>
      </c>
      <c r="C99" t="s">
        <v>6289</v>
      </c>
      <c r="D99" t="s">
        <v>102</v>
      </c>
      <c r="E99" t="s">
        <v>6296</v>
      </c>
      <c r="F99" t="s">
        <v>6389</v>
      </c>
      <c r="G99" t="s">
        <v>6391</v>
      </c>
      <c r="K99">
        <v>1</v>
      </c>
    </row>
    <row r="100" spans="1:11" x14ac:dyDescent="0.25">
      <c r="A100" t="s">
        <v>1501</v>
      </c>
      <c r="B100" t="s">
        <v>1506</v>
      </c>
      <c r="C100" t="s">
        <v>6284</v>
      </c>
      <c r="D100" t="s">
        <v>102</v>
      </c>
      <c r="E100" t="s">
        <v>6341</v>
      </c>
      <c r="F100" t="s">
        <v>6392</v>
      </c>
      <c r="G100" t="s">
        <v>6393</v>
      </c>
      <c r="K100">
        <v>1</v>
      </c>
    </row>
    <row r="101" spans="1:11" x14ac:dyDescent="0.25">
      <c r="A101" t="s">
        <v>1501</v>
      </c>
      <c r="B101" t="s">
        <v>1506</v>
      </c>
      <c r="C101" t="s">
        <v>6289</v>
      </c>
      <c r="D101" t="s">
        <v>102</v>
      </c>
      <c r="E101" t="s">
        <v>103</v>
      </c>
      <c r="F101" t="s">
        <v>6285</v>
      </c>
      <c r="G101" t="s">
        <v>6394</v>
      </c>
      <c r="K101">
        <v>1</v>
      </c>
    </row>
    <row r="102" spans="1:11" x14ac:dyDescent="0.25">
      <c r="A102" t="s">
        <v>1793</v>
      </c>
      <c r="B102" t="s">
        <v>1799</v>
      </c>
      <c r="C102" t="s">
        <v>6284</v>
      </c>
      <c r="D102" t="s">
        <v>102</v>
      </c>
      <c r="E102" t="s">
        <v>6395</v>
      </c>
      <c r="F102" t="s">
        <v>6396</v>
      </c>
      <c r="G102" t="s">
        <v>6397</v>
      </c>
      <c r="K102">
        <v>1</v>
      </c>
    </row>
    <row r="103" spans="1:11" x14ac:dyDescent="0.25">
      <c r="A103" t="s">
        <v>1793</v>
      </c>
      <c r="B103" t="s">
        <v>1799</v>
      </c>
      <c r="C103" t="s">
        <v>6289</v>
      </c>
      <c r="D103" t="s">
        <v>102</v>
      </c>
      <c r="E103" t="s">
        <v>103</v>
      </c>
      <c r="F103" t="s">
        <v>6368</v>
      </c>
      <c r="G103" t="s">
        <v>6398</v>
      </c>
      <c r="K103">
        <v>1</v>
      </c>
    </row>
    <row r="104" spans="1:11" x14ac:dyDescent="0.25">
      <c r="A104" t="s">
        <v>1651</v>
      </c>
      <c r="B104" t="s">
        <v>1657</v>
      </c>
      <c r="C104" t="s">
        <v>6284</v>
      </c>
      <c r="D104" t="s">
        <v>1653</v>
      </c>
      <c r="E104" t="s">
        <v>6399</v>
      </c>
      <c r="F104" t="s">
        <v>6400</v>
      </c>
      <c r="G104" t="s">
        <v>6401</v>
      </c>
      <c r="K104">
        <v>1</v>
      </c>
    </row>
    <row r="105" spans="1:11" x14ac:dyDescent="0.25">
      <c r="A105" t="s">
        <v>1651</v>
      </c>
      <c r="B105" t="s">
        <v>1657</v>
      </c>
      <c r="C105" t="s">
        <v>6289</v>
      </c>
      <c r="D105" t="s">
        <v>102</v>
      </c>
      <c r="E105" t="s">
        <v>103</v>
      </c>
      <c r="F105" t="s">
        <v>6373</v>
      </c>
      <c r="G105" t="s">
        <v>6402</v>
      </c>
      <c r="K105">
        <v>1</v>
      </c>
    </row>
    <row r="106" spans="1:11" x14ac:dyDescent="0.25">
      <c r="A106" t="s">
        <v>1301</v>
      </c>
      <c r="B106" t="s">
        <v>1307</v>
      </c>
      <c r="C106" t="s">
        <v>6284</v>
      </c>
      <c r="D106" t="s">
        <v>102</v>
      </c>
      <c r="E106" t="s">
        <v>103</v>
      </c>
      <c r="F106" t="s">
        <v>294</v>
      </c>
      <c r="G106" t="s">
        <v>6403</v>
      </c>
      <c r="K106">
        <v>1</v>
      </c>
    </row>
    <row r="107" spans="1:11" x14ac:dyDescent="0.25">
      <c r="A107" t="s">
        <v>1301</v>
      </c>
      <c r="B107" t="s">
        <v>1307</v>
      </c>
      <c r="C107" t="s">
        <v>6289</v>
      </c>
      <c r="D107" t="s">
        <v>102</v>
      </c>
      <c r="E107" t="s">
        <v>103</v>
      </c>
      <c r="F107" t="s">
        <v>294</v>
      </c>
      <c r="G107" t="s">
        <v>6404</v>
      </c>
      <c r="K107">
        <v>1</v>
      </c>
    </row>
    <row r="108" spans="1:11" x14ac:dyDescent="0.25">
      <c r="A108" t="s">
        <v>1763</v>
      </c>
      <c r="B108" t="s">
        <v>1768</v>
      </c>
      <c r="C108" t="s">
        <v>6284</v>
      </c>
      <c r="D108" t="s">
        <v>1765</v>
      </c>
      <c r="E108" t="s">
        <v>6405</v>
      </c>
      <c r="G108" t="s">
        <v>6406</v>
      </c>
      <c r="K108">
        <v>1</v>
      </c>
    </row>
    <row r="109" spans="1:11" x14ac:dyDescent="0.25">
      <c r="A109" t="s">
        <v>1763</v>
      </c>
      <c r="B109" t="s">
        <v>1768</v>
      </c>
      <c r="C109" t="s">
        <v>6289</v>
      </c>
      <c r="D109" t="s">
        <v>102</v>
      </c>
      <c r="E109" t="s">
        <v>6315</v>
      </c>
      <c r="F109" t="s">
        <v>6286</v>
      </c>
      <c r="G109" t="s">
        <v>6407</v>
      </c>
      <c r="K109">
        <v>1</v>
      </c>
    </row>
    <row r="110" spans="1:11" x14ac:dyDescent="0.25">
      <c r="A110" t="s">
        <v>3404</v>
      </c>
      <c r="B110" t="s">
        <v>3409</v>
      </c>
      <c r="C110" t="s">
        <v>6284</v>
      </c>
      <c r="D110" t="s">
        <v>102</v>
      </c>
      <c r="E110" t="s">
        <v>103</v>
      </c>
      <c r="F110" t="s">
        <v>6303</v>
      </c>
      <c r="G110" t="s">
        <v>6408</v>
      </c>
      <c r="K110">
        <v>1</v>
      </c>
    </row>
    <row r="111" spans="1:11" x14ac:dyDescent="0.25">
      <c r="A111" t="s">
        <v>3404</v>
      </c>
      <c r="B111" t="s">
        <v>3409</v>
      </c>
      <c r="C111" t="s">
        <v>6289</v>
      </c>
      <c r="D111" t="s">
        <v>102</v>
      </c>
      <c r="E111" t="s">
        <v>103</v>
      </c>
      <c r="F111" t="s">
        <v>6303</v>
      </c>
      <c r="G111" t="s">
        <v>6408</v>
      </c>
      <c r="K111">
        <v>1</v>
      </c>
    </row>
    <row r="112" spans="1:11" x14ac:dyDescent="0.25">
      <c r="A112" t="s">
        <v>3229</v>
      </c>
      <c r="B112" t="s">
        <v>3234</v>
      </c>
      <c r="C112" t="s">
        <v>6284</v>
      </c>
      <c r="D112" t="s">
        <v>102</v>
      </c>
      <c r="E112" t="s">
        <v>103</v>
      </c>
      <c r="F112" t="s">
        <v>6285</v>
      </c>
      <c r="G112" t="s">
        <v>6409</v>
      </c>
      <c r="K112">
        <v>1</v>
      </c>
    </row>
    <row r="113" spans="1:11" x14ac:dyDescent="0.25">
      <c r="A113" t="s">
        <v>3229</v>
      </c>
      <c r="B113" t="s">
        <v>3234</v>
      </c>
      <c r="C113" t="s">
        <v>6289</v>
      </c>
      <c r="D113" t="s">
        <v>102</v>
      </c>
      <c r="E113" t="s">
        <v>103</v>
      </c>
      <c r="G113" t="s">
        <v>6410</v>
      </c>
      <c r="K113">
        <v>1</v>
      </c>
    </row>
    <row r="114" spans="1:11" x14ac:dyDescent="0.25">
      <c r="A114" t="s">
        <v>1025</v>
      </c>
      <c r="B114" t="s">
        <v>1030</v>
      </c>
      <c r="C114" t="s">
        <v>6284</v>
      </c>
      <c r="D114" t="s">
        <v>102</v>
      </c>
      <c r="E114" t="s">
        <v>103</v>
      </c>
      <c r="F114" t="s">
        <v>294</v>
      </c>
      <c r="G114" t="s">
        <v>6411</v>
      </c>
      <c r="K114">
        <v>1</v>
      </c>
    </row>
    <row r="115" spans="1:11" x14ac:dyDescent="0.25">
      <c r="A115" t="s">
        <v>1025</v>
      </c>
      <c r="B115" t="s">
        <v>1030</v>
      </c>
      <c r="C115" t="s">
        <v>6289</v>
      </c>
      <c r="D115" t="s">
        <v>102</v>
      </c>
      <c r="E115" t="s">
        <v>103</v>
      </c>
      <c r="F115" t="s">
        <v>294</v>
      </c>
      <c r="G115" t="s">
        <v>6412</v>
      </c>
      <c r="K115">
        <v>1</v>
      </c>
    </row>
    <row r="116" spans="1:11" x14ac:dyDescent="0.25">
      <c r="A116" t="s">
        <v>924</v>
      </c>
      <c r="B116" t="s">
        <v>931</v>
      </c>
      <c r="C116" t="s">
        <v>6284</v>
      </c>
      <c r="D116" t="s">
        <v>102</v>
      </c>
      <c r="E116" t="s">
        <v>103</v>
      </c>
      <c r="F116" t="s">
        <v>6413</v>
      </c>
      <c r="G116" t="s">
        <v>6414</v>
      </c>
      <c r="K116">
        <v>1</v>
      </c>
    </row>
    <row r="117" spans="1:11" x14ac:dyDescent="0.25">
      <c r="A117" t="s">
        <v>924</v>
      </c>
      <c r="B117" t="s">
        <v>931</v>
      </c>
      <c r="C117" t="s">
        <v>6289</v>
      </c>
      <c r="D117" t="s">
        <v>102</v>
      </c>
      <c r="E117" t="s">
        <v>103</v>
      </c>
      <c r="F117" t="s">
        <v>6413</v>
      </c>
      <c r="G117" t="s">
        <v>6414</v>
      </c>
      <c r="K117">
        <v>1</v>
      </c>
    </row>
    <row r="118" spans="1:11" x14ac:dyDescent="0.25">
      <c r="A118" t="s">
        <v>2181</v>
      </c>
      <c r="B118" t="s">
        <v>2187</v>
      </c>
      <c r="C118" t="s">
        <v>6284</v>
      </c>
      <c r="D118" t="s">
        <v>102</v>
      </c>
      <c r="E118" t="s">
        <v>103</v>
      </c>
      <c r="F118" t="s">
        <v>6285</v>
      </c>
      <c r="G118" t="s">
        <v>6415</v>
      </c>
      <c r="K118">
        <v>1</v>
      </c>
    </row>
    <row r="119" spans="1:11" x14ac:dyDescent="0.25">
      <c r="A119" t="s">
        <v>2181</v>
      </c>
      <c r="B119" t="s">
        <v>2187</v>
      </c>
      <c r="C119" t="s">
        <v>6289</v>
      </c>
      <c r="D119" t="s">
        <v>102</v>
      </c>
      <c r="E119" t="s">
        <v>103</v>
      </c>
      <c r="F119" t="s">
        <v>6285</v>
      </c>
      <c r="G119" t="s">
        <v>6416</v>
      </c>
      <c r="K119">
        <v>1</v>
      </c>
    </row>
    <row r="120" spans="1:11" x14ac:dyDescent="0.25">
      <c r="A120" t="s">
        <v>3312</v>
      </c>
      <c r="B120" t="s">
        <v>3316</v>
      </c>
      <c r="C120" t="s">
        <v>6284</v>
      </c>
      <c r="D120" t="s">
        <v>102</v>
      </c>
      <c r="E120" t="s">
        <v>103</v>
      </c>
      <c r="F120" t="s">
        <v>294</v>
      </c>
      <c r="G120" t="s">
        <v>6417</v>
      </c>
      <c r="K120">
        <v>1</v>
      </c>
    </row>
    <row r="121" spans="1:11" x14ac:dyDescent="0.25">
      <c r="A121" t="s">
        <v>3312</v>
      </c>
      <c r="B121" t="s">
        <v>3316</v>
      </c>
      <c r="C121" t="s">
        <v>6289</v>
      </c>
      <c r="D121" t="s">
        <v>102</v>
      </c>
      <c r="E121" t="s">
        <v>103</v>
      </c>
      <c r="F121" t="s">
        <v>294</v>
      </c>
      <c r="G121" t="s">
        <v>6417</v>
      </c>
      <c r="K121">
        <v>1</v>
      </c>
    </row>
    <row r="122" spans="1:11" x14ac:dyDescent="0.25">
      <c r="A122" t="s">
        <v>652</v>
      </c>
      <c r="B122" t="s">
        <v>658</v>
      </c>
      <c r="C122" t="s">
        <v>6284</v>
      </c>
      <c r="D122" t="s">
        <v>102</v>
      </c>
      <c r="E122" t="s">
        <v>6341</v>
      </c>
      <c r="F122" t="s">
        <v>6418</v>
      </c>
      <c r="G122" t="s">
        <v>6419</v>
      </c>
      <c r="K122">
        <v>1</v>
      </c>
    </row>
    <row r="123" spans="1:11" x14ac:dyDescent="0.25">
      <c r="A123" t="s">
        <v>652</v>
      </c>
      <c r="B123" t="s">
        <v>658</v>
      </c>
      <c r="C123" t="s">
        <v>6289</v>
      </c>
      <c r="D123" t="s">
        <v>102</v>
      </c>
      <c r="E123" t="s">
        <v>6341</v>
      </c>
      <c r="F123" t="s">
        <v>6418</v>
      </c>
      <c r="G123" t="s">
        <v>6419</v>
      </c>
      <c r="K123">
        <v>1</v>
      </c>
    </row>
    <row r="124" spans="1:11" x14ac:dyDescent="0.25">
      <c r="A124" t="s">
        <v>988</v>
      </c>
      <c r="B124" t="s">
        <v>992</v>
      </c>
      <c r="C124" t="s">
        <v>6284</v>
      </c>
      <c r="D124" t="s">
        <v>102</v>
      </c>
      <c r="E124" t="s">
        <v>6296</v>
      </c>
      <c r="F124" t="s">
        <v>6420</v>
      </c>
      <c r="G124" t="s">
        <v>6421</v>
      </c>
      <c r="K124">
        <v>1</v>
      </c>
    </row>
    <row r="125" spans="1:11" x14ac:dyDescent="0.25">
      <c r="A125" t="s">
        <v>988</v>
      </c>
      <c r="B125" t="s">
        <v>992</v>
      </c>
      <c r="C125" t="s">
        <v>6289</v>
      </c>
      <c r="D125" t="s">
        <v>102</v>
      </c>
      <c r="E125" t="s">
        <v>6296</v>
      </c>
      <c r="F125" t="s">
        <v>6420</v>
      </c>
      <c r="G125" t="s">
        <v>6421</v>
      </c>
      <c r="K125">
        <v>1</v>
      </c>
    </row>
    <row r="126" spans="1:11" x14ac:dyDescent="0.25">
      <c r="A126" t="s">
        <v>982</v>
      </c>
      <c r="B126" t="s">
        <v>986</v>
      </c>
      <c r="C126" t="s">
        <v>6284</v>
      </c>
      <c r="D126" t="s">
        <v>102</v>
      </c>
      <c r="E126" t="s">
        <v>6296</v>
      </c>
      <c r="F126" t="s">
        <v>6354</v>
      </c>
      <c r="G126" t="s">
        <v>6422</v>
      </c>
      <c r="K126">
        <v>1</v>
      </c>
    </row>
    <row r="127" spans="1:11" x14ac:dyDescent="0.25">
      <c r="A127" t="s">
        <v>982</v>
      </c>
      <c r="B127" t="s">
        <v>986</v>
      </c>
      <c r="C127" t="s">
        <v>6289</v>
      </c>
      <c r="D127" t="s">
        <v>102</v>
      </c>
      <c r="E127" t="s">
        <v>6296</v>
      </c>
      <c r="F127" t="s">
        <v>6354</v>
      </c>
      <c r="G127" t="s">
        <v>6422</v>
      </c>
      <c r="K127">
        <v>1</v>
      </c>
    </row>
    <row r="128" spans="1:11" x14ac:dyDescent="0.25">
      <c r="A128" t="s">
        <v>1363</v>
      </c>
      <c r="B128" t="s">
        <v>1369</v>
      </c>
      <c r="C128" t="s">
        <v>6284</v>
      </c>
      <c r="D128" t="s">
        <v>102</v>
      </c>
      <c r="E128" t="s">
        <v>103</v>
      </c>
      <c r="F128" t="s">
        <v>294</v>
      </c>
      <c r="G128" t="s">
        <v>6423</v>
      </c>
      <c r="K128">
        <v>1</v>
      </c>
    </row>
    <row r="129" spans="1:11" x14ac:dyDescent="0.25">
      <c r="A129" t="s">
        <v>1363</v>
      </c>
      <c r="B129" t="s">
        <v>1369</v>
      </c>
      <c r="C129" t="s">
        <v>6289</v>
      </c>
      <c r="D129" t="s">
        <v>102</v>
      </c>
      <c r="E129" t="s">
        <v>103</v>
      </c>
      <c r="F129" t="s">
        <v>294</v>
      </c>
      <c r="G129" t="s">
        <v>6423</v>
      </c>
      <c r="K129">
        <v>1</v>
      </c>
    </row>
    <row r="130" spans="1:11" x14ac:dyDescent="0.25">
      <c r="A130" t="s">
        <v>3047</v>
      </c>
      <c r="B130" t="s">
        <v>3052</v>
      </c>
      <c r="C130" t="s">
        <v>6284</v>
      </c>
      <c r="D130" t="s">
        <v>102</v>
      </c>
      <c r="E130" t="s">
        <v>6313</v>
      </c>
      <c r="G130" t="s">
        <v>6424</v>
      </c>
      <c r="K130">
        <v>1</v>
      </c>
    </row>
    <row r="131" spans="1:11" x14ac:dyDescent="0.25">
      <c r="A131" t="s">
        <v>3047</v>
      </c>
      <c r="B131" t="s">
        <v>3052</v>
      </c>
      <c r="C131" t="s">
        <v>6289</v>
      </c>
      <c r="D131" t="s">
        <v>102</v>
      </c>
      <c r="E131" t="s">
        <v>103</v>
      </c>
      <c r="G131" t="s">
        <v>6425</v>
      </c>
      <c r="K131">
        <v>1</v>
      </c>
    </row>
    <row r="132" spans="1:11" x14ac:dyDescent="0.25">
      <c r="A132" t="s">
        <v>873</v>
      </c>
      <c r="B132" t="s">
        <v>884</v>
      </c>
      <c r="C132" t="s">
        <v>6284</v>
      </c>
      <c r="D132" t="s">
        <v>102</v>
      </c>
      <c r="E132" t="s">
        <v>6341</v>
      </c>
      <c r="F132" t="s">
        <v>6426</v>
      </c>
      <c r="G132" t="s">
        <v>6427</v>
      </c>
      <c r="K132">
        <v>1</v>
      </c>
    </row>
    <row r="133" spans="1:11" x14ac:dyDescent="0.25">
      <c r="A133" t="s">
        <v>873</v>
      </c>
      <c r="B133" t="s">
        <v>884</v>
      </c>
      <c r="C133" t="s">
        <v>6289</v>
      </c>
      <c r="D133" t="s">
        <v>102</v>
      </c>
      <c r="E133" t="s">
        <v>6341</v>
      </c>
      <c r="F133" t="s">
        <v>6426</v>
      </c>
      <c r="G133" t="s">
        <v>6427</v>
      </c>
      <c r="K133">
        <v>1</v>
      </c>
    </row>
    <row r="134" spans="1:11" x14ac:dyDescent="0.25">
      <c r="A134" t="s">
        <v>3218</v>
      </c>
      <c r="B134" t="s">
        <v>3223</v>
      </c>
      <c r="C134" t="s">
        <v>6284</v>
      </c>
      <c r="D134" t="s">
        <v>1653</v>
      </c>
      <c r="F134" t="s">
        <v>6428</v>
      </c>
      <c r="G134" t="s">
        <v>6429</v>
      </c>
      <c r="K134">
        <v>1</v>
      </c>
    </row>
    <row r="135" spans="1:11" x14ac:dyDescent="0.25">
      <c r="A135" t="s">
        <v>3218</v>
      </c>
      <c r="B135" t="s">
        <v>3223</v>
      </c>
      <c r="C135" t="s">
        <v>6289</v>
      </c>
      <c r="D135" t="s">
        <v>102</v>
      </c>
      <c r="E135" t="s">
        <v>103</v>
      </c>
      <c r="F135" t="s">
        <v>6285</v>
      </c>
      <c r="G135" t="s">
        <v>6430</v>
      </c>
      <c r="K135">
        <v>1</v>
      </c>
    </row>
    <row r="136" spans="1:11" x14ac:dyDescent="0.25">
      <c r="A136" t="s">
        <v>2060</v>
      </c>
      <c r="B136" t="s">
        <v>2065</v>
      </c>
      <c r="C136" t="s">
        <v>6284</v>
      </c>
      <c r="D136" t="s">
        <v>102</v>
      </c>
      <c r="E136" t="s">
        <v>6346</v>
      </c>
      <c r="F136" t="s">
        <v>6431</v>
      </c>
      <c r="G136" t="s">
        <v>6432</v>
      </c>
      <c r="K136">
        <v>1</v>
      </c>
    </row>
    <row r="137" spans="1:11" x14ac:dyDescent="0.25">
      <c r="A137" t="s">
        <v>2060</v>
      </c>
      <c r="B137" t="s">
        <v>2065</v>
      </c>
      <c r="C137" t="s">
        <v>6289</v>
      </c>
      <c r="D137" t="s">
        <v>102</v>
      </c>
      <c r="E137" t="s">
        <v>6346</v>
      </c>
      <c r="F137" t="s">
        <v>6431</v>
      </c>
      <c r="G137" t="s">
        <v>6432</v>
      </c>
      <c r="K137">
        <v>1</v>
      </c>
    </row>
    <row r="138" spans="1:11" x14ac:dyDescent="0.25">
      <c r="A138" t="s">
        <v>3552</v>
      </c>
      <c r="B138" t="s">
        <v>3557</v>
      </c>
      <c r="C138" t="s">
        <v>6284</v>
      </c>
      <c r="D138" t="s">
        <v>102</v>
      </c>
      <c r="E138" t="s">
        <v>103</v>
      </c>
      <c r="F138" t="s">
        <v>6285</v>
      </c>
      <c r="G138" t="s">
        <v>6433</v>
      </c>
      <c r="K138">
        <v>1</v>
      </c>
    </row>
    <row r="139" spans="1:11" x14ac:dyDescent="0.25">
      <c r="A139" t="s">
        <v>3552</v>
      </c>
      <c r="B139" t="s">
        <v>3557</v>
      </c>
      <c r="C139" t="s">
        <v>6289</v>
      </c>
      <c r="D139" t="s">
        <v>102</v>
      </c>
      <c r="E139" t="s">
        <v>103</v>
      </c>
      <c r="F139" t="s">
        <v>6303</v>
      </c>
      <c r="G139" t="s">
        <v>6434</v>
      </c>
      <c r="K139">
        <v>1</v>
      </c>
    </row>
    <row r="140" spans="1:11" x14ac:dyDescent="0.25">
      <c r="A140" t="s">
        <v>2656</v>
      </c>
      <c r="B140" t="s">
        <v>2659</v>
      </c>
      <c r="C140" t="s">
        <v>6284</v>
      </c>
      <c r="D140" t="s">
        <v>102</v>
      </c>
      <c r="E140" t="s">
        <v>103</v>
      </c>
      <c r="F140" t="s">
        <v>294</v>
      </c>
      <c r="G140" t="s">
        <v>6435</v>
      </c>
      <c r="K140">
        <v>1</v>
      </c>
    </row>
    <row r="141" spans="1:11" x14ac:dyDescent="0.25">
      <c r="A141" t="s">
        <v>2656</v>
      </c>
      <c r="B141" t="s">
        <v>2659</v>
      </c>
      <c r="C141" t="s">
        <v>6289</v>
      </c>
      <c r="D141" t="s">
        <v>102</v>
      </c>
      <c r="E141" t="s">
        <v>103</v>
      </c>
      <c r="F141" t="s">
        <v>294</v>
      </c>
      <c r="G141" t="s">
        <v>6435</v>
      </c>
      <c r="K141">
        <v>1</v>
      </c>
    </row>
    <row r="142" spans="1:11" x14ac:dyDescent="0.25">
      <c r="A142" t="s">
        <v>2359</v>
      </c>
      <c r="B142" t="s">
        <v>2363</v>
      </c>
      <c r="C142" t="s">
        <v>6284</v>
      </c>
      <c r="D142" t="s">
        <v>102</v>
      </c>
      <c r="E142" t="s">
        <v>6292</v>
      </c>
      <c r="F142" t="s">
        <v>6436</v>
      </c>
      <c r="G142" t="s">
        <v>6437</v>
      </c>
      <c r="K142">
        <v>1</v>
      </c>
    </row>
    <row r="143" spans="1:11" x14ac:dyDescent="0.25">
      <c r="A143" t="s">
        <v>2359</v>
      </c>
      <c r="B143" t="s">
        <v>2363</v>
      </c>
      <c r="C143" t="s">
        <v>6289</v>
      </c>
      <c r="D143" t="s">
        <v>102</v>
      </c>
      <c r="E143" t="s">
        <v>103</v>
      </c>
      <c r="F143" t="s">
        <v>294</v>
      </c>
      <c r="G143" t="s">
        <v>6438</v>
      </c>
      <c r="K143">
        <v>1</v>
      </c>
    </row>
    <row r="144" spans="1:11" x14ac:dyDescent="0.25">
      <c r="A144" t="s">
        <v>1557</v>
      </c>
      <c r="B144" t="s">
        <v>1563</v>
      </c>
      <c r="C144" t="s">
        <v>6284</v>
      </c>
      <c r="D144" t="s">
        <v>102</v>
      </c>
      <c r="E144" t="s">
        <v>6296</v>
      </c>
      <c r="F144" t="s">
        <v>6297</v>
      </c>
      <c r="G144" t="s">
        <v>6439</v>
      </c>
      <c r="K144">
        <v>1</v>
      </c>
    </row>
    <row r="145" spans="1:11" x14ac:dyDescent="0.25">
      <c r="A145" t="s">
        <v>1557</v>
      </c>
      <c r="B145" t="s">
        <v>1563</v>
      </c>
      <c r="C145" t="s">
        <v>6289</v>
      </c>
      <c r="D145" t="s">
        <v>102</v>
      </c>
      <c r="E145" t="s">
        <v>103</v>
      </c>
      <c r="F145" t="s">
        <v>6303</v>
      </c>
      <c r="G145" t="s">
        <v>6440</v>
      </c>
      <c r="K145">
        <v>1</v>
      </c>
    </row>
    <row r="146" spans="1:11" x14ac:dyDescent="0.25">
      <c r="A146" t="s">
        <v>2765</v>
      </c>
      <c r="B146" t="s">
        <v>2768</v>
      </c>
      <c r="C146" t="s">
        <v>6284</v>
      </c>
      <c r="D146" t="s">
        <v>102</v>
      </c>
      <c r="E146" t="s">
        <v>6292</v>
      </c>
      <c r="F146" t="s">
        <v>6441</v>
      </c>
      <c r="G146" t="s">
        <v>6442</v>
      </c>
      <c r="K146">
        <v>1</v>
      </c>
    </row>
    <row r="147" spans="1:11" x14ac:dyDescent="0.25">
      <c r="A147" t="s">
        <v>2765</v>
      </c>
      <c r="B147" t="s">
        <v>2768</v>
      </c>
      <c r="C147" t="s">
        <v>6289</v>
      </c>
      <c r="D147" t="s">
        <v>102</v>
      </c>
      <c r="E147" t="s">
        <v>6292</v>
      </c>
      <c r="F147" t="s">
        <v>6441</v>
      </c>
      <c r="G147" t="s">
        <v>6442</v>
      </c>
      <c r="K147">
        <v>1</v>
      </c>
    </row>
    <row r="148" spans="1:11" x14ac:dyDescent="0.25">
      <c r="A148" t="s">
        <v>2826</v>
      </c>
      <c r="B148" t="s">
        <v>2830</v>
      </c>
      <c r="C148" t="s">
        <v>6284</v>
      </c>
      <c r="D148" t="s">
        <v>102</v>
      </c>
      <c r="E148" t="s">
        <v>103</v>
      </c>
      <c r="F148" t="s">
        <v>294</v>
      </c>
      <c r="G148" t="s">
        <v>6443</v>
      </c>
      <c r="K148">
        <v>1</v>
      </c>
    </row>
    <row r="149" spans="1:11" x14ac:dyDescent="0.25">
      <c r="A149" t="s">
        <v>2826</v>
      </c>
      <c r="B149" t="s">
        <v>2830</v>
      </c>
      <c r="C149" t="s">
        <v>6289</v>
      </c>
      <c r="D149" t="s">
        <v>102</v>
      </c>
      <c r="E149" t="s">
        <v>103</v>
      </c>
      <c r="F149" t="s">
        <v>294</v>
      </c>
      <c r="G149" t="s">
        <v>6443</v>
      </c>
      <c r="K149">
        <v>1</v>
      </c>
    </row>
    <row r="150" spans="1:11" x14ac:dyDescent="0.25">
      <c r="A150" t="s">
        <v>2153</v>
      </c>
      <c r="B150" t="s">
        <v>2158</v>
      </c>
      <c r="C150" t="s">
        <v>6284</v>
      </c>
      <c r="D150" t="s">
        <v>102</v>
      </c>
      <c r="E150" t="s">
        <v>103</v>
      </c>
      <c r="F150" t="s">
        <v>294</v>
      </c>
      <c r="G150" t="s">
        <v>6444</v>
      </c>
      <c r="K150">
        <v>1</v>
      </c>
    </row>
    <row r="151" spans="1:11" x14ac:dyDescent="0.25">
      <c r="A151" t="s">
        <v>2153</v>
      </c>
      <c r="B151" t="s">
        <v>2158</v>
      </c>
      <c r="C151" t="s">
        <v>6289</v>
      </c>
      <c r="D151" t="s">
        <v>102</v>
      </c>
      <c r="E151" t="s">
        <v>103</v>
      </c>
      <c r="F151" t="s">
        <v>294</v>
      </c>
      <c r="G151" t="s">
        <v>6444</v>
      </c>
      <c r="K151">
        <v>1</v>
      </c>
    </row>
    <row r="152" spans="1:11" x14ac:dyDescent="0.25">
      <c r="A152" t="s">
        <v>1827</v>
      </c>
      <c r="B152" t="s">
        <v>3107</v>
      </c>
      <c r="C152" t="s">
        <v>6284</v>
      </c>
      <c r="D152" t="s">
        <v>102</v>
      </c>
      <c r="E152" t="s">
        <v>6296</v>
      </c>
      <c r="F152" t="s">
        <v>6354</v>
      </c>
      <c r="G152" t="s">
        <v>6445</v>
      </c>
      <c r="K152">
        <v>1</v>
      </c>
    </row>
    <row r="153" spans="1:11" x14ac:dyDescent="0.25">
      <c r="A153" t="s">
        <v>1827</v>
      </c>
      <c r="B153" t="s">
        <v>3107</v>
      </c>
      <c r="C153" t="s">
        <v>6289</v>
      </c>
      <c r="D153" t="s">
        <v>102</v>
      </c>
      <c r="E153" t="s">
        <v>103</v>
      </c>
      <c r="F153" t="s">
        <v>6285</v>
      </c>
      <c r="G153" t="s">
        <v>6446</v>
      </c>
      <c r="K153">
        <v>1</v>
      </c>
    </row>
    <row r="154" spans="1:11" x14ac:dyDescent="0.25">
      <c r="A154" t="s">
        <v>1886</v>
      </c>
      <c r="B154" t="s">
        <v>1889</v>
      </c>
      <c r="C154" t="s">
        <v>6284</v>
      </c>
      <c r="D154" t="s">
        <v>102</v>
      </c>
      <c r="E154" t="s">
        <v>6296</v>
      </c>
      <c r="F154" t="s">
        <v>6447</v>
      </c>
      <c r="G154" t="s">
        <v>6448</v>
      </c>
      <c r="K154">
        <v>1</v>
      </c>
    </row>
    <row r="155" spans="1:11" x14ac:dyDescent="0.25">
      <c r="A155" t="s">
        <v>1886</v>
      </c>
      <c r="B155" t="s">
        <v>1889</v>
      </c>
      <c r="C155" t="s">
        <v>6289</v>
      </c>
      <c r="D155" t="s">
        <v>102</v>
      </c>
      <c r="E155" t="s">
        <v>6296</v>
      </c>
      <c r="F155" t="s">
        <v>6447</v>
      </c>
      <c r="G155" t="s">
        <v>6448</v>
      </c>
      <c r="K155">
        <v>1</v>
      </c>
    </row>
    <row r="156" spans="1:11" x14ac:dyDescent="0.25">
      <c r="A156" t="s">
        <v>1282</v>
      </c>
      <c r="B156" t="s">
        <v>1288</v>
      </c>
      <c r="C156" t="s">
        <v>6284</v>
      </c>
      <c r="D156" t="s">
        <v>102</v>
      </c>
      <c r="E156" t="s">
        <v>103</v>
      </c>
      <c r="F156" t="s">
        <v>294</v>
      </c>
      <c r="G156" t="s">
        <v>6449</v>
      </c>
      <c r="K156">
        <v>1</v>
      </c>
    </row>
    <row r="157" spans="1:11" x14ac:dyDescent="0.25">
      <c r="A157" t="s">
        <v>1282</v>
      </c>
      <c r="B157" t="s">
        <v>1288</v>
      </c>
      <c r="C157" t="s">
        <v>6289</v>
      </c>
      <c r="D157" t="s">
        <v>102</v>
      </c>
      <c r="E157" t="s">
        <v>103</v>
      </c>
      <c r="F157" t="s">
        <v>294</v>
      </c>
      <c r="G157" t="s">
        <v>6449</v>
      </c>
      <c r="K157">
        <v>1</v>
      </c>
    </row>
    <row r="158" spans="1:11" x14ac:dyDescent="0.25">
      <c r="A158" t="s">
        <v>2070</v>
      </c>
      <c r="B158" t="s">
        <v>2074</v>
      </c>
      <c r="C158" t="s">
        <v>6284</v>
      </c>
      <c r="D158" t="s">
        <v>102</v>
      </c>
      <c r="E158" t="s">
        <v>103</v>
      </c>
      <c r="F158" t="s">
        <v>294</v>
      </c>
      <c r="G158" t="s">
        <v>6450</v>
      </c>
      <c r="K158">
        <v>1</v>
      </c>
    </row>
    <row r="159" spans="1:11" x14ac:dyDescent="0.25">
      <c r="A159" t="s">
        <v>2070</v>
      </c>
      <c r="B159" t="s">
        <v>2074</v>
      </c>
      <c r="C159" t="s">
        <v>6289</v>
      </c>
      <c r="D159" t="s">
        <v>102</v>
      </c>
      <c r="E159" t="s">
        <v>103</v>
      </c>
      <c r="F159" t="s">
        <v>294</v>
      </c>
      <c r="G159" t="s">
        <v>6450</v>
      </c>
      <c r="K159">
        <v>1</v>
      </c>
    </row>
    <row r="160" spans="1:11" x14ac:dyDescent="0.25">
      <c r="A160" t="s">
        <v>1880</v>
      </c>
      <c r="B160" t="s">
        <v>1883</v>
      </c>
      <c r="C160" t="s">
        <v>6284</v>
      </c>
      <c r="D160" t="s">
        <v>102</v>
      </c>
      <c r="E160" t="s">
        <v>103</v>
      </c>
      <c r="F160" t="s">
        <v>294</v>
      </c>
      <c r="G160" t="s">
        <v>6451</v>
      </c>
      <c r="K160">
        <v>1</v>
      </c>
    </row>
    <row r="161" spans="1:11" x14ac:dyDescent="0.25">
      <c r="A161" t="s">
        <v>1880</v>
      </c>
      <c r="B161" t="s">
        <v>1883</v>
      </c>
      <c r="C161" t="s">
        <v>6289</v>
      </c>
      <c r="D161" t="s">
        <v>102</v>
      </c>
      <c r="E161" t="s">
        <v>103</v>
      </c>
      <c r="F161" t="s">
        <v>294</v>
      </c>
      <c r="G161" t="s">
        <v>6451</v>
      </c>
      <c r="K161">
        <v>1</v>
      </c>
    </row>
    <row r="162" spans="1:11" x14ac:dyDescent="0.25">
      <c r="A162" t="s">
        <v>3081</v>
      </c>
      <c r="B162" t="s">
        <v>3085</v>
      </c>
      <c r="C162" t="s">
        <v>6284</v>
      </c>
      <c r="D162" t="s">
        <v>102</v>
      </c>
      <c r="E162" t="s">
        <v>103</v>
      </c>
      <c r="F162" t="s">
        <v>294</v>
      </c>
      <c r="G162" t="s">
        <v>6452</v>
      </c>
      <c r="K162">
        <v>1</v>
      </c>
    </row>
    <row r="163" spans="1:11" x14ac:dyDescent="0.25">
      <c r="A163" t="s">
        <v>3081</v>
      </c>
      <c r="B163" t="s">
        <v>3085</v>
      </c>
      <c r="C163" t="s">
        <v>6289</v>
      </c>
      <c r="D163" t="s">
        <v>102</v>
      </c>
      <c r="E163" t="s">
        <v>103</v>
      </c>
      <c r="F163" t="s">
        <v>294</v>
      </c>
      <c r="G163" t="s">
        <v>6452</v>
      </c>
      <c r="K163">
        <v>1</v>
      </c>
    </row>
    <row r="164" spans="1:11" x14ac:dyDescent="0.25">
      <c r="A164" t="s">
        <v>412</v>
      </c>
      <c r="B164" t="s">
        <v>424</v>
      </c>
      <c r="C164" t="s">
        <v>6284</v>
      </c>
      <c r="D164" t="s">
        <v>102</v>
      </c>
      <c r="E164" t="s">
        <v>103</v>
      </c>
      <c r="F164" t="s">
        <v>6285</v>
      </c>
      <c r="G164" t="s">
        <v>6453</v>
      </c>
      <c r="K164">
        <v>1</v>
      </c>
    </row>
    <row r="165" spans="1:11" x14ac:dyDescent="0.25">
      <c r="A165" t="s">
        <v>412</v>
      </c>
      <c r="B165" t="s">
        <v>424</v>
      </c>
      <c r="C165" t="s">
        <v>6289</v>
      </c>
      <c r="D165" t="s">
        <v>102</v>
      </c>
      <c r="E165" t="s">
        <v>103</v>
      </c>
      <c r="F165" t="s">
        <v>6285</v>
      </c>
      <c r="G165" t="s">
        <v>6453</v>
      </c>
      <c r="K165">
        <v>1</v>
      </c>
    </row>
    <row r="166" spans="1:11" x14ac:dyDescent="0.25">
      <c r="A166" t="s">
        <v>562</v>
      </c>
      <c r="B166" t="s">
        <v>568</v>
      </c>
      <c r="C166" t="s">
        <v>6284</v>
      </c>
      <c r="D166" t="s">
        <v>102</v>
      </c>
      <c r="E166" t="s">
        <v>6351</v>
      </c>
      <c r="F166" t="s">
        <v>6454</v>
      </c>
      <c r="G166" t="s">
        <v>6455</v>
      </c>
      <c r="K166">
        <v>1</v>
      </c>
    </row>
    <row r="167" spans="1:11" x14ac:dyDescent="0.25">
      <c r="A167" t="s">
        <v>562</v>
      </c>
      <c r="B167" t="s">
        <v>568</v>
      </c>
      <c r="C167" t="s">
        <v>6289</v>
      </c>
      <c r="D167" t="s">
        <v>102</v>
      </c>
      <c r="E167" t="s">
        <v>6351</v>
      </c>
      <c r="F167" t="s">
        <v>6454</v>
      </c>
      <c r="G167" t="s">
        <v>6455</v>
      </c>
      <c r="K167">
        <v>1</v>
      </c>
    </row>
    <row r="168" spans="1:11" x14ac:dyDescent="0.25">
      <c r="A168" t="s">
        <v>1820</v>
      </c>
      <c r="B168" t="s">
        <v>1824</v>
      </c>
      <c r="C168" t="s">
        <v>6284</v>
      </c>
      <c r="D168" t="s">
        <v>102</v>
      </c>
      <c r="E168" t="s">
        <v>103</v>
      </c>
      <c r="F168" t="s">
        <v>294</v>
      </c>
      <c r="G168" t="s">
        <v>6456</v>
      </c>
      <c r="K168">
        <v>1</v>
      </c>
    </row>
    <row r="169" spans="1:11" x14ac:dyDescent="0.25">
      <c r="A169" t="s">
        <v>1820</v>
      </c>
      <c r="B169" t="s">
        <v>1824</v>
      </c>
      <c r="C169" t="s">
        <v>6289</v>
      </c>
      <c r="D169" t="s">
        <v>102</v>
      </c>
      <c r="E169" t="s">
        <v>103</v>
      </c>
      <c r="F169" t="s">
        <v>294</v>
      </c>
      <c r="G169" t="s">
        <v>6456</v>
      </c>
      <c r="K169">
        <v>1</v>
      </c>
    </row>
    <row r="170" spans="1:11" x14ac:dyDescent="0.25">
      <c r="A170" t="s">
        <v>2517</v>
      </c>
      <c r="B170" t="s">
        <v>2524</v>
      </c>
      <c r="C170" t="s">
        <v>6284</v>
      </c>
      <c r="D170" t="s">
        <v>102</v>
      </c>
      <c r="E170" t="s">
        <v>103</v>
      </c>
      <c r="F170" t="s">
        <v>6303</v>
      </c>
      <c r="G170" t="s">
        <v>6457</v>
      </c>
      <c r="K170">
        <v>1</v>
      </c>
    </row>
    <row r="171" spans="1:11" x14ac:dyDescent="0.25">
      <c r="A171" t="s">
        <v>2517</v>
      </c>
      <c r="B171" t="s">
        <v>2524</v>
      </c>
      <c r="C171" t="s">
        <v>6289</v>
      </c>
      <c r="D171" t="s">
        <v>102</v>
      </c>
      <c r="E171" t="s">
        <v>103</v>
      </c>
      <c r="G171" t="s">
        <v>6458</v>
      </c>
      <c r="K171">
        <v>1</v>
      </c>
    </row>
    <row r="172" spans="1:11" x14ac:dyDescent="0.25">
      <c r="A172" t="s">
        <v>3395</v>
      </c>
      <c r="B172" t="s">
        <v>3398</v>
      </c>
      <c r="C172" t="s">
        <v>6284</v>
      </c>
      <c r="D172" t="s">
        <v>102</v>
      </c>
      <c r="E172" t="s">
        <v>6459</v>
      </c>
      <c r="G172" t="s">
        <v>6460</v>
      </c>
      <c r="K172">
        <v>1</v>
      </c>
    </row>
    <row r="173" spans="1:11" x14ac:dyDescent="0.25">
      <c r="A173" t="s">
        <v>3395</v>
      </c>
      <c r="B173" t="s">
        <v>3398</v>
      </c>
      <c r="C173" t="s">
        <v>6289</v>
      </c>
      <c r="D173" t="s">
        <v>102</v>
      </c>
      <c r="E173" t="s">
        <v>6459</v>
      </c>
      <c r="G173" t="s">
        <v>6460</v>
      </c>
      <c r="K173">
        <v>1</v>
      </c>
    </row>
    <row r="174" spans="1:11" x14ac:dyDescent="0.25">
      <c r="A174" t="s">
        <v>2170</v>
      </c>
      <c r="B174" t="s">
        <v>2175</v>
      </c>
      <c r="C174" t="s">
        <v>6284</v>
      </c>
      <c r="D174" t="s">
        <v>102</v>
      </c>
      <c r="E174" t="s">
        <v>103</v>
      </c>
      <c r="F174" t="s">
        <v>294</v>
      </c>
      <c r="G174" t="s">
        <v>6461</v>
      </c>
      <c r="K174">
        <v>1</v>
      </c>
    </row>
    <row r="175" spans="1:11" x14ac:dyDescent="0.25">
      <c r="A175" t="s">
        <v>2170</v>
      </c>
      <c r="B175" t="s">
        <v>2175</v>
      </c>
      <c r="C175" t="s">
        <v>6289</v>
      </c>
      <c r="D175" t="s">
        <v>102</v>
      </c>
      <c r="E175" t="s">
        <v>103</v>
      </c>
      <c r="F175" t="s">
        <v>294</v>
      </c>
      <c r="G175" t="s">
        <v>6462</v>
      </c>
      <c r="K175">
        <v>1</v>
      </c>
    </row>
    <row r="176" spans="1:11" x14ac:dyDescent="0.25">
      <c r="A176" t="s">
        <v>3462</v>
      </c>
      <c r="B176" t="s">
        <v>3467</v>
      </c>
      <c r="C176" t="s">
        <v>6284</v>
      </c>
      <c r="D176" t="s">
        <v>102</v>
      </c>
      <c r="E176" t="s">
        <v>103</v>
      </c>
      <c r="F176" t="s">
        <v>6303</v>
      </c>
      <c r="G176" t="s">
        <v>6463</v>
      </c>
      <c r="K176">
        <v>1</v>
      </c>
    </row>
    <row r="177" spans="1:11" x14ac:dyDescent="0.25">
      <c r="A177" t="s">
        <v>3462</v>
      </c>
      <c r="B177" t="s">
        <v>3467</v>
      </c>
      <c r="C177" t="s">
        <v>6289</v>
      </c>
      <c r="D177" t="s">
        <v>102</v>
      </c>
      <c r="E177" t="s">
        <v>103</v>
      </c>
      <c r="F177" t="s">
        <v>6303</v>
      </c>
      <c r="G177" t="s">
        <v>6464</v>
      </c>
      <c r="K177">
        <v>1</v>
      </c>
    </row>
    <row r="178" spans="1:11" x14ac:dyDescent="0.25">
      <c r="A178" t="s">
        <v>620</v>
      </c>
      <c r="B178" t="s">
        <v>624</v>
      </c>
      <c r="C178" t="s">
        <v>6284</v>
      </c>
      <c r="D178" t="s">
        <v>102</v>
      </c>
      <c r="E178" t="s">
        <v>103</v>
      </c>
      <c r="F178" t="s">
        <v>6413</v>
      </c>
      <c r="G178" t="s">
        <v>6465</v>
      </c>
      <c r="K178">
        <v>1</v>
      </c>
    </row>
    <row r="179" spans="1:11" x14ac:dyDescent="0.25">
      <c r="A179" t="s">
        <v>620</v>
      </c>
      <c r="B179" t="s">
        <v>624</v>
      </c>
      <c r="C179" t="s">
        <v>6289</v>
      </c>
      <c r="D179" t="s">
        <v>102</v>
      </c>
      <c r="E179" t="s">
        <v>103</v>
      </c>
      <c r="F179" t="s">
        <v>6413</v>
      </c>
      <c r="G179" t="s">
        <v>6465</v>
      </c>
      <c r="K179">
        <v>1</v>
      </c>
    </row>
    <row r="180" spans="1:11" x14ac:dyDescent="0.25">
      <c r="A180" t="s">
        <v>3335</v>
      </c>
      <c r="B180" t="s">
        <v>3340</v>
      </c>
      <c r="C180" t="s">
        <v>6284</v>
      </c>
      <c r="D180" t="s">
        <v>102</v>
      </c>
      <c r="E180" t="s">
        <v>103</v>
      </c>
      <c r="F180" t="s">
        <v>6285</v>
      </c>
      <c r="G180" t="s">
        <v>6466</v>
      </c>
      <c r="K180">
        <v>1</v>
      </c>
    </row>
    <row r="181" spans="1:11" x14ac:dyDescent="0.25">
      <c r="A181" t="s">
        <v>3335</v>
      </c>
      <c r="B181" t="s">
        <v>3340</v>
      </c>
      <c r="C181" t="s">
        <v>6289</v>
      </c>
      <c r="D181" t="s">
        <v>102</v>
      </c>
      <c r="E181" t="s">
        <v>103</v>
      </c>
      <c r="F181" t="s">
        <v>6285</v>
      </c>
      <c r="G181" t="s">
        <v>6466</v>
      </c>
      <c r="K181">
        <v>1</v>
      </c>
    </row>
    <row r="182" spans="1:11" x14ac:dyDescent="0.25">
      <c r="A182" t="s">
        <v>817</v>
      </c>
      <c r="B182" t="s">
        <v>825</v>
      </c>
      <c r="C182" t="s">
        <v>6284</v>
      </c>
      <c r="D182" t="s">
        <v>102</v>
      </c>
      <c r="E182" t="s">
        <v>6296</v>
      </c>
      <c r="F182" t="s">
        <v>6354</v>
      </c>
      <c r="G182" t="s">
        <v>6467</v>
      </c>
      <c r="K182">
        <v>1</v>
      </c>
    </row>
    <row r="183" spans="1:11" x14ac:dyDescent="0.25">
      <c r="A183" t="s">
        <v>817</v>
      </c>
      <c r="B183" t="s">
        <v>825</v>
      </c>
      <c r="C183" t="s">
        <v>6289</v>
      </c>
      <c r="D183" t="s">
        <v>102</v>
      </c>
      <c r="E183" t="s">
        <v>103</v>
      </c>
      <c r="F183" t="s">
        <v>6303</v>
      </c>
      <c r="G183" t="s">
        <v>6468</v>
      </c>
      <c r="K183">
        <v>1</v>
      </c>
    </row>
    <row r="184" spans="1:11" x14ac:dyDescent="0.25">
      <c r="A184" t="s">
        <v>591</v>
      </c>
      <c r="B184" t="s">
        <v>595</v>
      </c>
      <c r="C184" t="s">
        <v>6284</v>
      </c>
      <c r="D184" t="s">
        <v>102</v>
      </c>
      <c r="E184" t="s">
        <v>103</v>
      </c>
      <c r="F184" t="s">
        <v>294</v>
      </c>
      <c r="G184" t="s">
        <v>6469</v>
      </c>
      <c r="K184">
        <v>1</v>
      </c>
    </row>
    <row r="185" spans="1:11" x14ac:dyDescent="0.25">
      <c r="A185" t="s">
        <v>591</v>
      </c>
      <c r="B185" t="s">
        <v>595</v>
      </c>
      <c r="C185" t="s">
        <v>6289</v>
      </c>
      <c r="D185" t="s">
        <v>102</v>
      </c>
      <c r="E185" t="s">
        <v>103</v>
      </c>
      <c r="F185" t="s">
        <v>294</v>
      </c>
      <c r="G185" t="s">
        <v>6469</v>
      </c>
      <c r="K185">
        <v>1</v>
      </c>
    </row>
    <row r="186" spans="1:11" x14ac:dyDescent="0.25">
      <c r="A186" t="s">
        <v>994</v>
      </c>
      <c r="B186" t="s">
        <v>1002</v>
      </c>
      <c r="C186" t="s">
        <v>6284</v>
      </c>
      <c r="D186" t="s">
        <v>102</v>
      </c>
      <c r="E186" t="s">
        <v>6319</v>
      </c>
      <c r="F186" t="s">
        <v>6470</v>
      </c>
      <c r="G186" t="s">
        <v>6471</v>
      </c>
      <c r="K186">
        <v>1</v>
      </c>
    </row>
    <row r="187" spans="1:11" x14ac:dyDescent="0.25">
      <c r="A187" t="s">
        <v>994</v>
      </c>
      <c r="B187" t="s">
        <v>1002</v>
      </c>
      <c r="C187" t="s">
        <v>6289</v>
      </c>
      <c r="D187" t="s">
        <v>102</v>
      </c>
      <c r="E187" t="s">
        <v>6319</v>
      </c>
      <c r="F187" t="s">
        <v>6470</v>
      </c>
      <c r="G187" t="s">
        <v>6471</v>
      </c>
      <c r="K187">
        <v>1</v>
      </c>
    </row>
    <row r="188" spans="1:11" x14ac:dyDescent="0.25">
      <c r="A188" t="s">
        <v>1534</v>
      </c>
      <c r="B188" t="s">
        <v>1539</v>
      </c>
      <c r="C188" t="s">
        <v>6284</v>
      </c>
      <c r="D188" t="s">
        <v>102</v>
      </c>
      <c r="E188" t="s">
        <v>103</v>
      </c>
      <c r="F188" t="s">
        <v>294</v>
      </c>
      <c r="G188" t="s">
        <v>6472</v>
      </c>
      <c r="K188">
        <v>1</v>
      </c>
    </row>
    <row r="189" spans="1:11" x14ac:dyDescent="0.25">
      <c r="A189" t="s">
        <v>1534</v>
      </c>
      <c r="B189" t="s">
        <v>1539</v>
      </c>
      <c r="C189" t="s">
        <v>6289</v>
      </c>
      <c r="D189" t="s">
        <v>102</v>
      </c>
      <c r="E189" t="s">
        <v>103</v>
      </c>
      <c r="F189" t="s">
        <v>294</v>
      </c>
      <c r="G189" t="s">
        <v>6473</v>
      </c>
      <c r="K189">
        <v>1</v>
      </c>
    </row>
    <row r="190" spans="1:11" x14ac:dyDescent="0.25">
      <c r="A190" t="s">
        <v>1963</v>
      </c>
      <c r="B190" t="s">
        <v>1969</v>
      </c>
      <c r="C190" t="s">
        <v>6284</v>
      </c>
      <c r="D190" t="s">
        <v>102</v>
      </c>
      <c r="E190" t="s">
        <v>103</v>
      </c>
      <c r="F190" t="s">
        <v>6474</v>
      </c>
      <c r="G190" t="s">
        <v>6475</v>
      </c>
      <c r="K190">
        <v>1</v>
      </c>
    </row>
    <row r="191" spans="1:11" x14ac:dyDescent="0.25">
      <c r="A191" t="s">
        <v>1963</v>
      </c>
      <c r="B191" t="s">
        <v>1969</v>
      </c>
      <c r="C191" t="s">
        <v>6289</v>
      </c>
      <c r="D191" t="s">
        <v>102</v>
      </c>
      <c r="E191" t="s">
        <v>103</v>
      </c>
      <c r="F191" t="s">
        <v>6377</v>
      </c>
      <c r="G191" t="s">
        <v>6476</v>
      </c>
      <c r="K191">
        <v>1</v>
      </c>
    </row>
    <row r="192" spans="1:11" x14ac:dyDescent="0.25">
      <c r="A192" t="s">
        <v>391</v>
      </c>
      <c r="B192" t="s">
        <v>401</v>
      </c>
      <c r="C192" t="s">
        <v>6284</v>
      </c>
      <c r="D192" t="s">
        <v>102</v>
      </c>
      <c r="E192" t="s">
        <v>6341</v>
      </c>
      <c r="F192" t="s">
        <v>6477</v>
      </c>
      <c r="G192" t="s">
        <v>6478</v>
      </c>
      <c r="K192">
        <v>1</v>
      </c>
    </row>
    <row r="193" spans="1:11" x14ac:dyDescent="0.25">
      <c r="A193" t="s">
        <v>391</v>
      </c>
      <c r="B193" t="s">
        <v>401</v>
      </c>
      <c r="C193" t="s">
        <v>6289</v>
      </c>
      <c r="D193" t="s">
        <v>102</v>
      </c>
      <c r="E193" t="s">
        <v>6341</v>
      </c>
      <c r="F193" t="s">
        <v>6477</v>
      </c>
      <c r="G193" t="s">
        <v>6478</v>
      </c>
      <c r="K193">
        <v>1</v>
      </c>
    </row>
    <row r="194" spans="1:11" x14ac:dyDescent="0.25">
      <c r="A194" t="s">
        <v>626</v>
      </c>
      <c r="B194" t="s">
        <v>629</v>
      </c>
      <c r="C194" t="s">
        <v>6284</v>
      </c>
      <c r="D194" t="s">
        <v>102</v>
      </c>
      <c r="E194" t="s">
        <v>6296</v>
      </c>
      <c r="F194" t="s">
        <v>6354</v>
      </c>
      <c r="G194" t="s">
        <v>6479</v>
      </c>
      <c r="K194">
        <v>1</v>
      </c>
    </row>
    <row r="195" spans="1:11" x14ac:dyDescent="0.25">
      <c r="A195" t="s">
        <v>626</v>
      </c>
      <c r="B195" t="s">
        <v>629</v>
      </c>
      <c r="C195" t="s">
        <v>6289</v>
      </c>
      <c r="D195" t="s">
        <v>102</v>
      </c>
      <c r="E195" t="s">
        <v>6296</v>
      </c>
      <c r="F195" t="s">
        <v>6354</v>
      </c>
      <c r="G195" t="s">
        <v>6479</v>
      </c>
      <c r="K195">
        <v>1</v>
      </c>
    </row>
    <row r="196" spans="1:11" x14ac:dyDescent="0.25">
      <c r="A196" t="s">
        <v>614</v>
      </c>
      <c r="B196" t="s">
        <v>618</v>
      </c>
      <c r="C196" t="s">
        <v>6284</v>
      </c>
      <c r="D196" t="s">
        <v>102</v>
      </c>
      <c r="E196" t="s">
        <v>103</v>
      </c>
      <c r="F196" t="s">
        <v>294</v>
      </c>
      <c r="G196" t="s">
        <v>6480</v>
      </c>
      <c r="K196">
        <v>1</v>
      </c>
    </row>
    <row r="197" spans="1:11" x14ac:dyDescent="0.25">
      <c r="A197" t="s">
        <v>614</v>
      </c>
      <c r="B197" t="s">
        <v>618</v>
      </c>
      <c r="C197" t="s">
        <v>6289</v>
      </c>
      <c r="D197" t="s">
        <v>102</v>
      </c>
      <c r="E197" t="s">
        <v>103</v>
      </c>
      <c r="F197" t="s">
        <v>294</v>
      </c>
      <c r="G197" t="s">
        <v>6480</v>
      </c>
      <c r="K197">
        <v>1</v>
      </c>
    </row>
    <row r="198" spans="1:11" x14ac:dyDescent="0.25">
      <c r="A198" t="s">
        <v>940</v>
      </c>
      <c r="B198" t="s">
        <v>943</v>
      </c>
      <c r="C198" t="s">
        <v>6284</v>
      </c>
      <c r="D198" t="s">
        <v>102</v>
      </c>
      <c r="E198" t="s">
        <v>6319</v>
      </c>
      <c r="F198" t="s">
        <v>6481</v>
      </c>
      <c r="G198" t="s">
        <v>6482</v>
      </c>
      <c r="K198">
        <v>1</v>
      </c>
    </row>
    <row r="199" spans="1:11" x14ac:dyDescent="0.25">
      <c r="A199" t="s">
        <v>940</v>
      </c>
      <c r="B199" t="s">
        <v>943</v>
      </c>
      <c r="C199" t="s">
        <v>6289</v>
      </c>
      <c r="D199" t="s">
        <v>102</v>
      </c>
      <c r="E199" t="s">
        <v>6319</v>
      </c>
      <c r="F199" t="s">
        <v>6481</v>
      </c>
      <c r="G199" t="s">
        <v>6482</v>
      </c>
      <c r="K199">
        <v>1</v>
      </c>
    </row>
    <row r="200" spans="1:11" x14ac:dyDescent="0.25">
      <c r="A200" t="s">
        <v>835</v>
      </c>
      <c r="B200" t="s">
        <v>846</v>
      </c>
      <c r="C200" t="s">
        <v>6284</v>
      </c>
      <c r="D200" t="s">
        <v>102</v>
      </c>
      <c r="E200" t="s">
        <v>6483</v>
      </c>
      <c r="F200" t="s">
        <v>6484</v>
      </c>
      <c r="G200" t="s">
        <v>6485</v>
      </c>
      <c r="K200">
        <v>1</v>
      </c>
    </row>
    <row r="201" spans="1:11" x14ac:dyDescent="0.25">
      <c r="A201" t="s">
        <v>835</v>
      </c>
      <c r="B201" t="s">
        <v>846</v>
      </c>
      <c r="C201" t="s">
        <v>6289</v>
      </c>
      <c r="D201" t="s">
        <v>102</v>
      </c>
      <c r="E201" t="s">
        <v>103</v>
      </c>
      <c r="F201" t="s">
        <v>6286</v>
      </c>
      <c r="G201" t="s">
        <v>6486</v>
      </c>
      <c r="K201">
        <v>1</v>
      </c>
    </row>
    <row r="202" spans="1:11" x14ac:dyDescent="0.25">
      <c r="A202" t="s">
        <v>2706</v>
      </c>
      <c r="B202" t="s">
        <v>2709</v>
      </c>
      <c r="C202" t="s">
        <v>6284</v>
      </c>
      <c r="D202" t="s">
        <v>102</v>
      </c>
      <c r="E202" t="s">
        <v>103</v>
      </c>
      <c r="F202" t="s">
        <v>294</v>
      </c>
      <c r="G202" t="s">
        <v>6487</v>
      </c>
      <c r="K202">
        <v>1</v>
      </c>
    </row>
    <row r="203" spans="1:11" x14ac:dyDescent="0.25">
      <c r="A203" t="s">
        <v>2706</v>
      </c>
      <c r="B203" t="s">
        <v>2709</v>
      </c>
      <c r="C203" t="s">
        <v>6289</v>
      </c>
      <c r="D203" t="s">
        <v>102</v>
      </c>
      <c r="E203" t="s">
        <v>103</v>
      </c>
      <c r="F203" t="s">
        <v>294</v>
      </c>
      <c r="G203" t="s">
        <v>6487</v>
      </c>
      <c r="K203">
        <v>1</v>
      </c>
    </row>
    <row r="204" spans="1:11" x14ac:dyDescent="0.25">
      <c r="A204" t="s">
        <v>1933</v>
      </c>
      <c r="B204" t="s">
        <v>1938</v>
      </c>
      <c r="C204" t="s">
        <v>6284</v>
      </c>
      <c r="D204" t="s">
        <v>102</v>
      </c>
      <c r="E204" t="s">
        <v>6296</v>
      </c>
      <c r="F204" t="s">
        <v>6354</v>
      </c>
      <c r="G204" t="s">
        <v>6488</v>
      </c>
      <c r="K204">
        <v>1</v>
      </c>
    </row>
    <row r="205" spans="1:11" x14ac:dyDescent="0.25">
      <c r="A205" t="s">
        <v>1933</v>
      </c>
      <c r="B205" t="s">
        <v>1938</v>
      </c>
      <c r="C205" t="s">
        <v>6289</v>
      </c>
      <c r="D205" t="s">
        <v>102</v>
      </c>
      <c r="E205" t="s">
        <v>103</v>
      </c>
      <c r="F205" t="s">
        <v>6285</v>
      </c>
      <c r="G205" t="s">
        <v>6382</v>
      </c>
      <c r="K205">
        <v>1</v>
      </c>
    </row>
    <row r="206" spans="1:11" x14ac:dyDescent="0.25">
      <c r="A206" t="s">
        <v>1947</v>
      </c>
      <c r="B206" t="s">
        <v>1952</v>
      </c>
      <c r="C206" t="s">
        <v>6284</v>
      </c>
      <c r="D206" t="s">
        <v>102</v>
      </c>
      <c r="E206" t="s">
        <v>103</v>
      </c>
      <c r="F206" t="s">
        <v>6287</v>
      </c>
      <c r="G206" t="s">
        <v>6489</v>
      </c>
      <c r="K206">
        <v>1</v>
      </c>
    </row>
    <row r="207" spans="1:11" x14ac:dyDescent="0.25">
      <c r="A207" t="s">
        <v>1947</v>
      </c>
      <c r="B207" t="s">
        <v>1952</v>
      </c>
      <c r="C207" t="s">
        <v>6289</v>
      </c>
      <c r="D207" t="s">
        <v>102</v>
      </c>
      <c r="E207" t="s">
        <v>103</v>
      </c>
      <c r="F207" t="s">
        <v>6287</v>
      </c>
      <c r="G207" t="s">
        <v>6489</v>
      </c>
      <c r="K207">
        <v>1</v>
      </c>
    </row>
    <row r="208" spans="1:11" x14ac:dyDescent="0.25">
      <c r="A208" t="s">
        <v>351</v>
      </c>
      <c r="B208" t="s">
        <v>363</v>
      </c>
      <c r="C208" t="s">
        <v>6284</v>
      </c>
      <c r="D208" t="s">
        <v>102</v>
      </c>
      <c r="E208" t="s">
        <v>6292</v>
      </c>
      <c r="F208" t="s">
        <v>6490</v>
      </c>
      <c r="G208" t="s">
        <v>6491</v>
      </c>
      <c r="K208">
        <v>1</v>
      </c>
    </row>
    <row r="209" spans="1:11" x14ac:dyDescent="0.25">
      <c r="A209" t="s">
        <v>351</v>
      </c>
      <c r="B209" t="s">
        <v>363</v>
      </c>
      <c r="C209" t="s">
        <v>6289</v>
      </c>
      <c r="D209" t="s">
        <v>102</v>
      </c>
      <c r="E209" t="s">
        <v>6292</v>
      </c>
      <c r="F209" t="s">
        <v>6490</v>
      </c>
      <c r="G209" t="s">
        <v>6491</v>
      </c>
      <c r="K209">
        <v>1</v>
      </c>
    </row>
    <row r="210" spans="1:11" x14ac:dyDescent="0.25">
      <c r="A210" t="s">
        <v>2601</v>
      </c>
      <c r="B210" t="s">
        <v>2605</v>
      </c>
      <c r="C210" t="s">
        <v>6284</v>
      </c>
      <c r="D210" t="s">
        <v>102</v>
      </c>
      <c r="E210" t="s">
        <v>103</v>
      </c>
      <c r="F210" t="s">
        <v>294</v>
      </c>
      <c r="G210" t="s">
        <v>6492</v>
      </c>
      <c r="K210">
        <v>1</v>
      </c>
    </row>
    <row r="211" spans="1:11" x14ac:dyDescent="0.25">
      <c r="A211" t="s">
        <v>2601</v>
      </c>
      <c r="B211" t="s">
        <v>2605</v>
      </c>
      <c r="C211" t="s">
        <v>6289</v>
      </c>
      <c r="D211" t="s">
        <v>102</v>
      </c>
      <c r="E211" t="s">
        <v>103</v>
      </c>
      <c r="F211" t="s">
        <v>294</v>
      </c>
      <c r="G211" t="s">
        <v>6492</v>
      </c>
      <c r="K211">
        <v>1</v>
      </c>
    </row>
    <row r="212" spans="1:11" x14ac:dyDescent="0.25">
      <c r="A212" t="s">
        <v>3318</v>
      </c>
      <c r="B212" t="s">
        <v>3321</v>
      </c>
      <c r="C212" t="s">
        <v>6284</v>
      </c>
      <c r="D212" t="s">
        <v>102</v>
      </c>
      <c r="E212" t="s">
        <v>103</v>
      </c>
      <c r="F212" t="s">
        <v>294</v>
      </c>
      <c r="G212" t="s">
        <v>6493</v>
      </c>
      <c r="K212">
        <v>1</v>
      </c>
    </row>
    <row r="213" spans="1:11" x14ac:dyDescent="0.25">
      <c r="A213" t="s">
        <v>3318</v>
      </c>
      <c r="B213" t="s">
        <v>3321</v>
      </c>
      <c r="C213" t="s">
        <v>6289</v>
      </c>
      <c r="D213" t="s">
        <v>102</v>
      </c>
      <c r="E213" t="s">
        <v>6315</v>
      </c>
      <c r="F213" t="s">
        <v>294</v>
      </c>
      <c r="G213" t="s">
        <v>6494</v>
      </c>
      <c r="K213">
        <v>1</v>
      </c>
    </row>
    <row r="214" spans="1:11" x14ac:dyDescent="0.25">
      <c r="A214" t="s">
        <v>2231</v>
      </c>
      <c r="B214" t="s">
        <v>2235</v>
      </c>
      <c r="C214" t="s">
        <v>6284</v>
      </c>
      <c r="D214" t="s">
        <v>102</v>
      </c>
      <c r="E214" t="s">
        <v>103</v>
      </c>
      <c r="F214" t="s">
        <v>6303</v>
      </c>
      <c r="G214" t="s">
        <v>6495</v>
      </c>
      <c r="K214">
        <v>1</v>
      </c>
    </row>
    <row r="215" spans="1:11" x14ac:dyDescent="0.25">
      <c r="A215" t="s">
        <v>2231</v>
      </c>
      <c r="B215" t="s">
        <v>2235</v>
      </c>
      <c r="C215" t="s">
        <v>6289</v>
      </c>
      <c r="D215" t="s">
        <v>102</v>
      </c>
      <c r="E215" t="s">
        <v>103</v>
      </c>
      <c r="F215" t="s">
        <v>6303</v>
      </c>
      <c r="G215" t="s">
        <v>6495</v>
      </c>
      <c r="K215">
        <v>1</v>
      </c>
    </row>
    <row r="216" spans="1:11" x14ac:dyDescent="0.25">
      <c r="A216" t="s">
        <v>1736</v>
      </c>
      <c r="B216" t="s">
        <v>1742</v>
      </c>
      <c r="C216" t="s">
        <v>6284</v>
      </c>
      <c r="D216" t="s">
        <v>102</v>
      </c>
      <c r="E216" t="s">
        <v>6319</v>
      </c>
      <c r="F216" t="s">
        <v>6496</v>
      </c>
      <c r="G216" t="s">
        <v>6497</v>
      </c>
      <c r="K216">
        <v>1</v>
      </c>
    </row>
    <row r="217" spans="1:11" x14ac:dyDescent="0.25">
      <c r="A217" t="s">
        <v>1736</v>
      </c>
      <c r="B217" t="s">
        <v>1742</v>
      </c>
      <c r="C217" t="s">
        <v>6289</v>
      </c>
      <c r="D217" t="s">
        <v>102</v>
      </c>
      <c r="E217" t="s">
        <v>6319</v>
      </c>
      <c r="F217" t="s">
        <v>6496</v>
      </c>
      <c r="G217" t="s">
        <v>6497</v>
      </c>
      <c r="K217">
        <v>1</v>
      </c>
    </row>
    <row r="218" spans="1:11" x14ac:dyDescent="0.25">
      <c r="A218" t="s">
        <v>268</v>
      </c>
      <c r="B218" t="s">
        <v>280</v>
      </c>
      <c r="C218" t="s">
        <v>6284</v>
      </c>
      <c r="D218" t="s">
        <v>102</v>
      </c>
      <c r="E218" t="s">
        <v>6313</v>
      </c>
      <c r="G218" t="s">
        <v>6498</v>
      </c>
      <c r="K218">
        <v>1</v>
      </c>
    </row>
    <row r="219" spans="1:11" x14ac:dyDescent="0.25">
      <c r="A219" t="s">
        <v>268</v>
      </c>
      <c r="B219" t="s">
        <v>280</v>
      </c>
      <c r="C219" t="s">
        <v>6289</v>
      </c>
      <c r="D219" t="s">
        <v>102</v>
      </c>
      <c r="E219" t="s">
        <v>103</v>
      </c>
      <c r="F219" t="s">
        <v>6368</v>
      </c>
      <c r="G219" t="s">
        <v>6499</v>
      </c>
      <c r="K219">
        <v>1</v>
      </c>
    </row>
    <row r="220" spans="1:11" x14ac:dyDescent="0.25">
      <c r="A220" t="s">
        <v>2324</v>
      </c>
      <c r="B220" t="s">
        <v>2330</v>
      </c>
      <c r="C220" t="s">
        <v>6284</v>
      </c>
      <c r="D220" t="s">
        <v>6500</v>
      </c>
      <c r="E220" t="s">
        <v>6500</v>
      </c>
      <c r="F220" t="s">
        <v>6501</v>
      </c>
      <c r="G220" t="s">
        <v>6502</v>
      </c>
      <c r="K220">
        <v>1</v>
      </c>
    </row>
    <row r="221" spans="1:11" x14ac:dyDescent="0.25">
      <c r="A221" t="s">
        <v>2324</v>
      </c>
      <c r="B221" t="s">
        <v>2330</v>
      </c>
      <c r="C221" t="s">
        <v>6289</v>
      </c>
      <c r="D221" t="s">
        <v>102</v>
      </c>
      <c r="E221" t="s">
        <v>103</v>
      </c>
      <c r="F221" t="s">
        <v>294</v>
      </c>
      <c r="G221" t="s">
        <v>6503</v>
      </c>
      <c r="K221">
        <v>1</v>
      </c>
    </row>
    <row r="222" spans="1:11" x14ac:dyDescent="0.25">
      <c r="A222" t="s">
        <v>2424</v>
      </c>
      <c r="B222" t="s">
        <v>2428</v>
      </c>
      <c r="C222" t="s">
        <v>6284</v>
      </c>
      <c r="D222" t="s">
        <v>102</v>
      </c>
      <c r="E222" t="s">
        <v>6313</v>
      </c>
      <c r="G222" t="s">
        <v>6504</v>
      </c>
      <c r="K222">
        <v>1</v>
      </c>
    </row>
    <row r="223" spans="1:11" x14ac:dyDescent="0.25">
      <c r="A223" t="s">
        <v>2424</v>
      </c>
      <c r="B223" t="s">
        <v>2428</v>
      </c>
      <c r="C223" t="s">
        <v>6289</v>
      </c>
      <c r="D223" t="s">
        <v>102</v>
      </c>
      <c r="E223" t="s">
        <v>6313</v>
      </c>
      <c r="G223" t="s">
        <v>6504</v>
      </c>
      <c r="K223">
        <v>1</v>
      </c>
    </row>
    <row r="224" spans="1:11" x14ac:dyDescent="0.25">
      <c r="A224" t="s">
        <v>1218</v>
      </c>
      <c r="B224" t="s">
        <v>1222</v>
      </c>
      <c r="C224" t="s">
        <v>6284</v>
      </c>
      <c r="D224" t="s">
        <v>1748</v>
      </c>
      <c r="F224" t="s">
        <v>6505</v>
      </c>
      <c r="G224" t="s">
        <v>6506</v>
      </c>
      <c r="K224">
        <v>1</v>
      </c>
    </row>
    <row r="225" spans="1:11" x14ac:dyDescent="0.25">
      <c r="A225" t="s">
        <v>1218</v>
      </c>
      <c r="B225" t="s">
        <v>2990</v>
      </c>
      <c r="C225" t="s">
        <v>6284</v>
      </c>
      <c r="D225" t="s">
        <v>102</v>
      </c>
      <c r="E225" t="s">
        <v>103</v>
      </c>
      <c r="F225" t="s">
        <v>294</v>
      </c>
      <c r="G225" t="s">
        <v>6507</v>
      </c>
      <c r="K225">
        <v>1</v>
      </c>
    </row>
    <row r="226" spans="1:11" x14ac:dyDescent="0.25">
      <c r="A226" t="s">
        <v>1218</v>
      </c>
      <c r="B226" t="s">
        <v>1222</v>
      </c>
      <c r="C226" t="s">
        <v>6289</v>
      </c>
      <c r="D226" t="s">
        <v>102</v>
      </c>
      <c r="E226" t="s">
        <v>103</v>
      </c>
      <c r="F226" t="s">
        <v>294</v>
      </c>
      <c r="G226" t="s">
        <v>6508</v>
      </c>
      <c r="K226">
        <v>1</v>
      </c>
    </row>
    <row r="227" spans="1:11" x14ac:dyDescent="0.25">
      <c r="A227" t="s">
        <v>1218</v>
      </c>
      <c r="B227" t="s">
        <v>2990</v>
      </c>
      <c r="C227" t="s">
        <v>6289</v>
      </c>
      <c r="D227" t="s">
        <v>102</v>
      </c>
      <c r="E227" t="s">
        <v>103</v>
      </c>
      <c r="F227" t="s">
        <v>294</v>
      </c>
      <c r="G227" t="s">
        <v>6507</v>
      </c>
      <c r="K227">
        <v>1</v>
      </c>
    </row>
    <row r="228" spans="1:11" x14ac:dyDescent="0.25">
      <c r="A228" t="s">
        <v>895</v>
      </c>
      <c r="B228" t="s">
        <v>899</v>
      </c>
      <c r="C228" t="s">
        <v>6284</v>
      </c>
      <c r="D228" t="s">
        <v>102</v>
      </c>
      <c r="E228" t="s">
        <v>103</v>
      </c>
      <c r="F228" t="s">
        <v>294</v>
      </c>
      <c r="G228" t="s">
        <v>6509</v>
      </c>
      <c r="K228">
        <v>1</v>
      </c>
    </row>
    <row r="229" spans="1:11" x14ac:dyDescent="0.25">
      <c r="A229" t="s">
        <v>895</v>
      </c>
      <c r="B229" t="s">
        <v>899</v>
      </c>
      <c r="C229" t="s">
        <v>6289</v>
      </c>
      <c r="D229" t="s">
        <v>102</v>
      </c>
      <c r="E229" t="s">
        <v>103</v>
      </c>
      <c r="F229" t="s">
        <v>294</v>
      </c>
      <c r="G229" t="s">
        <v>6509</v>
      </c>
      <c r="K229">
        <v>1</v>
      </c>
    </row>
    <row r="230" spans="1:11" x14ac:dyDescent="0.25">
      <c r="A230" t="s">
        <v>2202</v>
      </c>
      <c r="B230" t="s">
        <v>2208</v>
      </c>
      <c r="C230" t="s">
        <v>6284</v>
      </c>
      <c r="D230" t="s">
        <v>1572</v>
      </c>
      <c r="E230" t="s">
        <v>6510</v>
      </c>
      <c r="G230" t="s">
        <v>6511</v>
      </c>
      <c r="K230">
        <v>1</v>
      </c>
    </row>
    <row r="231" spans="1:11" x14ac:dyDescent="0.25">
      <c r="A231" t="s">
        <v>2202</v>
      </c>
      <c r="B231" t="s">
        <v>2208</v>
      </c>
      <c r="C231" t="s">
        <v>6289</v>
      </c>
      <c r="D231" t="s">
        <v>1572</v>
      </c>
      <c r="E231" t="s">
        <v>6510</v>
      </c>
      <c r="G231" t="s">
        <v>6511</v>
      </c>
      <c r="K231">
        <v>1</v>
      </c>
    </row>
    <row r="232" spans="1:11" x14ac:dyDescent="0.25">
      <c r="A232" t="s">
        <v>3185</v>
      </c>
      <c r="B232" t="s">
        <v>3188</v>
      </c>
      <c r="C232" t="s">
        <v>6284</v>
      </c>
      <c r="D232" t="s">
        <v>102</v>
      </c>
      <c r="E232" t="s">
        <v>103</v>
      </c>
      <c r="F232" t="s">
        <v>294</v>
      </c>
      <c r="G232" t="s">
        <v>6512</v>
      </c>
      <c r="K232">
        <v>1</v>
      </c>
    </row>
    <row r="233" spans="1:11" x14ac:dyDescent="0.25">
      <c r="A233" t="s">
        <v>3185</v>
      </c>
      <c r="B233" t="s">
        <v>3188</v>
      </c>
      <c r="C233" t="s">
        <v>6289</v>
      </c>
      <c r="D233" t="s">
        <v>102</v>
      </c>
      <c r="E233" t="s">
        <v>103</v>
      </c>
      <c r="F233" t="s">
        <v>294</v>
      </c>
      <c r="G233" t="s">
        <v>6512</v>
      </c>
      <c r="K233">
        <v>1</v>
      </c>
    </row>
    <row r="234" spans="1:11" x14ac:dyDescent="0.25">
      <c r="A234" t="s">
        <v>1664</v>
      </c>
      <c r="B234" t="s">
        <v>1669</v>
      </c>
      <c r="C234" t="s">
        <v>6284</v>
      </c>
      <c r="D234" t="s">
        <v>102</v>
      </c>
      <c r="E234" t="s">
        <v>103</v>
      </c>
      <c r="F234" t="s">
        <v>294</v>
      </c>
      <c r="G234" t="s">
        <v>6513</v>
      </c>
      <c r="K234">
        <v>1</v>
      </c>
    </row>
    <row r="235" spans="1:11" x14ac:dyDescent="0.25">
      <c r="A235" t="s">
        <v>1664</v>
      </c>
      <c r="B235" t="s">
        <v>1669</v>
      </c>
      <c r="C235" t="s">
        <v>6289</v>
      </c>
      <c r="D235" t="s">
        <v>102</v>
      </c>
      <c r="E235" t="s">
        <v>103</v>
      </c>
      <c r="F235" t="s">
        <v>294</v>
      </c>
      <c r="G235" t="s">
        <v>6514</v>
      </c>
      <c r="K235">
        <v>1</v>
      </c>
    </row>
    <row r="236" spans="1:11" x14ac:dyDescent="0.25">
      <c r="A236" t="s">
        <v>1071</v>
      </c>
      <c r="B236" t="s">
        <v>1079</v>
      </c>
      <c r="C236" t="s">
        <v>6284</v>
      </c>
      <c r="D236" t="s">
        <v>102</v>
      </c>
      <c r="E236" t="s">
        <v>103</v>
      </c>
      <c r="F236" t="s">
        <v>294</v>
      </c>
      <c r="G236" t="s">
        <v>6515</v>
      </c>
      <c r="K236">
        <v>1</v>
      </c>
    </row>
    <row r="237" spans="1:11" x14ac:dyDescent="0.25">
      <c r="A237" t="s">
        <v>1071</v>
      </c>
      <c r="B237" t="s">
        <v>1079</v>
      </c>
      <c r="C237" t="s">
        <v>6289</v>
      </c>
      <c r="D237" t="s">
        <v>102</v>
      </c>
      <c r="E237" t="s">
        <v>103</v>
      </c>
      <c r="F237" t="s">
        <v>294</v>
      </c>
      <c r="G237" t="s">
        <v>6516</v>
      </c>
      <c r="K237">
        <v>1</v>
      </c>
    </row>
    <row r="238" spans="1:11" x14ac:dyDescent="0.25">
      <c r="A238" t="s">
        <v>2302</v>
      </c>
      <c r="B238" t="s">
        <v>2308</v>
      </c>
      <c r="C238" t="s">
        <v>6284</v>
      </c>
      <c r="D238" t="s">
        <v>102</v>
      </c>
      <c r="E238" t="s">
        <v>103</v>
      </c>
      <c r="F238" t="s">
        <v>294</v>
      </c>
      <c r="G238" t="s">
        <v>6517</v>
      </c>
      <c r="K238">
        <v>1</v>
      </c>
    </row>
    <row r="239" spans="1:11" x14ac:dyDescent="0.25">
      <c r="A239" t="s">
        <v>2302</v>
      </c>
      <c r="B239" t="s">
        <v>2308</v>
      </c>
      <c r="C239" t="s">
        <v>6289</v>
      </c>
      <c r="D239" t="s">
        <v>102</v>
      </c>
      <c r="E239" t="s">
        <v>103</v>
      </c>
      <c r="F239" t="s">
        <v>294</v>
      </c>
      <c r="G239" t="s">
        <v>6518</v>
      </c>
      <c r="K239">
        <v>1</v>
      </c>
    </row>
    <row r="240" spans="1:11" x14ac:dyDescent="0.25">
      <c r="A240" t="s">
        <v>2253</v>
      </c>
      <c r="B240" t="s">
        <v>2257</v>
      </c>
      <c r="C240" t="s">
        <v>6284</v>
      </c>
      <c r="D240" t="s">
        <v>102</v>
      </c>
      <c r="E240" t="s">
        <v>6459</v>
      </c>
      <c r="F240" t="s">
        <v>6519</v>
      </c>
      <c r="G240" t="s">
        <v>6520</v>
      </c>
      <c r="K240">
        <v>1</v>
      </c>
    </row>
    <row r="241" spans="1:11" x14ac:dyDescent="0.25">
      <c r="A241" t="s">
        <v>2253</v>
      </c>
      <c r="B241" t="s">
        <v>2257</v>
      </c>
      <c r="C241" t="s">
        <v>6289</v>
      </c>
      <c r="D241" t="s">
        <v>102</v>
      </c>
      <c r="E241" t="s">
        <v>6341</v>
      </c>
      <c r="F241" t="s">
        <v>6519</v>
      </c>
      <c r="G241" t="s">
        <v>6520</v>
      </c>
      <c r="K241">
        <v>1</v>
      </c>
    </row>
    <row r="242" spans="1:11" x14ac:dyDescent="0.25">
      <c r="A242" t="s">
        <v>2610</v>
      </c>
      <c r="B242" t="s">
        <v>2615</v>
      </c>
      <c r="C242" t="s">
        <v>6284</v>
      </c>
      <c r="D242" t="s">
        <v>102</v>
      </c>
      <c r="E242" t="s">
        <v>103</v>
      </c>
      <c r="F242" t="s">
        <v>294</v>
      </c>
      <c r="G242" t="s">
        <v>6521</v>
      </c>
      <c r="K242">
        <v>1</v>
      </c>
    </row>
    <row r="243" spans="1:11" x14ac:dyDescent="0.25">
      <c r="A243" t="s">
        <v>2610</v>
      </c>
      <c r="B243" t="s">
        <v>2615</v>
      </c>
      <c r="C243" t="s">
        <v>6289</v>
      </c>
      <c r="D243" t="s">
        <v>102</v>
      </c>
      <c r="E243" t="s">
        <v>103</v>
      </c>
      <c r="F243" t="s">
        <v>294</v>
      </c>
      <c r="G243" t="s">
        <v>6521</v>
      </c>
      <c r="K243">
        <v>1</v>
      </c>
    </row>
    <row r="244" spans="1:11" x14ac:dyDescent="0.25">
      <c r="A244" t="s">
        <v>2528</v>
      </c>
      <c r="B244" t="s">
        <v>2533</v>
      </c>
      <c r="C244" t="s">
        <v>6284</v>
      </c>
      <c r="D244" t="s">
        <v>102</v>
      </c>
      <c r="E244" t="s">
        <v>103</v>
      </c>
      <c r="F244" t="s">
        <v>294</v>
      </c>
      <c r="G244" t="s">
        <v>6522</v>
      </c>
      <c r="K244">
        <v>1</v>
      </c>
    </row>
    <row r="245" spans="1:11" x14ac:dyDescent="0.25">
      <c r="A245" t="s">
        <v>2528</v>
      </c>
      <c r="B245" t="s">
        <v>2533</v>
      </c>
      <c r="C245" t="s">
        <v>6289</v>
      </c>
      <c r="D245" t="s">
        <v>102</v>
      </c>
      <c r="E245" t="s">
        <v>103</v>
      </c>
      <c r="F245" t="s">
        <v>294</v>
      </c>
      <c r="G245" t="s">
        <v>6522</v>
      </c>
      <c r="K245">
        <v>1</v>
      </c>
    </row>
    <row r="246" spans="1:11" x14ac:dyDescent="0.25">
      <c r="A246" t="s">
        <v>3245</v>
      </c>
      <c r="B246" t="s">
        <v>3249</v>
      </c>
      <c r="C246" t="s">
        <v>6284</v>
      </c>
      <c r="D246" t="s">
        <v>102</v>
      </c>
      <c r="E246" t="s">
        <v>103</v>
      </c>
      <c r="F246" t="s">
        <v>6368</v>
      </c>
      <c r="G246" t="s">
        <v>6523</v>
      </c>
      <c r="K246">
        <v>1</v>
      </c>
    </row>
    <row r="247" spans="1:11" x14ac:dyDescent="0.25">
      <c r="A247" t="s">
        <v>3245</v>
      </c>
      <c r="B247" t="s">
        <v>3249</v>
      </c>
      <c r="C247" t="s">
        <v>6289</v>
      </c>
      <c r="D247" t="s">
        <v>102</v>
      </c>
      <c r="E247" t="s">
        <v>103</v>
      </c>
      <c r="F247" t="s">
        <v>6368</v>
      </c>
      <c r="G247" t="s">
        <v>6523</v>
      </c>
      <c r="K247">
        <v>1</v>
      </c>
    </row>
    <row r="248" spans="1:11" x14ac:dyDescent="0.25">
      <c r="A248" t="s">
        <v>1244</v>
      </c>
      <c r="B248" t="s">
        <v>1250</v>
      </c>
      <c r="C248" t="s">
        <v>6284</v>
      </c>
      <c r="D248" t="s">
        <v>102</v>
      </c>
      <c r="E248" t="s">
        <v>103</v>
      </c>
      <c r="F248" t="s">
        <v>294</v>
      </c>
      <c r="G248" t="s">
        <v>6524</v>
      </c>
      <c r="K248">
        <v>1</v>
      </c>
    </row>
    <row r="249" spans="1:11" x14ac:dyDescent="0.25">
      <c r="A249" t="s">
        <v>1244</v>
      </c>
      <c r="B249" t="s">
        <v>1250</v>
      </c>
      <c r="C249" t="s">
        <v>6289</v>
      </c>
      <c r="D249" t="s">
        <v>102</v>
      </c>
      <c r="E249" t="s">
        <v>103</v>
      </c>
      <c r="F249" t="s">
        <v>294</v>
      </c>
      <c r="G249" t="s">
        <v>6524</v>
      </c>
      <c r="K249">
        <v>1</v>
      </c>
    </row>
    <row r="250" spans="1:11" x14ac:dyDescent="0.25">
      <c r="A250" t="s">
        <v>2582</v>
      </c>
      <c r="B250" t="s">
        <v>2586</v>
      </c>
      <c r="C250" t="s">
        <v>6284</v>
      </c>
      <c r="D250" t="s">
        <v>102</v>
      </c>
      <c r="E250" t="s">
        <v>103</v>
      </c>
      <c r="F250" t="s">
        <v>294</v>
      </c>
      <c r="G250" t="s">
        <v>6525</v>
      </c>
      <c r="K250">
        <v>1</v>
      </c>
    </row>
    <row r="251" spans="1:11" x14ac:dyDescent="0.25">
      <c r="A251" t="s">
        <v>2582</v>
      </c>
      <c r="B251" t="s">
        <v>2586</v>
      </c>
      <c r="C251" t="s">
        <v>6289</v>
      </c>
      <c r="D251" t="s">
        <v>102</v>
      </c>
      <c r="E251" t="s">
        <v>103</v>
      </c>
      <c r="F251" t="s">
        <v>294</v>
      </c>
      <c r="G251" t="s">
        <v>6526</v>
      </c>
      <c r="K251">
        <v>1</v>
      </c>
    </row>
    <row r="252" spans="1:11" x14ac:dyDescent="0.25">
      <c r="A252" t="s">
        <v>2133</v>
      </c>
      <c r="B252" t="s">
        <v>2138</v>
      </c>
      <c r="C252" t="s">
        <v>6284</v>
      </c>
      <c r="D252" t="s">
        <v>102</v>
      </c>
      <c r="E252" t="s">
        <v>6292</v>
      </c>
      <c r="F252" t="s">
        <v>6527</v>
      </c>
      <c r="G252" t="s">
        <v>6528</v>
      </c>
      <c r="K252">
        <v>1</v>
      </c>
    </row>
    <row r="253" spans="1:11" x14ac:dyDescent="0.25">
      <c r="A253" t="s">
        <v>2133</v>
      </c>
      <c r="B253" t="s">
        <v>2138</v>
      </c>
      <c r="C253" t="s">
        <v>6289</v>
      </c>
      <c r="D253" t="s">
        <v>102</v>
      </c>
      <c r="E253" t="s">
        <v>6292</v>
      </c>
      <c r="F253" t="s">
        <v>6527</v>
      </c>
      <c r="G253" t="s">
        <v>6529</v>
      </c>
      <c r="K253">
        <v>1</v>
      </c>
    </row>
    <row r="254" spans="1:11" x14ac:dyDescent="0.25">
      <c r="A254" t="s">
        <v>3452</v>
      </c>
      <c r="B254" t="s">
        <v>3456</v>
      </c>
      <c r="C254" t="s">
        <v>6284</v>
      </c>
      <c r="D254" t="s">
        <v>102</v>
      </c>
      <c r="E254" t="s">
        <v>103</v>
      </c>
      <c r="F254" t="s">
        <v>6303</v>
      </c>
      <c r="G254" t="s">
        <v>6530</v>
      </c>
      <c r="K254">
        <v>1</v>
      </c>
    </row>
    <row r="255" spans="1:11" x14ac:dyDescent="0.25">
      <c r="A255" t="s">
        <v>3452</v>
      </c>
      <c r="B255" t="s">
        <v>3456</v>
      </c>
      <c r="C255" t="s">
        <v>6289</v>
      </c>
      <c r="D255" t="s">
        <v>102</v>
      </c>
      <c r="E255" t="s">
        <v>103</v>
      </c>
      <c r="F255" t="s">
        <v>6303</v>
      </c>
      <c r="G255" t="s">
        <v>6530</v>
      </c>
      <c r="K255">
        <v>1</v>
      </c>
    </row>
    <row r="256" spans="1:11" x14ac:dyDescent="0.25">
      <c r="A256" t="s">
        <v>1641</v>
      </c>
      <c r="B256" t="s">
        <v>1644</v>
      </c>
      <c r="C256" t="s">
        <v>6284</v>
      </c>
      <c r="D256" t="s">
        <v>102</v>
      </c>
      <c r="E256" t="s">
        <v>6296</v>
      </c>
      <c r="F256" t="s">
        <v>6309</v>
      </c>
      <c r="G256" t="s">
        <v>6531</v>
      </c>
      <c r="K256">
        <v>1</v>
      </c>
    </row>
    <row r="257" spans="1:11" x14ac:dyDescent="0.25">
      <c r="A257" t="s">
        <v>1641</v>
      </c>
      <c r="B257" t="s">
        <v>1644</v>
      </c>
      <c r="C257" t="s">
        <v>6289</v>
      </c>
      <c r="D257" t="s">
        <v>102</v>
      </c>
      <c r="E257" t="s">
        <v>6296</v>
      </c>
      <c r="F257" t="s">
        <v>6309</v>
      </c>
      <c r="G257" t="s">
        <v>6531</v>
      </c>
      <c r="K257">
        <v>1</v>
      </c>
    </row>
    <row r="258" spans="1:11" x14ac:dyDescent="0.25">
      <c r="A258" t="s">
        <v>2106</v>
      </c>
      <c r="B258" t="s">
        <v>2113</v>
      </c>
      <c r="C258" t="s">
        <v>6284</v>
      </c>
      <c r="D258" t="s">
        <v>102</v>
      </c>
      <c r="E258" t="s">
        <v>103</v>
      </c>
      <c r="F258" t="s">
        <v>6368</v>
      </c>
      <c r="G258" t="s">
        <v>6532</v>
      </c>
      <c r="K258">
        <v>1</v>
      </c>
    </row>
    <row r="259" spans="1:11" x14ac:dyDescent="0.25">
      <c r="A259" t="s">
        <v>2106</v>
      </c>
      <c r="B259" t="s">
        <v>2113</v>
      </c>
      <c r="C259" t="s">
        <v>6289</v>
      </c>
      <c r="D259" t="s">
        <v>102</v>
      </c>
      <c r="E259" t="s">
        <v>103</v>
      </c>
      <c r="F259" t="s">
        <v>6368</v>
      </c>
      <c r="G259" t="s">
        <v>6532</v>
      </c>
      <c r="K259">
        <v>1</v>
      </c>
    </row>
    <row r="260" spans="1:11" x14ac:dyDescent="0.25">
      <c r="A260" t="s">
        <v>3202</v>
      </c>
      <c r="B260" t="s">
        <v>3205</v>
      </c>
      <c r="C260" t="s">
        <v>6284</v>
      </c>
      <c r="D260" t="s">
        <v>102</v>
      </c>
      <c r="E260" t="s">
        <v>103</v>
      </c>
      <c r="F260" t="s">
        <v>294</v>
      </c>
      <c r="G260" t="s">
        <v>6533</v>
      </c>
      <c r="K260">
        <v>1</v>
      </c>
    </row>
    <row r="261" spans="1:11" x14ac:dyDescent="0.25">
      <c r="A261" t="s">
        <v>3202</v>
      </c>
      <c r="B261" t="s">
        <v>3205</v>
      </c>
      <c r="C261" t="s">
        <v>6289</v>
      </c>
      <c r="D261" t="s">
        <v>102</v>
      </c>
      <c r="E261" t="s">
        <v>103</v>
      </c>
      <c r="F261" t="s">
        <v>294</v>
      </c>
      <c r="G261" t="s">
        <v>6533</v>
      </c>
      <c r="K261">
        <v>1</v>
      </c>
    </row>
    <row r="262" spans="1:11" x14ac:dyDescent="0.25">
      <c r="A262" t="s">
        <v>3572</v>
      </c>
      <c r="B262" t="s">
        <v>3577</v>
      </c>
      <c r="C262" t="s">
        <v>6284</v>
      </c>
      <c r="D262" t="s">
        <v>102</v>
      </c>
      <c r="E262" t="s">
        <v>103</v>
      </c>
      <c r="F262" t="s">
        <v>6534</v>
      </c>
      <c r="G262" t="s">
        <v>6535</v>
      </c>
      <c r="K262">
        <v>1</v>
      </c>
    </row>
    <row r="263" spans="1:11" x14ac:dyDescent="0.25">
      <c r="A263" t="s">
        <v>3572</v>
      </c>
      <c r="B263" t="s">
        <v>3577</v>
      </c>
      <c r="C263" t="s">
        <v>6289</v>
      </c>
      <c r="D263" t="s">
        <v>102</v>
      </c>
      <c r="E263" t="s">
        <v>103</v>
      </c>
      <c r="F263" t="s">
        <v>6534</v>
      </c>
      <c r="G263" t="s">
        <v>6535</v>
      </c>
      <c r="K263">
        <v>1</v>
      </c>
    </row>
    <row r="264" spans="1:11" x14ac:dyDescent="0.25">
      <c r="A264" t="s">
        <v>2846</v>
      </c>
      <c r="B264" t="s">
        <v>2850</v>
      </c>
      <c r="C264" t="s">
        <v>6284</v>
      </c>
      <c r="D264" t="s">
        <v>102</v>
      </c>
      <c r="E264" t="s">
        <v>103</v>
      </c>
      <c r="F264" t="s">
        <v>294</v>
      </c>
      <c r="G264" t="s">
        <v>6536</v>
      </c>
      <c r="K264">
        <v>1</v>
      </c>
    </row>
    <row r="265" spans="1:11" x14ac:dyDescent="0.25">
      <c r="A265" t="s">
        <v>2846</v>
      </c>
      <c r="B265" t="s">
        <v>2850</v>
      </c>
      <c r="C265" t="s">
        <v>6289</v>
      </c>
      <c r="D265" t="s">
        <v>102</v>
      </c>
      <c r="E265" t="s">
        <v>103</v>
      </c>
      <c r="F265" t="s">
        <v>294</v>
      </c>
      <c r="G265" t="s">
        <v>6537</v>
      </c>
      <c r="K265">
        <v>1</v>
      </c>
    </row>
    <row r="266" spans="1:11" x14ac:dyDescent="0.25">
      <c r="A266" t="s">
        <v>1468</v>
      </c>
      <c r="B266" t="s">
        <v>1473</v>
      </c>
      <c r="C266" t="s">
        <v>6284</v>
      </c>
      <c r="D266" t="s">
        <v>102</v>
      </c>
      <c r="E266" t="s">
        <v>6292</v>
      </c>
      <c r="F266" t="s">
        <v>6527</v>
      </c>
      <c r="G266" t="s">
        <v>6538</v>
      </c>
      <c r="K266">
        <v>1</v>
      </c>
    </row>
    <row r="267" spans="1:11" x14ac:dyDescent="0.25">
      <c r="A267" t="s">
        <v>1468</v>
      </c>
      <c r="B267" t="s">
        <v>1473</v>
      </c>
      <c r="C267" t="s">
        <v>6289</v>
      </c>
      <c r="D267" t="s">
        <v>102</v>
      </c>
      <c r="E267" t="s">
        <v>103</v>
      </c>
      <c r="F267" t="s">
        <v>6285</v>
      </c>
      <c r="G267" t="s">
        <v>6539</v>
      </c>
      <c r="K267">
        <v>1</v>
      </c>
    </row>
    <row r="268" spans="1:11" x14ac:dyDescent="0.25">
      <c r="A268" t="s">
        <v>2294</v>
      </c>
      <c r="B268" t="s">
        <v>2298</v>
      </c>
      <c r="C268" t="s">
        <v>6284</v>
      </c>
      <c r="D268" t="s">
        <v>6540</v>
      </c>
      <c r="E268" t="s">
        <v>6540</v>
      </c>
      <c r="F268" t="s">
        <v>6541</v>
      </c>
      <c r="G268" t="s">
        <v>6542</v>
      </c>
      <c r="K268">
        <v>1</v>
      </c>
    </row>
    <row r="269" spans="1:11" x14ac:dyDescent="0.25">
      <c r="A269" t="s">
        <v>2294</v>
      </c>
      <c r="B269" t="s">
        <v>2298</v>
      </c>
      <c r="C269" t="s">
        <v>6289</v>
      </c>
      <c r="D269" t="s">
        <v>102</v>
      </c>
      <c r="E269" t="s">
        <v>103</v>
      </c>
      <c r="F269" t="s">
        <v>6285</v>
      </c>
      <c r="G269" t="s">
        <v>6543</v>
      </c>
      <c r="K269">
        <v>1</v>
      </c>
    </row>
    <row r="270" spans="1:11" x14ac:dyDescent="0.25">
      <c r="A270" t="s">
        <v>2742</v>
      </c>
      <c r="B270" t="s">
        <v>2746</v>
      </c>
      <c r="C270" t="s">
        <v>6284</v>
      </c>
      <c r="D270" t="s">
        <v>102</v>
      </c>
      <c r="E270" t="s">
        <v>103</v>
      </c>
      <c r="F270" t="s">
        <v>294</v>
      </c>
      <c r="G270" t="s">
        <v>6544</v>
      </c>
      <c r="K270">
        <v>1</v>
      </c>
    </row>
    <row r="271" spans="1:11" x14ac:dyDescent="0.25">
      <c r="A271" t="s">
        <v>2742</v>
      </c>
      <c r="B271" t="s">
        <v>2746</v>
      </c>
      <c r="C271" t="s">
        <v>6289</v>
      </c>
      <c r="D271" t="s">
        <v>102</v>
      </c>
      <c r="E271" t="s">
        <v>103</v>
      </c>
      <c r="F271" t="s">
        <v>294</v>
      </c>
      <c r="G271" t="s">
        <v>6544</v>
      </c>
      <c r="K271">
        <v>1</v>
      </c>
    </row>
    <row r="272" spans="1:11" x14ac:dyDescent="0.25">
      <c r="A272" t="s">
        <v>2915</v>
      </c>
      <c r="B272" t="s">
        <v>2921</v>
      </c>
      <c r="C272" t="s">
        <v>6284</v>
      </c>
      <c r="D272" t="s">
        <v>1170</v>
      </c>
      <c r="E272" t="s">
        <v>6545</v>
      </c>
      <c r="F272" t="s">
        <v>6546</v>
      </c>
      <c r="G272" t="s">
        <v>6547</v>
      </c>
      <c r="K272">
        <v>1</v>
      </c>
    </row>
    <row r="273" spans="1:11" x14ac:dyDescent="0.25">
      <c r="A273" t="s">
        <v>2915</v>
      </c>
      <c r="B273" t="s">
        <v>2921</v>
      </c>
      <c r="C273" t="s">
        <v>6289</v>
      </c>
      <c r="D273" t="s">
        <v>1170</v>
      </c>
      <c r="E273" t="s">
        <v>6545</v>
      </c>
      <c r="F273" t="s">
        <v>6546</v>
      </c>
      <c r="G273" t="s">
        <v>6548</v>
      </c>
      <c r="K273">
        <v>1</v>
      </c>
    </row>
    <row r="274" spans="1:11" x14ac:dyDescent="0.25">
      <c r="A274" t="s">
        <v>2718</v>
      </c>
      <c r="B274" t="s">
        <v>2722</v>
      </c>
      <c r="C274" t="s">
        <v>6284</v>
      </c>
      <c r="D274" t="s">
        <v>102</v>
      </c>
      <c r="E274" t="s">
        <v>103</v>
      </c>
      <c r="F274" t="s">
        <v>294</v>
      </c>
      <c r="G274" t="s">
        <v>6549</v>
      </c>
      <c r="K274">
        <v>1</v>
      </c>
    </row>
    <row r="275" spans="1:11" x14ac:dyDescent="0.25">
      <c r="A275" t="s">
        <v>2718</v>
      </c>
      <c r="B275" t="s">
        <v>2722</v>
      </c>
      <c r="C275" t="s">
        <v>6289</v>
      </c>
      <c r="D275" t="s">
        <v>102</v>
      </c>
      <c r="E275" t="s">
        <v>103</v>
      </c>
      <c r="F275" t="s">
        <v>294</v>
      </c>
      <c r="G275" t="s">
        <v>6549</v>
      </c>
      <c r="K275">
        <v>1</v>
      </c>
    </row>
    <row r="276" spans="1:11" x14ac:dyDescent="0.25">
      <c r="A276" t="s">
        <v>3544</v>
      </c>
      <c r="B276" t="s">
        <v>3548</v>
      </c>
      <c r="C276" t="s">
        <v>6284</v>
      </c>
      <c r="D276" t="s">
        <v>102</v>
      </c>
      <c r="E276" t="s">
        <v>6292</v>
      </c>
      <c r="F276" t="s">
        <v>6550</v>
      </c>
      <c r="G276" t="s">
        <v>6551</v>
      </c>
      <c r="K276">
        <v>1</v>
      </c>
    </row>
    <row r="277" spans="1:11" x14ac:dyDescent="0.25">
      <c r="A277" t="s">
        <v>3544</v>
      </c>
      <c r="B277" t="s">
        <v>3548</v>
      </c>
      <c r="C277" t="s">
        <v>6289</v>
      </c>
      <c r="D277" t="s">
        <v>102</v>
      </c>
      <c r="E277" t="s">
        <v>6292</v>
      </c>
      <c r="F277" t="s">
        <v>6550</v>
      </c>
      <c r="G277" t="s">
        <v>6552</v>
      </c>
      <c r="K277">
        <v>1</v>
      </c>
    </row>
    <row r="278" spans="1:11" x14ac:dyDescent="0.25">
      <c r="A278" t="s">
        <v>1272</v>
      </c>
      <c r="B278" t="s">
        <v>1276</v>
      </c>
      <c r="C278" t="s">
        <v>6284</v>
      </c>
      <c r="D278" t="s">
        <v>102</v>
      </c>
      <c r="E278" t="s">
        <v>6319</v>
      </c>
      <c r="F278" t="s">
        <v>6553</v>
      </c>
      <c r="G278" t="s">
        <v>6554</v>
      </c>
      <c r="K278">
        <v>1</v>
      </c>
    </row>
    <row r="279" spans="1:11" x14ac:dyDescent="0.25">
      <c r="A279" t="s">
        <v>1272</v>
      </c>
      <c r="B279" t="s">
        <v>1276</v>
      </c>
      <c r="C279" t="s">
        <v>6289</v>
      </c>
      <c r="D279" t="s">
        <v>102</v>
      </c>
      <c r="E279" t="s">
        <v>103</v>
      </c>
      <c r="F279" t="s">
        <v>6285</v>
      </c>
      <c r="G279" t="s">
        <v>6555</v>
      </c>
      <c r="K279">
        <v>1</v>
      </c>
    </row>
    <row r="280" spans="1:11" x14ac:dyDescent="0.25">
      <c r="A280" t="s">
        <v>3562</v>
      </c>
      <c r="B280" t="s">
        <v>3566</v>
      </c>
      <c r="C280" t="s">
        <v>6284</v>
      </c>
      <c r="D280" t="s">
        <v>102</v>
      </c>
      <c r="E280" t="s">
        <v>103</v>
      </c>
      <c r="F280" t="s">
        <v>6303</v>
      </c>
      <c r="G280" t="s">
        <v>6556</v>
      </c>
      <c r="K280">
        <v>1</v>
      </c>
    </row>
    <row r="281" spans="1:11" x14ac:dyDescent="0.25">
      <c r="A281" t="s">
        <v>3562</v>
      </c>
      <c r="B281" t="s">
        <v>3566</v>
      </c>
      <c r="C281" t="s">
        <v>6289</v>
      </c>
      <c r="D281" t="s">
        <v>102</v>
      </c>
      <c r="E281" t="s">
        <v>103</v>
      </c>
      <c r="F281" t="s">
        <v>6303</v>
      </c>
      <c r="G281" t="s">
        <v>6556</v>
      </c>
      <c r="K281">
        <v>1</v>
      </c>
    </row>
    <row r="282" spans="1:11" x14ac:dyDescent="0.25">
      <c r="A282" t="s">
        <v>3380</v>
      </c>
      <c r="B282" t="s">
        <v>3384</v>
      </c>
      <c r="C282" t="s">
        <v>6284</v>
      </c>
      <c r="D282" t="s">
        <v>102</v>
      </c>
      <c r="E282" t="s">
        <v>6305</v>
      </c>
      <c r="F282" t="s">
        <v>6557</v>
      </c>
      <c r="G282" t="s">
        <v>6558</v>
      </c>
      <c r="K282">
        <v>1</v>
      </c>
    </row>
    <row r="283" spans="1:11" x14ac:dyDescent="0.25">
      <c r="A283" t="s">
        <v>3380</v>
      </c>
      <c r="B283" t="s">
        <v>3384</v>
      </c>
      <c r="C283" t="s">
        <v>6289</v>
      </c>
      <c r="D283" t="s">
        <v>102</v>
      </c>
      <c r="E283" t="s">
        <v>6305</v>
      </c>
      <c r="F283" t="s">
        <v>6557</v>
      </c>
      <c r="G283" t="s">
        <v>6558</v>
      </c>
      <c r="K283">
        <v>1</v>
      </c>
    </row>
    <row r="284" spans="1:11" x14ac:dyDescent="0.25">
      <c r="A284" t="s">
        <v>1415</v>
      </c>
      <c r="B284" t="s">
        <v>1421</v>
      </c>
      <c r="C284" t="s">
        <v>6284</v>
      </c>
      <c r="D284" t="s">
        <v>102</v>
      </c>
      <c r="E284" t="s">
        <v>6296</v>
      </c>
      <c r="F284" t="s">
        <v>6559</v>
      </c>
      <c r="G284" t="s">
        <v>6560</v>
      </c>
      <c r="K284">
        <v>1</v>
      </c>
    </row>
    <row r="285" spans="1:11" x14ac:dyDescent="0.25">
      <c r="A285" t="s">
        <v>1415</v>
      </c>
      <c r="B285" t="s">
        <v>1421</v>
      </c>
      <c r="C285" t="s">
        <v>6289</v>
      </c>
      <c r="D285" t="s">
        <v>102</v>
      </c>
      <c r="E285" t="s">
        <v>6296</v>
      </c>
      <c r="F285" t="s">
        <v>6559</v>
      </c>
      <c r="G285" t="s">
        <v>6560</v>
      </c>
      <c r="K285">
        <v>1</v>
      </c>
    </row>
    <row r="286" spans="1:11" x14ac:dyDescent="0.25">
      <c r="A286" t="s">
        <v>3445</v>
      </c>
      <c r="B286" t="s">
        <v>3448</v>
      </c>
      <c r="C286" t="s">
        <v>6284</v>
      </c>
      <c r="D286" t="s">
        <v>102</v>
      </c>
      <c r="E286" t="s">
        <v>103</v>
      </c>
      <c r="F286" t="s">
        <v>294</v>
      </c>
      <c r="G286" t="s">
        <v>6561</v>
      </c>
      <c r="K286">
        <v>1</v>
      </c>
    </row>
    <row r="287" spans="1:11" x14ac:dyDescent="0.25">
      <c r="A287" t="s">
        <v>3445</v>
      </c>
      <c r="B287" t="s">
        <v>3448</v>
      </c>
      <c r="C287" t="s">
        <v>6289</v>
      </c>
      <c r="D287" t="s">
        <v>102</v>
      </c>
      <c r="E287" t="s">
        <v>103</v>
      </c>
      <c r="F287" t="s">
        <v>294</v>
      </c>
      <c r="G287" t="s">
        <v>6561</v>
      </c>
      <c r="K287">
        <v>1</v>
      </c>
    </row>
    <row r="288" spans="1:11" x14ac:dyDescent="0.25">
      <c r="A288" t="s">
        <v>1036</v>
      </c>
      <c r="B288" t="s">
        <v>1043</v>
      </c>
      <c r="C288" t="s">
        <v>6284</v>
      </c>
      <c r="D288" t="s">
        <v>102</v>
      </c>
      <c r="E288" t="s">
        <v>6296</v>
      </c>
      <c r="F288" t="s">
        <v>6313</v>
      </c>
      <c r="G288" t="s">
        <v>6562</v>
      </c>
      <c r="K288">
        <v>1</v>
      </c>
    </row>
    <row r="289" spans="1:11" x14ac:dyDescent="0.25">
      <c r="A289" t="s">
        <v>1036</v>
      </c>
      <c r="B289" t="s">
        <v>1043</v>
      </c>
      <c r="C289" t="s">
        <v>6289</v>
      </c>
      <c r="D289" t="s">
        <v>102</v>
      </c>
      <c r="E289" t="s">
        <v>6296</v>
      </c>
      <c r="F289" t="s">
        <v>6563</v>
      </c>
      <c r="G289" t="s">
        <v>6564</v>
      </c>
      <c r="K289">
        <v>1</v>
      </c>
    </row>
    <row r="290" spans="1:11" x14ac:dyDescent="0.25">
      <c r="A290" t="s">
        <v>1863</v>
      </c>
      <c r="B290" t="s">
        <v>1867</v>
      </c>
      <c r="C290" t="s">
        <v>6284</v>
      </c>
      <c r="D290" t="s">
        <v>102</v>
      </c>
      <c r="E290" t="s">
        <v>103</v>
      </c>
      <c r="F290" t="s">
        <v>294</v>
      </c>
      <c r="G290" t="s">
        <v>6565</v>
      </c>
      <c r="K290">
        <v>1</v>
      </c>
    </row>
    <row r="291" spans="1:11" x14ac:dyDescent="0.25">
      <c r="A291" t="s">
        <v>1863</v>
      </c>
      <c r="B291" t="s">
        <v>1867</v>
      </c>
      <c r="C291" t="s">
        <v>6289</v>
      </c>
      <c r="D291" t="s">
        <v>102</v>
      </c>
      <c r="E291" t="s">
        <v>103</v>
      </c>
      <c r="F291" t="s">
        <v>294</v>
      </c>
      <c r="G291" t="s">
        <v>6565</v>
      </c>
      <c r="K291">
        <v>1</v>
      </c>
    </row>
    <row r="292" spans="1:11" x14ac:dyDescent="0.25">
      <c r="A292" t="s">
        <v>1646</v>
      </c>
      <c r="B292" t="s">
        <v>1649</v>
      </c>
      <c r="C292" t="s">
        <v>6284</v>
      </c>
      <c r="D292" t="s">
        <v>102</v>
      </c>
      <c r="E292" t="s">
        <v>6305</v>
      </c>
      <c r="F292" t="s">
        <v>6566</v>
      </c>
      <c r="G292" t="s">
        <v>6567</v>
      </c>
      <c r="K292">
        <v>1</v>
      </c>
    </row>
    <row r="293" spans="1:11" x14ac:dyDescent="0.25">
      <c r="A293" t="s">
        <v>1646</v>
      </c>
      <c r="B293" t="s">
        <v>1649</v>
      </c>
      <c r="C293" t="s">
        <v>6289</v>
      </c>
      <c r="D293" t="s">
        <v>102</v>
      </c>
      <c r="E293" t="s">
        <v>6305</v>
      </c>
      <c r="F293" t="s">
        <v>6566</v>
      </c>
      <c r="G293" t="s">
        <v>6567</v>
      </c>
      <c r="K293">
        <v>1</v>
      </c>
    </row>
    <row r="294" spans="1:11" x14ac:dyDescent="0.25">
      <c r="A294" t="s">
        <v>2862</v>
      </c>
      <c r="B294" t="s">
        <v>2867</v>
      </c>
      <c r="C294" t="s">
        <v>6284</v>
      </c>
      <c r="D294" t="s">
        <v>102</v>
      </c>
      <c r="E294" t="s">
        <v>6296</v>
      </c>
      <c r="F294" t="s">
        <v>6559</v>
      </c>
      <c r="G294" t="s">
        <v>6568</v>
      </c>
      <c r="K294">
        <v>1</v>
      </c>
    </row>
    <row r="295" spans="1:11" x14ac:dyDescent="0.25">
      <c r="A295" t="s">
        <v>2862</v>
      </c>
      <c r="B295" t="s">
        <v>2867</v>
      </c>
      <c r="C295" t="s">
        <v>6289</v>
      </c>
      <c r="D295" t="s">
        <v>102</v>
      </c>
      <c r="E295" t="s">
        <v>6296</v>
      </c>
      <c r="F295" t="s">
        <v>6559</v>
      </c>
      <c r="G295" t="s">
        <v>6568</v>
      </c>
      <c r="K295">
        <v>1</v>
      </c>
    </row>
    <row r="296" spans="1:11" x14ac:dyDescent="0.25">
      <c r="A296" t="s">
        <v>2267</v>
      </c>
      <c r="B296" t="s">
        <v>2273</v>
      </c>
      <c r="C296" t="s">
        <v>6284</v>
      </c>
      <c r="D296" t="s">
        <v>102</v>
      </c>
      <c r="E296" t="s">
        <v>103</v>
      </c>
      <c r="F296" t="s">
        <v>6285</v>
      </c>
      <c r="G296" t="s">
        <v>6569</v>
      </c>
      <c r="K296">
        <v>1</v>
      </c>
    </row>
    <row r="297" spans="1:11" x14ac:dyDescent="0.25">
      <c r="A297" t="s">
        <v>2267</v>
      </c>
      <c r="B297" t="s">
        <v>2273</v>
      </c>
      <c r="C297" t="s">
        <v>6289</v>
      </c>
      <c r="D297" t="s">
        <v>102</v>
      </c>
      <c r="E297" t="s">
        <v>103</v>
      </c>
      <c r="F297" t="s">
        <v>6534</v>
      </c>
      <c r="G297" t="s">
        <v>6570</v>
      </c>
      <c r="K297">
        <v>1</v>
      </c>
    </row>
    <row r="298" spans="1:11" x14ac:dyDescent="0.25">
      <c r="A298" t="s">
        <v>952</v>
      </c>
      <c r="B298" t="s">
        <v>955</v>
      </c>
      <c r="C298" t="s">
        <v>6284</v>
      </c>
      <c r="D298" t="s">
        <v>102</v>
      </c>
      <c r="E298" t="s">
        <v>6296</v>
      </c>
      <c r="F298" t="s">
        <v>6309</v>
      </c>
      <c r="G298" t="s">
        <v>6571</v>
      </c>
      <c r="K298">
        <v>1</v>
      </c>
    </row>
    <row r="299" spans="1:11" x14ac:dyDescent="0.25">
      <c r="A299" t="s">
        <v>952</v>
      </c>
      <c r="B299" t="s">
        <v>955</v>
      </c>
      <c r="C299" t="s">
        <v>6289</v>
      </c>
      <c r="D299" t="s">
        <v>102</v>
      </c>
      <c r="E299" t="s">
        <v>6296</v>
      </c>
      <c r="F299" t="s">
        <v>6309</v>
      </c>
      <c r="G299" t="s">
        <v>6571</v>
      </c>
      <c r="K299">
        <v>1</v>
      </c>
    </row>
    <row r="300" spans="1:11" x14ac:dyDescent="0.25">
      <c r="A300" t="s">
        <v>857</v>
      </c>
      <c r="B300" t="s">
        <v>866</v>
      </c>
      <c r="C300" t="s">
        <v>6284</v>
      </c>
      <c r="D300" t="s">
        <v>102</v>
      </c>
      <c r="E300" t="s">
        <v>6296</v>
      </c>
      <c r="F300" t="s">
        <v>6354</v>
      </c>
      <c r="G300" t="s">
        <v>6572</v>
      </c>
      <c r="K300">
        <v>1</v>
      </c>
    </row>
    <row r="301" spans="1:11" x14ac:dyDescent="0.25">
      <c r="A301" t="s">
        <v>857</v>
      </c>
      <c r="B301" t="s">
        <v>866</v>
      </c>
      <c r="C301" t="s">
        <v>6289</v>
      </c>
      <c r="D301" t="s">
        <v>102</v>
      </c>
      <c r="E301" t="s">
        <v>103</v>
      </c>
      <c r="F301" t="s">
        <v>6286</v>
      </c>
      <c r="G301" t="s">
        <v>6573</v>
      </c>
      <c r="K301">
        <v>1</v>
      </c>
    </row>
    <row r="302" spans="1:11" x14ac:dyDescent="0.25">
      <c r="A302" t="s">
        <v>1607</v>
      </c>
      <c r="B302" t="s">
        <v>1612</v>
      </c>
      <c r="C302" t="s">
        <v>6284</v>
      </c>
      <c r="D302" t="s">
        <v>102</v>
      </c>
      <c r="E302" t="s">
        <v>6346</v>
      </c>
      <c r="F302" t="s">
        <v>6574</v>
      </c>
      <c r="G302" t="s">
        <v>6575</v>
      </c>
      <c r="K302">
        <v>1</v>
      </c>
    </row>
    <row r="303" spans="1:11" x14ac:dyDescent="0.25">
      <c r="A303" t="s">
        <v>1607</v>
      </c>
      <c r="B303" t="s">
        <v>1612</v>
      </c>
      <c r="C303" t="s">
        <v>6289</v>
      </c>
      <c r="D303" t="s">
        <v>102</v>
      </c>
      <c r="E303" t="s">
        <v>6346</v>
      </c>
      <c r="F303" t="s">
        <v>6574</v>
      </c>
      <c r="G303" t="s">
        <v>6575</v>
      </c>
      <c r="K303">
        <v>1</v>
      </c>
    </row>
    <row r="304" spans="1:11" x14ac:dyDescent="0.25">
      <c r="A304" t="s">
        <v>3503</v>
      </c>
      <c r="B304" t="s">
        <v>3509</v>
      </c>
      <c r="C304" t="s">
        <v>6284</v>
      </c>
      <c r="D304" t="s">
        <v>102</v>
      </c>
      <c r="E304" t="s">
        <v>103</v>
      </c>
      <c r="F304" t="s">
        <v>6285</v>
      </c>
      <c r="G304" t="s">
        <v>6576</v>
      </c>
      <c r="K304">
        <v>1</v>
      </c>
    </row>
    <row r="305" spans="1:11" x14ac:dyDescent="0.25">
      <c r="A305" t="s">
        <v>3503</v>
      </c>
      <c r="B305" t="s">
        <v>3509</v>
      </c>
      <c r="C305" t="s">
        <v>6289</v>
      </c>
      <c r="D305" t="s">
        <v>102</v>
      </c>
      <c r="E305" t="s">
        <v>103</v>
      </c>
      <c r="F305" t="s">
        <v>6285</v>
      </c>
      <c r="G305" t="s">
        <v>6577</v>
      </c>
      <c r="K305">
        <v>1</v>
      </c>
    </row>
    <row r="306" spans="1:11" x14ac:dyDescent="0.25">
      <c r="A306" t="s">
        <v>1194</v>
      </c>
      <c r="B306" t="s">
        <v>1198</v>
      </c>
      <c r="C306" t="s">
        <v>6284</v>
      </c>
      <c r="D306" t="s">
        <v>102</v>
      </c>
      <c r="E306" t="s">
        <v>6319</v>
      </c>
      <c r="F306" t="s">
        <v>6470</v>
      </c>
      <c r="G306" t="s">
        <v>6578</v>
      </c>
      <c r="K306">
        <v>1</v>
      </c>
    </row>
    <row r="307" spans="1:11" x14ac:dyDescent="0.25">
      <c r="A307" t="s">
        <v>1194</v>
      </c>
      <c r="B307" t="s">
        <v>1198</v>
      </c>
      <c r="C307" t="s">
        <v>6289</v>
      </c>
      <c r="D307" t="s">
        <v>102</v>
      </c>
      <c r="E307" t="s">
        <v>103</v>
      </c>
      <c r="F307" t="s">
        <v>6286</v>
      </c>
      <c r="G307" t="s">
        <v>6579</v>
      </c>
      <c r="K307">
        <v>1</v>
      </c>
    </row>
    <row r="308" spans="1:11" x14ac:dyDescent="0.25">
      <c r="A308" t="s">
        <v>902</v>
      </c>
      <c r="B308" t="s">
        <v>907</v>
      </c>
      <c r="C308" t="s">
        <v>6284</v>
      </c>
      <c r="D308" t="s">
        <v>102</v>
      </c>
      <c r="E308" t="s">
        <v>103</v>
      </c>
      <c r="F308" t="s">
        <v>6285</v>
      </c>
      <c r="G308" t="s">
        <v>6580</v>
      </c>
      <c r="K308">
        <v>1</v>
      </c>
    </row>
    <row r="309" spans="1:11" x14ac:dyDescent="0.25">
      <c r="A309" t="s">
        <v>902</v>
      </c>
      <c r="B309" t="s">
        <v>907</v>
      </c>
      <c r="C309" t="s">
        <v>6289</v>
      </c>
      <c r="D309" t="s">
        <v>102</v>
      </c>
      <c r="E309" t="s">
        <v>103</v>
      </c>
      <c r="F309" t="s">
        <v>6285</v>
      </c>
      <c r="G309" t="s">
        <v>6580</v>
      </c>
      <c r="K309">
        <v>1</v>
      </c>
    </row>
    <row r="310" spans="1:11" x14ac:dyDescent="0.25">
      <c r="A310" t="s">
        <v>2852</v>
      </c>
      <c r="B310" t="s">
        <v>2856</v>
      </c>
      <c r="C310" t="s">
        <v>6284</v>
      </c>
      <c r="D310" t="s">
        <v>102</v>
      </c>
      <c r="E310" t="s">
        <v>103</v>
      </c>
      <c r="F310" t="s">
        <v>6303</v>
      </c>
      <c r="G310" t="s">
        <v>6581</v>
      </c>
      <c r="K310">
        <v>1</v>
      </c>
    </row>
    <row r="311" spans="1:11" x14ac:dyDescent="0.25">
      <c r="A311" t="s">
        <v>2852</v>
      </c>
      <c r="B311" t="s">
        <v>2856</v>
      </c>
      <c r="C311" t="s">
        <v>6289</v>
      </c>
      <c r="D311" t="s">
        <v>102</v>
      </c>
      <c r="E311" t="s">
        <v>103</v>
      </c>
      <c r="F311" t="s">
        <v>6303</v>
      </c>
      <c r="G311" t="s">
        <v>6581</v>
      </c>
      <c r="K311">
        <v>1</v>
      </c>
    </row>
    <row r="312" spans="1:11" x14ac:dyDescent="0.25">
      <c r="A312" t="s">
        <v>957</v>
      </c>
      <c r="B312" t="s">
        <v>960</v>
      </c>
      <c r="C312" t="s">
        <v>6284</v>
      </c>
      <c r="D312" t="s">
        <v>102</v>
      </c>
      <c r="E312" t="s">
        <v>6313</v>
      </c>
      <c r="G312" t="s">
        <v>6582</v>
      </c>
      <c r="K312">
        <v>1</v>
      </c>
    </row>
    <row r="313" spans="1:11" x14ac:dyDescent="0.25">
      <c r="A313" t="s">
        <v>957</v>
      </c>
      <c r="B313" t="s">
        <v>960</v>
      </c>
      <c r="C313" t="s">
        <v>6289</v>
      </c>
      <c r="D313" t="s">
        <v>102</v>
      </c>
      <c r="E313" t="s">
        <v>6313</v>
      </c>
      <c r="G313" t="s">
        <v>6582</v>
      </c>
      <c r="K313">
        <v>1</v>
      </c>
    </row>
    <row r="314" spans="1:11" x14ac:dyDescent="0.25">
      <c r="A314" t="s">
        <v>807</v>
      </c>
      <c r="B314" t="s">
        <v>812</v>
      </c>
      <c r="C314" t="s">
        <v>6284</v>
      </c>
      <c r="D314" t="s">
        <v>102</v>
      </c>
      <c r="E314" t="s">
        <v>6305</v>
      </c>
      <c r="F314" t="s">
        <v>6306</v>
      </c>
      <c r="G314" t="s">
        <v>6583</v>
      </c>
      <c r="K314">
        <v>1</v>
      </c>
    </row>
    <row r="315" spans="1:11" x14ac:dyDescent="0.25">
      <c r="A315" t="s">
        <v>807</v>
      </c>
      <c r="B315" t="s">
        <v>812</v>
      </c>
      <c r="C315" t="s">
        <v>6289</v>
      </c>
      <c r="D315" t="s">
        <v>102</v>
      </c>
      <c r="E315" t="s">
        <v>6305</v>
      </c>
      <c r="F315" t="s">
        <v>6306</v>
      </c>
      <c r="G315" t="s">
        <v>6583</v>
      </c>
      <c r="K315">
        <v>1</v>
      </c>
    </row>
    <row r="316" spans="1:11" x14ac:dyDescent="0.25">
      <c r="A316" t="s">
        <v>1845</v>
      </c>
      <c r="B316" t="s">
        <v>1850</v>
      </c>
      <c r="C316" t="s">
        <v>6284</v>
      </c>
      <c r="D316" t="s">
        <v>102</v>
      </c>
      <c r="E316" t="s">
        <v>103</v>
      </c>
      <c r="F316" t="s">
        <v>6285</v>
      </c>
      <c r="G316" t="s">
        <v>6584</v>
      </c>
      <c r="K316">
        <v>1</v>
      </c>
    </row>
    <row r="317" spans="1:11" x14ac:dyDescent="0.25">
      <c r="A317" t="s">
        <v>1845</v>
      </c>
      <c r="B317" t="s">
        <v>1850</v>
      </c>
      <c r="C317" t="s">
        <v>6289</v>
      </c>
      <c r="D317" t="s">
        <v>102</v>
      </c>
      <c r="E317" t="s">
        <v>103</v>
      </c>
      <c r="F317" t="s">
        <v>6285</v>
      </c>
      <c r="G317" t="s">
        <v>6584</v>
      </c>
      <c r="K317">
        <v>1</v>
      </c>
    </row>
    <row r="318" spans="1:11" x14ac:dyDescent="0.25">
      <c r="A318" t="s">
        <v>1777</v>
      </c>
      <c r="B318" t="s">
        <v>1780</v>
      </c>
      <c r="C318" t="s">
        <v>6284</v>
      </c>
      <c r="D318" t="s">
        <v>102</v>
      </c>
      <c r="E318" t="s">
        <v>6585</v>
      </c>
      <c r="F318" t="s">
        <v>6586</v>
      </c>
      <c r="G318" t="s">
        <v>6587</v>
      </c>
      <c r="K318">
        <v>1</v>
      </c>
    </row>
    <row r="319" spans="1:11" x14ac:dyDescent="0.25">
      <c r="A319" t="s">
        <v>1777</v>
      </c>
      <c r="B319" t="s">
        <v>1780</v>
      </c>
      <c r="C319" t="s">
        <v>6289</v>
      </c>
      <c r="D319" t="s">
        <v>102</v>
      </c>
      <c r="E319" t="s">
        <v>6585</v>
      </c>
      <c r="F319" t="s">
        <v>6586</v>
      </c>
      <c r="G319" t="s">
        <v>6587</v>
      </c>
      <c r="K319">
        <v>1</v>
      </c>
    </row>
    <row r="320" spans="1:11" x14ac:dyDescent="0.25">
      <c r="A320" t="s">
        <v>2260</v>
      </c>
      <c r="B320" t="s">
        <v>2265</v>
      </c>
      <c r="C320" t="s">
        <v>6284</v>
      </c>
      <c r="D320" t="s">
        <v>102</v>
      </c>
      <c r="E320" t="s">
        <v>6346</v>
      </c>
      <c r="F320" t="s">
        <v>6431</v>
      </c>
      <c r="G320" t="s">
        <v>6588</v>
      </c>
      <c r="K320">
        <v>1</v>
      </c>
    </row>
    <row r="321" spans="1:11" x14ac:dyDescent="0.25">
      <c r="A321" t="s">
        <v>2260</v>
      </c>
      <c r="B321" t="s">
        <v>2265</v>
      </c>
      <c r="C321" t="s">
        <v>6289</v>
      </c>
      <c r="D321" t="s">
        <v>102</v>
      </c>
      <c r="E321" t="s">
        <v>6346</v>
      </c>
      <c r="F321" t="s">
        <v>6431</v>
      </c>
      <c r="G321" t="s">
        <v>6588</v>
      </c>
      <c r="K321">
        <v>1</v>
      </c>
    </row>
    <row r="322" spans="1:11" x14ac:dyDescent="0.25">
      <c r="A322" t="s">
        <v>2312</v>
      </c>
      <c r="B322" t="s">
        <v>2318</v>
      </c>
      <c r="C322" t="s">
        <v>6284</v>
      </c>
      <c r="D322" t="s">
        <v>743</v>
      </c>
      <c r="E322" t="s">
        <v>6589</v>
      </c>
      <c r="F322" t="s">
        <v>6590</v>
      </c>
      <c r="G322" t="s">
        <v>6591</v>
      </c>
      <c r="K322">
        <v>1</v>
      </c>
    </row>
    <row r="323" spans="1:11" x14ac:dyDescent="0.25">
      <c r="A323" t="s">
        <v>2312</v>
      </c>
      <c r="B323" t="s">
        <v>2318</v>
      </c>
      <c r="C323" t="s">
        <v>6289</v>
      </c>
      <c r="D323" t="s">
        <v>743</v>
      </c>
      <c r="E323" t="s">
        <v>6589</v>
      </c>
      <c r="F323" t="s">
        <v>6590</v>
      </c>
      <c r="G323" t="s">
        <v>6591</v>
      </c>
      <c r="K323">
        <v>1</v>
      </c>
    </row>
    <row r="324" spans="1:11" x14ac:dyDescent="0.25">
      <c r="A324" t="s">
        <v>1919</v>
      </c>
      <c r="B324" t="s">
        <v>1922</v>
      </c>
      <c r="C324" t="s">
        <v>6284</v>
      </c>
      <c r="D324" t="s">
        <v>102</v>
      </c>
      <c r="E324" t="s">
        <v>103</v>
      </c>
      <c r="F324" t="s">
        <v>6303</v>
      </c>
      <c r="G324" t="s">
        <v>6592</v>
      </c>
      <c r="K324">
        <v>1</v>
      </c>
    </row>
    <row r="325" spans="1:11" x14ac:dyDescent="0.25">
      <c r="A325" t="s">
        <v>1919</v>
      </c>
      <c r="B325" t="s">
        <v>1922</v>
      </c>
      <c r="C325" t="s">
        <v>6289</v>
      </c>
      <c r="D325" t="s">
        <v>102</v>
      </c>
      <c r="E325" t="s">
        <v>103</v>
      </c>
      <c r="F325" t="s">
        <v>6303</v>
      </c>
      <c r="G325" t="s">
        <v>6592</v>
      </c>
      <c r="K325">
        <v>1</v>
      </c>
    </row>
    <row r="326" spans="1:11" x14ac:dyDescent="0.25">
      <c r="A326" t="s">
        <v>2692</v>
      </c>
      <c r="B326" t="s">
        <v>2696</v>
      </c>
      <c r="C326" t="s">
        <v>6284</v>
      </c>
      <c r="D326" t="s">
        <v>102</v>
      </c>
      <c r="E326" t="s">
        <v>6313</v>
      </c>
      <c r="G326" t="s">
        <v>6593</v>
      </c>
      <c r="K326">
        <v>1</v>
      </c>
    </row>
    <row r="327" spans="1:11" x14ac:dyDescent="0.25">
      <c r="A327" t="s">
        <v>2692</v>
      </c>
      <c r="B327" t="s">
        <v>2696</v>
      </c>
      <c r="C327" t="s">
        <v>6289</v>
      </c>
      <c r="D327" t="s">
        <v>102</v>
      </c>
      <c r="E327" t="s">
        <v>6313</v>
      </c>
      <c r="G327" t="s">
        <v>6593</v>
      </c>
      <c r="K327">
        <v>1</v>
      </c>
    </row>
    <row r="328" spans="1:11" x14ac:dyDescent="0.25">
      <c r="A328" t="s">
        <v>1697</v>
      </c>
      <c r="B328" t="s">
        <v>1703</v>
      </c>
      <c r="C328" t="s">
        <v>6284</v>
      </c>
      <c r="D328" t="s">
        <v>102</v>
      </c>
      <c r="E328" t="s">
        <v>6341</v>
      </c>
      <c r="F328" t="s">
        <v>6342</v>
      </c>
      <c r="G328" t="s">
        <v>6594</v>
      </c>
      <c r="K328">
        <v>1</v>
      </c>
    </row>
    <row r="329" spans="1:11" x14ac:dyDescent="0.25">
      <c r="A329" t="s">
        <v>1697</v>
      </c>
      <c r="B329" t="s">
        <v>1703</v>
      </c>
      <c r="C329" t="s">
        <v>6289</v>
      </c>
      <c r="D329" t="s">
        <v>102</v>
      </c>
      <c r="E329" t="s">
        <v>103</v>
      </c>
      <c r="F329" t="s">
        <v>6285</v>
      </c>
      <c r="G329" t="s">
        <v>6595</v>
      </c>
      <c r="K329">
        <v>1</v>
      </c>
    </row>
    <row r="330" spans="1:11" x14ac:dyDescent="0.25">
      <c r="A330" t="s">
        <v>2620</v>
      </c>
      <c r="B330" t="s">
        <v>2626</v>
      </c>
      <c r="C330" t="s">
        <v>6284</v>
      </c>
      <c r="D330" t="s">
        <v>102</v>
      </c>
      <c r="E330" t="s">
        <v>6341</v>
      </c>
      <c r="F330" t="s">
        <v>6342</v>
      </c>
      <c r="G330" t="s">
        <v>6596</v>
      </c>
      <c r="K330">
        <v>1</v>
      </c>
    </row>
    <row r="331" spans="1:11" x14ac:dyDescent="0.25">
      <c r="A331" t="s">
        <v>2620</v>
      </c>
      <c r="B331" t="s">
        <v>2626</v>
      </c>
      <c r="C331" t="s">
        <v>6289</v>
      </c>
      <c r="D331" t="s">
        <v>102</v>
      </c>
      <c r="E331" t="s">
        <v>6341</v>
      </c>
      <c r="F331" t="s">
        <v>6363</v>
      </c>
      <c r="G331" t="s">
        <v>6597</v>
      </c>
      <c r="K331">
        <v>1</v>
      </c>
    </row>
    <row r="332" spans="1:11" x14ac:dyDescent="0.25">
      <c r="A332" t="s">
        <v>2124</v>
      </c>
      <c r="B332" t="s">
        <v>2129</v>
      </c>
      <c r="C332" t="s">
        <v>6284</v>
      </c>
      <c r="D332" t="s">
        <v>102</v>
      </c>
      <c r="E332" t="s">
        <v>6296</v>
      </c>
      <c r="F332" t="s">
        <v>6559</v>
      </c>
      <c r="G332" t="s">
        <v>6598</v>
      </c>
      <c r="K332">
        <v>1</v>
      </c>
    </row>
    <row r="333" spans="1:11" x14ac:dyDescent="0.25">
      <c r="A333" t="s">
        <v>2124</v>
      </c>
      <c r="B333" t="s">
        <v>2129</v>
      </c>
      <c r="C333" t="s">
        <v>6289</v>
      </c>
      <c r="D333" t="s">
        <v>102</v>
      </c>
      <c r="E333" t="s">
        <v>6296</v>
      </c>
      <c r="F333" t="s">
        <v>6559</v>
      </c>
      <c r="G333" t="s">
        <v>6599</v>
      </c>
      <c r="K333">
        <v>1</v>
      </c>
    </row>
    <row r="334" spans="1:11" x14ac:dyDescent="0.25">
      <c r="A334" t="s">
        <v>3276</v>
      </c>
      <c r="B334" t="s">
        <v>3281</v>
      </c>
      <c r="C334" t="s">
        <v>6284</v>
      </c>
      <c r="D334" t="s">
        <v>669</v>
      </c>
      <c r="E334" t="s">
        <v>6600</v>
      </c>
      <c r="F334" t="s">
        <v>6601</v>
      </c>
      <c r="G334" t="s">
        <v>6602</v>
      </c>
      <c r="K334">
        <v>1</v>
      </c>
    </row>
    <row r="335" spans="1:11" x14ac:dyDescent="0.25">
      <c r="A335" t="s">
        <v>3276</v>
      </c>
      <c r="B335" t="s">
        <v>3281</v>
      </c>
      <c r="C335" t="s">
        <v>6289</v>
      </c>
      <c r="D335" t="s">
        <v>669</v>
      </c>
      <c r="E335" t="s">
        <v>6600</v>
      </c>
      <c r="F335" t="s">
        <v>6601</v>
      </c>
      <c r="G335" t="s">
        <v>6602</v>
      </c>
      <c r="K335">
        <v>1</v>
      </c>
    </row>
    <row r="336" spans="1:11" x14ac:dyDescent="0.25">
      <c r="A336" t="s">
        <v>2486</v>
      </c>
      <c r="B336" t="s">
        <v>2491</v>
      </c>
      <c r="C336" t="s">
        <v>6284</v>
      </c>
      <c r="D336" t="s">
        <v>102</v>
      </c>
      <c r="E336" t="s">
        <v>103</v>
      </c>
      <c r="F336" t="s">
        <v>6287</v>
      </c>
      <c r="G336" t="s">
        <v>6603</v>
      </c>
      <c r="K336">
        <v>1</v>
      </c>
    </row>
    <row r="337" spans="1:11" x14ac:dyDescent="0.25">
      <c r="A337" t="s">
        <v>2486</v>
      </c>
      <c r="B337" t="s">
        <v>2491</v>
      </c>
      <c r="C337" t="s">
        <v>6289</v>
      </c>
      <c r="D337" t="s">
        <v>102</v>
      </c>
      <c r="E337" t="s">
        <v>103</v>
      </c>
      <c r="F337" t="s">
        <v>6287</v>
      </c>
      <c r="G337" t="s">
        <v>6603</v>
      </c>
      <c r="K337">
        <v>1</v>
      </c>
    </row>
    <row r="338" spans="1:11" x14ac:dyDescent="0.25">
      <c r="A338" t="s">
        <v>2332</v>
      </c>
      <c r="B338" t="s">
        <v>2336</v>
      </c>
      <c r="C338" t="s">
        <v>6284</v>
      </c>
      <c r="D338" t="s">
        <v>102</v>
      </c>
      <c r="E338" t="s">
        <v>103</v>
      </c>
      <c r="F338" t="s">
        <v>294</v>
      </c>
      <c r="G338" t="s">
        <v>6604</v>
      </c>
      <c r="K338">
        <v>1</v>
      </c>
    </row>
    <row r="339" spans="1:11" x14ac:dyDescent="0.25">
      <c r="A339" t="s">
        <v>2332</v>
      </c>
      <c r="B339" t="s">
        <v>2336</v>
      </c>
      <c r="C339" t="s">
        <v>6289</v>
      </c>
      <c r="D339" t="s">
        <v>102</v>
      </c>
      <c r="E339" t="s">
        <v>103</v>
      </c>
      <c r="F339" t="s">
        <v>294</v>
      </c>
      <c r="G339" t="s">
        <v>6604</v>
      </c>
      <c r="K339">
        <v>1</v>
      </c>
    </row>
    <row r="340" spans="1:11" x14ac:dyDescent="0.25">
      <c r="A340" t="s">
        <v>2117</v>
      </c>
      <c r="B340" t="s">
        <v>2121</v>
      </c>
      <c r="C340" t="s">
        <v>6284</v>
      </c>
      <c r="D340" t="s">
        <v>102</v>
      </c>
      <c r="E340" t="s">
        <v>6319</v>
      </c>
      <c r="F340" t="s">
        <v>6605</v>
      </c>
      <c r="G340" t="s">
        <v>6606</v>
      </c>
      <c r="K340">
        <v>1</v>
      </c>
    </row>
    <row r="341" spans="1:11" x14ac:dyDescent="0.25">
      <c r="A341" t="s">
        <v>2117</v>
      </c>
      <c r="B341" t="s">
        <v>2121</v>
      </c>
      <c r="C341" t="s">
        <v>6289</v>
      </c>
      <c r="D341" t="s">
        <v>102</v>
      </c>
      <c r="E341" t="s">
        <v>6319</v>
      </c>
      <c r="F341" t="s">
        <v>6605</v>
      </c>
      <c r="G341" t="s">
        <v>6606</v>
      </c>
      <c r="K341">
        <v>1</v>
      </c>
    </row>
    <row r="342" spans="1:11" x14ac:dyDescent="0.25">
      <c r="A342" t="s">
        <v>1955</v>
      </c>
      <c r="B342" t="s">
        <v>1959</v>
      </c>
      <c r="C342" t="s">
        <v>6284</v>
      </c>
      <c r="D342" t="s">
        <v>102</v>
      </c>
      <c r="E342" t="s">
        <v>6305</v>
      </c>
      <c r="F342" t="s">
        <v>6557</v>
      </c>
      <c r="G342" t="s">
        <v>6607</v>
      </c>
      <c r="K342">
        <v>1</v>
      </c>
    </row>
    <row r="343" spans="1:11" x14ac:dyDescent="0.25">
      <c r="A343" t="s">
        <v>1955</v>
      </c>
      <c r="B343" t="s">
        <v>1959</v>
      </c>
      <c r="C343" t="s">
        <v>6289</v>
      </c>
      <c r="D343" t="s">
        <v>102</v>
      </c>
      <c r="E343" t="s">
        <v>6305</v>
      </c>
      <c r="F343" t="s">
        <v>6557</v>
      </c>
      <c r="G343" t="s">
        <v>6607</v>
      </c>
      <c r="K343">
        <v>1</v>
      </c>
    </row>
    <row r="344" spans="1:11" x14ac:dyDescent="0.25">
      <c r="A344" t="s">
        <v>1053</v>
      </c>
      <c r="B344" t="s">
        <v>1060</v>
      </c>
      <c r="C344" t="s">
        <v>6284</v>
      </c>
      <c r="D344" t="s">
        <v>1442</v>
      </c>
      <c r="E344" t="s">
        <v>6300</v>
      </c>
      <c r="F344" t="s">
        <v>6608</v>
      </c>
      <c r="G344" t="s">
        <v>6609</v>
      </c>
      <c r="K344">
        <v>1</v>
      </c>
    </row>
    <row r="345" spans="1:11" x14ac:dyDescent="0.25">
      <c r="A345" t="s">
        <v>1053</v>
      </c>
      <c r="B345" t="s">
        <v>1060</v>
      </c>
      <c r="C345" t="s">
        <v>6289</v>
      </c>
      <c r="D345" t="s">
        <v>102</v>
      </c>
      <c r="E345" t="s">
        <v>103</v>
      </c>
      <c r="F345" t="s">
        <v>6285</v>
      </c>
      <c r="G345" t="s">
        <v>6610</v>
      </c>
      <c r="K345">
        <v>1</v>
      </c>
    </row>
    <row r="346" spans="1:11" x14ac:dyDescent="0.25">
      <c r="A346" t="s">
        <v>2223</v>
      </c>
      <c r="B346" t="s">
        <v>2227</v>
      </c>
      <c r="C346" t="s">
        <v>6284</v>
      </c>
      <c r="D346" t="s">
        <v>102</v>
      </c>
      <c r="E346" t="s">
        <v>103</v>
      </c>
      <c r="F346" t="s">
        <v>294</v>
      </c>
      <c r="G346" t="s">
        <v>6611</v>
      </c>
      <c r="K346">
        <v>1</v>
      </c>
    </row>
    <row r="347" spans="1:11" x14ac:dyDescent="0.25">
      <c r="A347" t="s">
        <v>2223</v>
      </c>
      <c r="B347" t="s">
        <v>2227</v>
      </c>
      <c r="C347" t="s">
        <v>6289</v>
      </c>
      <c r="D347" t="s">
        <v>102</v>
      </c>
      <c r="E347" t="s">
        <v>103</v>
      </c>
      <c r="F347" t="s">
        <v>294</v>
      </c>
      <c r="G347" t="s">
        <v>6612</v>
      </c>
      <c r="K347">
        <v>1</v>
      </c>
    </row>
    <row r="348" spans="1:11" x14ac:dyDescent="0.25">
      <c r="A348" t="s">
        <v>2440</v>
      </c>
      <c r="B348" t="s">
        <v>2443</v>
      </c>
      <c r="C348" t="s">
        <v>6284</v>
      </c>
      <c r="D348" t="s">
        <v>102</v>
      </c>
      <c r="E348" t="s">
        <v>6305</v>
      </c>
      <c r="F348" t="s">
        <v>6613</v>
      </c>
      <c r="G348" t="s">
        <v>6614</v>
      </c>
      <c r="K348">
        <v>1</v>
      </c>
    </row>
    <row r="349" spans="1:11" x14ac:dyDescent="0.25">
      <c r="A349" t="s">
        <v>2440</v>
      </c>
      <c r="B349" t="s">
        <v>2443</v>
      </c>
      <c r="C349" t="s">
        <v>6289</v>
      </c>
      <c r="D349" t="s">
        <v>102</v>
      </c>
      <c r="E349" t="s">
        <v>6305</v>
      </c>
      <c r="F349" t="s">
        <v>6613</v>
      </c>
      <c r="G349" t="s">
        <v>6615</v>
      </c>
      <c r="K349">
        <v>1</v>
      </c>
    </row>
    <row r="350" spans="1:11" x14ac:dyDescent="0.25">
      <c r="A350" t="s">
        <v>2391</v>
      </c>
      <c r="B350" t="s">
        <v>2395</v>
      </c>
      <c r="C350" t="s">
        <v>6284</v>
      </c>
      <c r="D350" t="s">
        <v>102</v>
      </c>
      <c r="E350" t="s">
        <v>6296</v>
      </c>
      <c r="F350" t="s">
        <v>6563</v>
      </c>
      <c r="G350" t="s">
        <v>6616</v>
      </c>
      <c r="K350">
        <v>1</v>
      </c>
    </row>
    <row r="351" spans="1:11" x14ac:dyDescent="0.25">
      <c r="A351" t="s">
        <v>2391</v>
      </c>
      <c r="B351" t="s">
        <v>2395</v>
      </c>
      <c r="C351" t="s">
        <v>6289</v>
      </c>
      <c r="D351" t="s">
        <v>102</v>
      </c>
      <c r="E351" t="s">
        <v>6296</v>
      </c>
      <c r="F351" t="s">
        <v>6563</v>
      </c>
      <c r="G351" t="s">
        <v>6616</v>
      </c>
      <c r="K351">
        <v>1</v>
      </c>
    </row>
    <row r="352" spans="1:11" x14ac:dyDescent="0.25">
      <c r="A352" t="s">
        <v>2098</v>
      </c>
      <c r="B352" t="s">
        <v>2103</v>
      </c>
      <c r="C352" t="s">
        <v>6284</v>
      </c>
      <c r="D352" t="s">
        <v>102</v>
      </c>
      <c r="E352" t="s">
        <v>103</v>
      </c>
      <c r="F352" t="s">
        <v>294</v>
      </c>
      <c r="G352" t="s">
        <v>6617</v>
      </c>
      <c r="K352">
        <v>1</v>
      </c>
    </row>
    <row r="353" spans="1:11" x14ac:dyDescent="0.25">
      <c r="A353" t="s">
        <v>2098</v>
      </c>
      <c r="B353" t="s">
        <v>2103</v>
      </c>
      <c r="C353" t="s">
        <v>6289</v>
      </c>
      <c r="D353" t="s">
        <v>102</v>
      </c>
      <c r="E353" t="s">
        <v>103</v>
      </c>
      <c r="F353" t="s">
        <v>294</v>
      </c>
      <c r="G353" t="s">
        <v>6617</v>
      </c>
      <c r="K353">
        <v>1</v>
      </c>
    </row>
    <row r="354" spans="1:11" x14ac:dyDescent="0.25">
      <c r="A354" t="s">
        <v>1183</v>
      </c>
      <c r="B354" t="s">
        <v>1189</v>
      </c>
      <c r="C354" t="s">
        <v>6284</v>
      </c>
      <c r="D354" t="s">
        <v>102</v>
      </c>
      <c r="E354" t="s">
        <v>6313</v>
      </c>
      <c r="G354" t="s">
        <v>6618</v>
      </c>
      <c r="K354">
        <v>1</v>
      </c>
    </row>
    <row r="355" spans="1:11" x14ac:dyDescent="0.25">
      <c r="A355" t="s">
        <v>1183</v>
      </c>
      <c r="B355" t="s">
        <v>1189</v>
      </c>
      <c r="C355" t="s">
        <v>6289</v>
      </c>
      <c r="D355" t="s">
        <v>102</v>
      </c>
      <c r="E355" t="s">
        <v>6313</v>
      </c>
      <c r="G355" t="s">
        <v>6618</v>
      </c>
      <c r="K355">
        <v>1</v>
      </c>
    </row>
    <row r="356" spans="1:11" x14ac:dyDescent="0.25">
      <c r="A356" t="s">
        <v>1893</v>
      </c>
      <c r="B356" t="s">
        <v>1898</v>
      </c>
      <c r="C356" t="s">
        <v>6284</v>
      </c>
      <c r="D356" t="s">
        <v>102</v>
      </c>
      <c r="E356" t="s">
        <v>6313</v>
      </c>
      <c r="G356" t="s">
        <v>6619</v>
      </c>
      <c r="K356">
        <v>1</v>
      </c>
    </row>
    <row r="357" spans="1:11" x14ac:dyDescent="0.25">
      <c r="A357" t="s">
        <v>1893</v>
      </c>
      <c r="B357" t="s">
        <v>1898</v>
      </c>
      <c r="C357" t="s">
        <v>6289</v>
      </c>
      <c r="D357" t="s">
        <v>102</v>
      </c>
      <c r="E357" t="s">
        <v>6313</v>
      </c>
      <c r="G357" t="s">
        <v>6620</v>
      </c>
      <c r="K357">
        <v>1</v>
      </c>
    </row>
    <row r="358" spans="1:11" x14ac:dyDescent="0.25">
      <c r="A358" t="s">
        <v>3015</v>
      </c>
      <c r="B358" t="s">
        <v>3021</v>
      </c>
      <c r="C358" t="s">
        <v>6284</v>
      </c>
      <c r="D358" t="s">
        <v>102</v>
      </c>
      <c r="E358" t="s">
        <v>103</v>
      </c>
      <c r="F358" t="s">
        <v>6368</v>
      </c>
      <c r="G358" t="s">
        <v>6621</v>
      </c>
      <c r="K358">
        <v>1</v>
      </c>
    </row>
    <row r="359" spans="1:11" x14ac:dyDescent="0.25">
      <c r="A359" t="s">
        <v>3015</v>
      </c>
      <c r="B359" t="s">
        <v>3021</v>
      </c>
      <c r="C359" t="s">
        <v>6289</v>
      </c>
      <c r="D359" t="s">
        <v>102</v>
      </c>
      <c r="E359" t="s">
        <v>103</v>
      </c>
      <c r="F359" t="s">
        <v>6285</v>
      </c>
      <c r="G359" t="s">
        <v>6622</v>
      </c>
      <c r="K359">
        <v>1</v>
      </c>
    </row>
    <row r="360" spans="1:11" x14ac:dyDescent="0.25">
      <c r="A360" t="s">
        <v>1491</v>
      </c>
      <c r="B360" t="s">
        <v>1496</v>
      </c>
      <c r="C360" t="s">
        <v>6284</v>
      </c>
      <c r="D360" t="s">
        <v>102</v>
      </c>
      <c r="E360" t="s">
        <v>6305</v>
      </c>
      <c r="F360" t="s">
        <v>6623</v>
      </c>
      <c r="G360" t="s">
        <v>6624</v>
      </c>
      <c r="K360">
        <v>1</v>
      </c>
    </row>
    <row r="361" spans="1:11" x14ac:dyDescent="0.25">
      <c r="A361" t="s">
        <v>1491</v>
      </c>
      <c r="B361" t="s">
        <v>1496</v>
      </c>
      <c r="C361" t="s">
        <v>6289</v>
      </c>
      <c r="D361" t="s">
        <v>102</v>
      </c>
      <c r="E361" t="s">
        <v>103</v>
      </c>
      <c r="F361" t="s">
        <v>6534</v>
      </c>
      <c r="G361" t="s">
        <v>6625</v>
      </c>
      <c r="K361">
        <v>1</v>
      </c>
    </row>
    <row r="362" spans="1:11" x14ac:dyDescent="0.25">
      <c r="A362" t="s">
        <v>1941</v>
      </c>
      <c r="B362" t="s">
        <v>1944</v>
      </c>
      <c r="C362" t="s">
        <v>6284</v>
      </c>
      <c r="D362" t="s">
        <v>102</v>
      </c>
      <c r="E362" t="s">
        <v>6292</v>
      </c>
      <c r="F362" t="s">
        <v>6380</v>
      </c>
      <c r="G362" t="s">
        <v>6626</v>
      </c>
      <c r="K362">
        <v>1</v>
      </c>
    </row>
    <row r="363" spans="1:11" x14ac:dyDescent="0.25">
      <c r="A363" t="s">
        <v>1941</v>
      </c>
      <c r="B363" t="s">
        <v>1944</v>
      </c>
      <c r="C363" t="s">
        <v>6289</v>
      </c>
      <c r="D363" t="s">
        <v>102</v>
      </c>
      <c r="E363" t="s">
        <v>103</v>
      </c>
      <c r="F363" t="s">
        <v>294</v>
      </c>
      <c r="G363" t="s">
        <v>6627</v>
      </c>
      <c r="K363">
        <v>1</v>
      </c>
    </row>
    <row r="364" spans="1:11" x14ac:dyDescent="0.25">
      <c r="A364" t="s">
        <v>2031</v>
      </c>
      <c r="B364" t="s">
        <v>2035</v>
      </c>
      <c r="C364" t="s">
        <v>6284</v>
      </c>
      <c r="D364" t="s">
        <v>102</v>
      </c>
      <c r="E364" t="s">
        <v>103</v>
      </c>
      <c r="F364" t="s">
        <v>294</v>
      </c>
      <c r="G364" t="s">
        <v>6628</v>
      </c>
      <c r="K364">
        <v>1</v>
      </c>
    </row>
    <row r="365" spans="1:11" x14ac:dyDescent="0.25">
      <c r="A365" t="s">
        <v>2031</v>
      </c>
      <c r="B365" t="s">
        <v>2035</v>
      </c>
      <c r="C365" t="s">
        <v>6289</v>
      </c>
      <c r="D365" t="s">
        <v>102</v>
      </c>
      <c r="E365" t="s">
        <v>103</v>
      </c>
      <c r="F365" t="s">
        <v>6285</v>
      </c>
      <c r="G365" t="s">
        <v>6629</v>
      </c>
      <c r="K365">
        <v>1</v>
      </c>
    </row>
    <row r="366" spans="1:11" x14ac:dyDescent="0.25">
      <c r="A366" t="s">
        <v>1291</v>
      </c>
      <c r="B366" t="s">
        <v>1295</v>
      </c>
      <c r="C366" t="s">
        <v>6284</v>
      </c>
      <c r="D366" t="s">
        <v>102</v>
      </c>
      <c r="E366" t="s">
        <v>103</v>
      </c>
      <c r="F366" t="s">
        <v>294</v>
      </c>
      <c r="G366" t="s">
        <v>6630</v>
      </c>
      <c r="K366">
        <v>1</v>
      </c>
    </row>
    <row r="367" spans="1:11" x14ac:dyDescent="0.25">
      <c r="A367" t="s">
        <v>1291</v>
      </c>
      <c r="B367" t="s">
        <v>1295</v>
      </c>
      <c r="C367" t="s">
        <v>6289</v>
      </c>
      <c r="D367" t="s">
        <v>102</v>
      </c>
      <c r="E367" t="s">
        <v>103</v>
      </c>
      <c r="F367" t="s">
        <v>294</v>
      </c>
      <c r="G367" t="s">
        <v>6630</v>
      </c>
      <c r="K367">
        <v>1</v>
      </c>
    </row>
    <row r="368" spans="1:11" x14ac:dyDescent="0.25">
      <c r="A368" t="s">
        <v>1858</v>
      </c>
      <c r="B368" t="s">
        <v>1861</v>
      </c>
      <c r="C368" t="s">
        <v>6284</v>
      </c>
      <c r="D368" t="s">
        <v>102</v>
      </c>
      <c r="E368" t="s">
        <v>6296</v>
      </c>
      <c r="F368" t="s">
        <v>6559</v>
      </c>
      <c r="G368" t="s">
        <v>6631</v>
      </c>
      <c r="K368">
        <v>1</v>
      </c>
    </row>
    <row r="369" spans="1:11" x14ac:dyDescent="0.25">
      <c r="A369" t="s">
        <v>1858</v>
      </c>
      <c r="B369" t="s">
        <v>1861</v>
      </c>
      <c r="C369" t="s">
        <v>6289</v>
      </c>
      <c r="D369" t="s">
        <v>102</v>
      </c>
      <c r="E369" t="s">
        <v>6296</v>
      </c>
      <c r="F369" t="s">
        <v>6559</v>
      </c>
      <c r="G369" t="s">
        <v>6631</v>
      </c>
      <c r="K369">
        <v>1</v>
      </c>
    </row>
    <row r="370" spans="1:11" x14ac:dyDescent="0.25">
      <c r="A370" t="s">
        <v>2496</v>
      </c>
      <c r="B370" t="s">
        <v>2500</v>
      </c>
      <c r="C370" t="s">
        <v>6284</v>
      </c>
      <c r="D370" t="s">
        <v>102</v>
      </c>
      <c r="E370" t="s">
        <v>6292</v>
      </c>
      <c r="F370" t="s">
        <v>6632</v>
      </c>
      <c r="G370" t="s">
        <v>6633</v>
      </c>
      <c r="K370">
        <v>1</v>
      </c>
    </row>
    <row r="371" spans="1:11" x14ac:dyDescent="0.25">
      <c r="A371" t="s">
        <v>2496</v>
      </c>
      <c r="B371" t="s">
        <v>2500</v>
      </c>
      <c r="C371" t="s">
        <v>6289</v>
      </c>
      <c r="D371" t="s">
        <v>102</v>
      </c>
      <c r="E371" t="s">
        <v>103</v>
      </c>
      <c r="F371" t="s">
        <v>6285</v>
      </c>
      <c r="G371" t="s">
        <v>6634</v>
      </c>
      <c r="K371">
        <v>1</v>
      </c>
    </row>
    <row r="372" spans="1:11" x14ac:dyDescent="0.25">
      <c r="A372" t="s">
        <v>3145</v>
      </c>
      <c r="B372" t="s">
        <v>3148</v>
      </c>
      <c r="C372" t="s">
        <v>6284</v>
      </c>
      <c r="D372" t="s">
        <v>102</v>
      </c>
      <c r="E372" t="s">
        <v>103</v>
      </c>
      <c r="F372" t="s">
        <v>294</v>
      </c>
      <c r="G372" t="s">
        <v>6635</v>
      </c>
      <c r="K372">
        <v>1</v>
      </c>
    </row>
    <row r="373" spans="1:11" x14ac:dyDescent="0.25">
      <c r="A373" t="s">
        <v>3145</v>
      </c>
      <c r="B373" t="s">
        <v>3148</v>
      </c>
      <c r="C373" t="s">
        <v>6289</v>
      </c>
      <c r="D373" t="s">
        <v>102</v>
      </c>
      <c r="E373" t="s">
        <v>103</v>
      </c>
      <c r="F373" t="s">
        <v>294</v>
      </c>
      <c r="G373" t="s">
        <v>6635</v>
      </c>
      <c r="K373">
        <v>1</v>
      </c>
    </row>
    <row r="374" spans="1:11" x14ac:dyDescent="0.25">
      <c r="A374" t="s">
        <v>1772</v>
      </c>
      <c r="B374" t="s">
        <v>1775</v>
      </c>
      <c r="C374" t="s">
        <v>6284</v>
      </c>
      <c r="D374" t="s">
        <v>102</v>
      </c>
      <c r="E374" t="s">
        <v>103</v>
      </c>
      <c r="F374" t="s">
        <v>294</v>
      </c>
      <c r="G374" t="s">
        <v>6636</v>
      </c>
      <c r="K374">
        <v>1</v>
      </c>
    </row>
    <row r="375" spans="1:11" x14ac:dyDescent="0.25">
      <c r="A375" t="s">
        <v>1772</v>
      </c>
      <c r="B375" t="s">
        <v>1775</v>
      </c>
      <c r="C375" t="s">
        <v>6289</v>
      </c>
      <c r="D375" t="s">
        <v>102</v>
      </c>
      <c r="E375" t="s">
        <v>103</v>
      </c>
      <c r="F375" t="s">
        <v>294</v>
      </c>
      <c r="G375" t="s">
        <v>6636</v>
      </c>
      <c r="K375">
        <v>1</v>
      </c>
    </row>
    <row r="376" spans="1:11" x14ac:dyDescent="0.25">
      <c r="A376" t="s">
        <v>2239</v>
      </c>
      <c r="B376" t="s">
        <v>2246</v>
      </c>
      <c r="C376" t="s">
        <v>6284</v>
      </c>
      <c r="D376" t="s">
        <v>102</v>
      </c>
      <c r="E376" t="s">
        <v>6637</v>
      </c>
      <c r="F376" t="s">
        <v>6638</v>
      </c>
      <c r="G376" t="s">
        <v>6639</v>
      </c>
      <c r="K376">
        <v>1</v>
      </c>
    </row>
    <row r="377" spans="1:11" x14ac:dyDescent="0.25">
      <c r="A377" t="s">
        <v>2239</v>
      </c>
      <c r="B377" t="s">
        <v>2246</v>
      </c>
      <c r="C377" t="s">
        <v>6289</v>
      </c>
      <c r="D377" t="s">
        <v>102</v>
      </c>
      <c r="E377" t="s">
        <v>6637</v>
      </c>
      <c r="F377" t="s">
        <v>6638</v>
      </c>
      <c r="G377" t="s">
        <v>6639</v>
      </c>
      <c r="K377">
        <v>1</v>
      </c>
    </row>
    <row r="378" spans="1:11" x14ac:dyDescent="0.25">
      <c r="A378" t="s">
        <v>3285</v>
      </c>
      <c r="B378" t="s">
        <v>3288</v>
      </c>
      <c r="C378" t="s">
        <v>6284</v>
      </c>
      <c r="D378" t="s">
        <v>102</v>
      </c>
      <c r="E378" t="s">
        <v>103</v>
      </c>
      <c r="F378" t="s">
        <v>294</v>
      </c>
      <c r="G378" t="s">
        <v>6640</v>
      </c>
      <c r="K378">
        <v>1</v>
      </c>
    </row>
    <row r="379" spans="1:11" x14ac:dyDescent="0.25">
      <c r="A379" t="s">
        <v>3285</v>
      </c>
      <c r="B379" t="s">
        <v>3288</v>
      </c>
      <c r="C379" t="s">
        <v>6289</v>
      </c>
      <c r="D379" t="s">
        <v>102</v>
      </c>
      <c r="E379" t="s">
        <v>103</v>
      </c>
      <c r="F379" t="s">
        <v>294</v>
      </c>
      <c r="G379" t="s">
        <v>6640</v>
      </c>
      <c r="K379">
        <v>1</v>
      </c>
    </row>
    <row r="380" spans="1:11" x14ac:dyDescent="0.25">
      <c r="A380" t="s">
        <v>3195</v>
      </c>
      <c r="B380" t="s">
        <v>3198</v>
      </c>
      <c r="C380" t="s">
        <v>6284</v>
      </c>
      <c r="D380" t="s">
        <v>102</v>
      </c>
      <c r="E380" t="s">
        <v>103</v>
      </c>
      <c r="F380" t="s">
        <v>6413</v>
      </c>
      <c r="G380" t="s">
        <v>6641</v>
      </c>
      <c r="K380">
        <v>1</v>
      </c>
    </row>
    <row r="381" spans="1:11" x14ac:dyDescent="0.25">
      <c r="A381" t="s">
        <v>3195</v>
      </c>
      <c r="B381" t="s">
        <v>3198</v>
      </c>
      <c r="C381" t="s">
        <v>6289</v>
      </c>
      <c r="D381" t="s">
        <v>102</v>
      </c>
      <c r="E381" t="s">
        <v>103</v>
      </c>
      <c r="F381" t="s">
        <v>6413</v>
      </c>
      <c r="G381" t="s">
        <v>6641</v>
      </c>
      <c r="K381">
        <v>1</v>
      </c>
    </row>
    <row r="382" spans="1:11" x14ac:dyDescent="0.25">
      <c r="A382" t="s">
        <v>3162</v>
      </c>
      <c r="B382" t="s">
        <v>3166</v>
      </c>
      <c r="C382" t="s">
        <v>6284</v>
      </c>
      <c r="D382" t="s">
        <v>102</v>
      </c>
      <c r="E382" t="s">
        <v>103</v>
      </c>
      <c r="F382" t="s">
        <v>6413</v>
      </c>
      <c r="G382" t="s">
        <v>6641</v>
      </c>
      <c r="K382">
        <v>1</v>
      </c>
    </row>
    <row r="383" spans="1:11" x14ac:dyDescent="0.25">
      <c r="A383" t="s">
        <v>3162</v>
      </c>
      <c r="B383" t="s">
        <v>3166</v>
      </c>
      <c r="C383" t="s">
        <v>6289</v>
      </c>
      <c r="D383" t="s">
        <v>102</v>
      </c>
      <c r="E383" t="s">
        <v>103</v>
      </c>
      <c r="F383" t="s">
        <v>6413</v>
      </c>
      <c r="G383" t="s">
        <v>6641</v>
      </c>
      <c r="K383">
        <v>1</v>
      </c>
    </row>
    <row r="384" spans="1:11" x14ac:dyDescent="0.25">
      <c r="A384" t="s">
        <v>1583</v>
      </c>
      <c r="B384" t="s">
        <v>1591</v>
      </c>
      <c r="C384" t="s">
        <v>6284</v>
      </c>
      <c r="D384" t="s">
        <v>102</v>
      </c>
      <c r="E384" t="s">
        <v>103</v>
      </c>
      <c r="F384" t="s">
        <v>6286</v>
      </c>
      <c r="G384" t="s">
        <v>6642</v>
      </c>
      <c r="K384">
        <v>1</v>
      </c>
    </row>
    <row r="385" spans="1:11" x14ac:dyDescent="0.25">
      <c r="A385" t="s">
        <v>1583</v>
      </c>
      <c r="B385" t="s">
        <v>1591</v>
      </c>
      <c r="C385" t="s">
        <v>6289</v>
      </c>
      <c r="D385" t="s">
        <v>102</v>
      </c>
      <c r="E385" t="s">
        <v>103</v>
      </c>
      <c r="F385" t="s">
        <v>6286</v>
      </c>
      <c r="G385" t="s">
        <v>6642</v>
      </c>
      <c r="K385">
        <v>1</v>
      </c>
    </row>
    <row r="386" spans="1:11" x14ac:dyDescent="0.25">
      <c r="A386" t="s">
        <v>3387</v>
      </c>
      <c r="B386" t="s">
        <v>3392</v>
      </c>
      <c r="C386" t="s">
        <v>6284</v>
      </c>
      <c r="D386" t="s">
        <v>102</v>
      </c>
      <c r="E386" t="s">
        <v>103</v>
      </c>
      <c r="F386" t="s">
        <v>6285</v>
      </c>
      <c r="G386" t="s">
        <v>6576</v>
      </c>
      <c r="K386">
        <v>1</v>
      </c>
    </row>
    <row r="387" spans="1:11" x14ac:dyDescent="0.25">
      <c r="A387" t="s">
        <v>3387</v>
      </c>
      <c r="B387" t="s">
        <v>3392</v>
      </c>
      <c r="C387" t="s">
        <v>6289</v>
      </c>
      <c r="D387" t="s">
        <v>102</v>
      </c>
      <c r="E387" t="s">
        <v>103</v>
      </c>
      <c r="F387" t="s">
        <v>6285</v>
      </c>
      <c r="G387" t="s">
        <v>6576</v>
      </c>
      <c r="K387">
        <v>1</v>
      </c>
    </row>
    <row r="388" spans="1:11" x14ac:dyDescent="0.25">
      <c r="A388" t="s">
        <v>1980</v>
      </c>
      <c r="B388" t="s">
        <v>1984</v>
      </c>
      <c r="C388" t="s">
        <v>6284</v>
      </c>
      <c r="D388" t="s">
        <v>102</v>
      </c>
      <c r="E388" t="s">
        <v>6305</v>
      </c>
      <c r="F388" t="s">
        <v>6566</v>
      </c>
      <c r="G388" t="s">
        <v>6643</v>
      </c>
      <c r="K388">
        <v>1</v>
      </c>
    </row>
    <row r="389" spans="1:11" x14ac:dyDescent="0.25">
      <c r="A389" t="s">
        <v>1980</v>
      </c>
      <c r="B389" t="s">
        <v>1984</v>
      </c>
      <c r="C389" t="s">
        <v>6289</v>
      </c>
      <c r="D389" t="s">
        <v>102</v>
      </c>
      <c r="E389" t="s">
        <v>103</v>
      </c>
      <c r="F389" t="s">
        <v>6285</v>
      </c>
      <c r="G389" t="s">
        <v>6382</v>
      </c>
      <c r="K389">
        <v>1</v>
      </c>
    </row>
    <row r="390" spans="1:11" x14ac:dyDescent="0.25">
      <c r="A390" t="s">
        <v>3523</v>
      </c>
      <c r="B390" t="s">
        <v>3529</v>
      </c>
      <c r="C390" t="s">
        <v>6284</v>
      </c>
      <c r="D390" t="s">
        <v>102</v>
      </c>
      <c r="E390" t="s">
        <v>103</v>
      </c>
      <c r="F390" t="s">
        <v>6303</v>
      </c>
      <c r="G390" t="s">
        <v>6644</v>
      </c>
      <c r="K390">
        <v>1</v>
      </c>
    </row>
    <row r="391" spans="1:11" x14ac:dyDescent="0.25">
      <c r="A391" t="s">
        <v>3523</v>
      </c>
      <c r="B391" t="s">
        <v>3529</v>
      </c>
      <c r="C391" t="s">
        <v>6289</v>
      </c>
      <c r="D391" t="s">
        <v>102</v>
      </c>
      <c r="E391" t="s">
        <v>103</v>
      </c>
      <c r="F391" t="s">
        <v>6303</v>
      </c>
      <c r="G391" t="s">
        <v>6644</v>
      </c>
      <c r="K391">
        <v>1</v>
      </c>
    </row>
    <row r="392" spans="1:11" x14ac:dyDescent="0.25">
      <c r="A392" t="s">
        <v>3073</v>
      </c>
      <c r="B392" t="s">
        <v>3077</v>
      </c>
      <c r="C392" t="s">
        <v>6284</v>
      </c>
      <c r="D392" t="s">
        <v>102</v>
      </c>
      <c r="E392" t="s">
        <v>6346</v>
      </c>
      <c r="F392" t="s">
        <v>6645</v>
      </c>
      <c r="G392" t="s">
        <v>6646</v>
      </c>
      <c r="K392">
        <v>1</v>
      </c>
    </row>
    <row r="393" spans="1:11" x14ac:dyDescent="0.25">
      <c r="A393" t="s">
        <v>3073</v>
      </c>
      <c r="B393" t="s">
        <v>3077</v>
      </c>
      <c r="C393" t="s">
        <v>6289</v>
      </c>
      <c r="D393" t="s">
        <v>102</v>
      </c>
      <c r="E393" t="s">
        <v>6346</v>
      </c>
      <c r="F393" t="s">
        <v>6645</v>
      </c>
      <c r="G393" t="s">
        <v>6646</v>
      </c>
      <c r="K393">
        <v>1</v>
      </c>
    </row>
    <row r="394" spans="1:11" x14ac:dyDescent="0.25">
      <c r="A394" t="s">
        <v>2278</v>
      </c>
      <c r="B394" t="s">
        <v>2284</v>
      </c>
      <c r="C394" t="s">
        <v>6284</v>
      </c>
      <c r="D394" t="s">
        <v>102</v>
      </c>
      <c r="E394" t="s">
        <v>6351</v>
      </c>
      <c r="F394" t="s">
        <v>6647</v>
      </c>
      <c r="G394" t="s">
        <v>6648</v>
      </c>
      <c r="K394">
        <v>1</v>
      </c>
    </row>
    <row r="395" spans="1:11" x14ac:dyDescent="0.25">
      <c r="A395" t="s">
        <v>2278</v>
      </c>
      <c r="B395" t="s">
        <v>2284</v>
      </c>
      <c r="C395" t="s">
        <v>6289</v>
      </c>
      <c r="D395" t="s">
        <v>102</v>
      </c>
      <c r="E395" t="s">
        <v>6351</v>
      </c>
      <c r="F395" t="s">
        <v>6647</v>
      </c>
      <c r="G395" t="s">
        <v>6648</v>
      </c>
      <c r="K395">
        <v>1</v>
      </c>
    </row>
    <row r="396" spans="1:11" x14ac:dyDescent="0.25">
      <c r="A396" t="s">
        <v>1167</v>
      </c>
      <c r="B396" t="s">
        <v>1176</v>
      </c>
      <c r="C396" t="s">
        <v>6284</v>
      </c>
      <c r="D396" t="s">
        <v>1170</v>
      </c>
      <c r="E396" t="s">
        <v>6649</v>
      </c>
      <c r="F396" t="s">
        <v>6650</v>
      </c>
      <c r="G396" t="s">
        <v>6651</v>
      </c>
      <c r="K396">
        <v>1</v>
      </c>
    </row>
    <row r="397" spans="1:11" x14ac:dyDescent="0.25">
      <c r="A397" t="s">
        <v>1167</v>
      </c>
      <c r="B397" t="s">
        <v>1176</v>
      </c>
      <c r="C397" t="s">
        <v>6289</v>
      </c>
      <c r="D397" t="s">
        <v>102</v>
      </c>
      <c r="E397" t="s">
        <v>103</v>
      </c>
      <c r="F397" t="s">
        <v>6285</v>
      </c>
      <c r="G397" t="s">
        <v>6652</v>
      </c>
      <c r="K397">
        <v>1</v>
      </c>
    </row>
    <row r="398" spans="1:11" x14ac:dyDescent="0.25">
      <c r="A398" t="s">
        <v>2466</v>
      </c>
      <c r="B398" t="s">
        <v>2471</v>
      </c>
      <c r="C398" t="s">
        <v>6284</v>
      </c>
      <c r="D398" t="s">
        <v>102</v>
      </c>
      <c r="E398" t="s">
        <v>103</v>
      </c>
      <c r="F398" t="s">
        <v>294</v>
      </c>
      <c r="G398" t="s">
        <v>6653</v>
      </c>
      <c r="K398">
        <v>1</v>
      </c>
    </row>
    <row r="399" spans="1:11" x14ac:dyDescent="0.25">
      <c r="A399" t="s">
        <v>2466</v>
      </c>
      <c r="B399" t="s">
        <v>2471</v>
      </c>
      <c r="C399" t="s">
        <v>6289</v>
      </c>
      <c r="D399" t="s">
        <v>102</v>
      </c>
      <c r="E399" t="s">
        <v>103</v>
      </c>
      <c r="F399" t="s">
        <v>294</v>
      </c>
      <c r="G399" t="s">
        <v>6654</v>
      </c>
      <c r="K399">
        <v>1</v>
      </c>
    </row>
    <row r="400" spans="1:11" x14ac:dyDescent="0.25">
      <c r="A400" t="s">
        <v>1312</v>
      </c>
      <c r="B400" t="s">
        <v>1320</v>
      </c>
      <c r="C400" t="s">
        <v>6284</v>
      </c>
      <c r="D400" t="s">
        <v>102</v>
      </c>
      <c r="E400" t="s">
        <v>103</v>
      </c>
      <c r="F400" t="s">
        <v>6286</v>
      </c>
      <c r="G400" t="s">
        <v>6655</v>
      </c>
      <c r="K400">
        <v>1</v>
      </c>
    </row>
    <row r="401" spans="1:11" x14ac:dyDescent="0.25">
      <c r="A401" t="s">
        <v>1312</v>
      </c>
      <c r="B401" t="s">
        <v>1320</v>
      </c>
      <c r="C401" t="s">
        <v>6289</v>
      </c>
      <c r="D401" t="s">
        <v>102</v>
      </c>
      <c r="E401" t="s">
        <v>103</v>
      </c>
      <c r="F401" t="s">
        <v>6286</v>
      </c>
      <c r="G401" t="s">
        <v>6655</v>
      </c>
      <c r="K401">
        <v>1</v>
      </c>
    </row>
    <row r="402" spans="1:11" x14ac:dyDescent="0.25">
      <c r="A402" t="s">
        <v>486</v>
      </c>
      <c r="B402" t="s">
        <v>496</v>
      </c>
      <c r="C402" t="s">
        <v>6284</v>
      </c>
      <c r="D402" t="s">
        <v>102</v>
      </c>
      <c r="E402" t="s">
        <v>6313</v>
      </c>
      <c r="G402" t="s">
        <v>6656</v>
      </c>
      <c r="K402">
        <v>1</v>
      </c>
    </row>
    <row r="403" spans="1:11" x14ac:dyDescent="0.25">
      <c r="A403" t="s">
        <v>486</v>
      </c>
      <c r="B403" t="s">
        <v>496</v>
      </c>
      <c r="C403" t="s">
        <v>6289</v>
      </c>
      <c r="D403" t="s">
        <v>102</v>
      </c>
      <c r="E403" t="s">
        <v>6313</v>
      </c>
      <c r="G403" t="s">
        <v>6656</v>
      </c>
      <c r="K403">
        <v>1</v>
      </c>
    </row>
    <row r="404" spans="1:11" x14ac:dyDescent="0.25">
      <c r="A404" t="s">
        <v>3346</v>
      </c>
      <c r="B404" t="s">
        <v>3351</v>
      </c>
      <c r="C404" t="s">
        <v>6284</v>
      </c>
      <c r="D404" t="s">
        <v>102</v>
      </c>
      <c r="E404" t="s">
        <v>103</v>
      </c>
      <c r="F404" t="s">
        <v>6285</v>
      </c>
      <c r="G404" t="s">
        <v>6657</v>
      </c>
      <c r="K404">
        <v>1</v>
      </c>
    </row>
    <row r="405" spans="1:11" x14ac:dyDescent="0.25">
      <c r="A405" t="s">
        <v>3346</v>
      </c>
      <c r="B405" t="s">
        <v>3351</v>
      </c>
      <c r="C405" t="s">
        <v>6289</v>
      </c>
      <c r="D405" t="s">
        <v>102</v>
      </c>
      <c r="E405" t="s">
        <v>103</v>
      </c>
      <c r="G405" t="s">
        <v>6658</v>
      </c>
      <c r="K405">
        <v>1</v>
      </c>
    </row>
    <row r="406" spans="1:11" x14ac:dyDescent="0.25">
      <c r="A406" t="s">
        <v>315</v>
      </c>
      <c r="B406" t="s">
        <v>326</v>
      </c>
      <c r="C406" t="s">
        <v>6284</v>
      </c>
      <c r="D406" t="s">
        <v>102</v>
      </c>
      <c r="E406" t="s">
        <v>6341</v>
      </c>
      <c r="F406" t="s">
        <v>6659</v>
      </c>
      <c r="G406" t="s">
        <v>6660</v>
      </c>
      <c r="K406">
        <v>1</v>
      </c>
    </row>
    <row r="407" spans="1:11" x14ac:dyDescent="0.25">
      <c r="A407" t="s">
        <v>315</v>
      </c>
      <c r="B407" t="s">
        <v>326</v>
      </c>
      <c r="C407" t="s">
        <v>6289</v>
      </c>
      <c r="D407" t="s">
        <v>102</v>
      </c>
      <c r="E407" t="s">
        <v>6341</v>
      </c>
      <c r="F407" t="s">
        <v>6659</v>
      </c>
      <c r="G407" t="s">
        <v>6660</v>
      </c>
      <c r="K407">
        <v>1</v>
      </c>
    </row>
    <row r="408" spans="1:11" x14ac:dyDescent="0.25">
      <c r="A408" t="s">
        <v>1596</v>
      </c>
      <c r="B408" t="s">
        <v>1601</v>
      </c>
      <c r="C408" t="s">
        <v>6284</v>
      </c>
      <c r="D408" t="s">
        <v>102</v>
      </c>
      <c r="E408" t="s">
        <v>103</v>
      </c>
      <c r="F408" t="s">
        <v>6286</v>
      </c>
      <c r="G408" t="s">
        <v>6661</v>
      </c>
      <c r="K408">
        <v>1</v>
      </c>
    </row>
    <row r="409" spans="1:11" x14ac:dyDescent="0.25">
      <c r="A409" t="s">
        <v>1596</v>
      </c>
      <c r="B409" t="s">
        <v>1601</v>
      </c>
      <c r="C409" t="s">
        <v>6289</v>
      </c>
      <c r="D409" t="s">
        <v>102</v>
      </c>
      <c r="E409" t="s">
        <v>103</v>
      </c>
      <c r="F409" t="s">
        <v>6286</v>
      </c>
      <c r="G409" t="s">
        <v>6661</v>
      </c>
      <c r="K409">
        <v>1</v>
      </c>
    </row>
    <row r="410" spans="1:11" x14ac:dyDescent="0.25">
      <c r="A410" t="s">
        <v>2215</v>
      </c>
      <c r="B410" t="s">
        <v>2219</v>
      </c>
      <c r="C410" t="s">
        <v>6284</v>
      </c>
      <c r="D410" t="s">
        <v>1207</v>
      </c>
      <c r="E410" t="s">
        <v>6662</v>
      </c>
      <c r="F410" t="s">
        <v>6663</v>
      </c>
      <c r="G410" t="s">
        <v>6664</v>
      </c>
      <c r="K410">
        <v>1</v>
      </c>
    </row>
    <row r="411" spans="1:11" x14ac:dyDescent="0.25">
      <c r="A411" t="s">
        <v>2215</v>
      </c>
      <c r="B411" t="s">
        <v>2219</v>
      </c>
      <c r="C411" t="s">
        <v>6289</v>
      </c>
      <c r="D411" t="s">
        <v>102</v>
      </c>
      <c r="E411" t="s">
        <v>103</v>
      </c>
      <c r="F411" t="s">
        <v>6285</v>
      </c>
      <c r="G411" t="s">
        <v>6665</v>
      </c>
      <c r="K411">
        <v>1</v>
      </c>
    </row>
    <row r="412" spans="1:11" x14ac:dyDescent="0.25">
      <c r="A412" t="s">
        <v>2384</v>
      </c>
      <c r="B412" t="s">
        <v>2388</v>
      </c>
      <c r="C412" t="s">
        <v>6284</v>
      </c>
      <c r="D412" t="s">
        <v>102</v>
      </c>
      <c r="E412" t="s">
        <v>6292</v>
      </c>
      <c r="F412" t="s">
        <v>6527</v>
      </c>
      <c r="G412" t="s">
        <v>6666</v>
      </c>
      <c r="K412">
        <v>1</v>
      </c>
    </row>
    <row r="413" spans="1:11" x14ac:dyDescent="0.25">
      <c r="A413" t="s">
        <v>2384</v>
      </c>
      <c r="B413" t="s">
        <v>2388</v>
      </c>
      <c r="C413" t="s">
        <v>6289</v>
      </c>
      <c r="D413" t="s">
        <v>102</v>
      </c>
      <c r="E413" t="s">
        <v>6292</v>
      </c>
      <c r="F413" t="s">
        <v>6527</v>
      </c>
      <c r="G413" t="s">
        <v>6666</v>
      </c>
      <c r="K413">
        <v>1</v>
      </c>
    </row>
    <row r="414" spans="1:11" x14ac:dyDescent="0.25">
      <c r="A414" t="s">
        <v>3176</v>
      </c>
      <c r="B414" t="s">
        <v>3181</v>
      </c>
      <c r="C414" t="s">
        <v>6284</v>
      </c>
      <c r="D414" t="s">
        <v>669</v>
      </c>
      <c r="E414" t="s">
        <v>6667</v>
      </c>
      <c r="F414" t="s">
        <v>6668</v>
      </c>
      <c r="G414" t="s">
        <v>6669</v>
      </c>
      <c r="K414">
        <v>1</v>
      </c>
    </row>
    <row r="415" spans="1:11" x14ac:dyDescent="0.25">
      <c r="A415" t="s">
        <v>3176</v>
      </c>
      <c r="B415" t="s">
        <v>3181</v>
      </c>
      <c r="C415" t="s">
        <v>6289</v>
      </c>
      <c r="D415" t="s">
        <v>102</v>
      </c>
      <c r="E415" t="s">
        <v>103</v>
      </c>
      <c r="F415" t="s">
        <v>6303</v>
      </c>
      <c r="G415" t="s">
        <v>6670</v>
      </c>
      <c r="K415">
        <v>1</v>
      </c>
    </row>
    <row r="416" spans="1:11" x14ac:dyDescent="0.25">
      <c r="A416" t="s">
        <v>579</v>
      </c>
      <c r="B416" t="s">
        <v>582</v>
      </c>
      <c r="C416" t="s">
        <v>6284</v>
      </c>
      <c r="D416" t="s">
        <v>102</v>
      </c>
      <c r="E416" t="s">
        <v>6292</v>
      </c>
      <c r="F416" t="s">
        <v>6527</v>
      </c>
      <c r="G416" t="s">
        <v>6671</v>
      </c>
      <c r="K416">
        <v>1</v>
      </c>
    </row>
    <row r="417" spans="1:11" x14ac:dyDescent="0.25">
      <c r="A417" t="s">
        <v>579</v>
      </c>
      <c r="B417" t="s">
        <v>582</v>
      </c>
      <c r="C417" t="s">
        <v>6289</v>
      </c>
      <c r="D417" t="s">
        <v>102</v>
      </c>
      <c r="E417" t="s">
        <v>6292</v>
      </c>
      <c r="F417" t="s">
        <v>6527</v>
      </c>
      <c r="G417" t="s">
        <v>6671</v>
      </c>
      <c r="K417">
        <v>1</v>
      </c>
    </row>
    <row r="418" spans="1:11" x14ac:dyDescent="0.25">
      <c r="A418" t="s">
        <v>2545</v>
      </c>
      <c r="B418" t="s">
        <v>2550</v>
      </c>
      <c r="C418" t="s">
        <v>6284</v>
      </c>
      <c r="D418" t="s">
        <v>102</v>
      </c>
      <c r="E418" t="s">
        <v>6292</v>
      </c>
      <c r="F418" t="s">
        <v>6672</v>
      </c>
      <c r="G418" t="s">
        <v>6673</v>
      </c>
      <c r="K418">
        <v>1</v>
      </c>
    </row>
    <row r="419" spans="1:11" x14ac:dyDescent="0.25">
      <c r="A419" t="s">
        <v>2545</v>
      </c>
      <c r="B419" t="s">
        <v>2550</v>
      </c>
      <c r="C419" t="s">
        <v>6289</v>
      </c>
      <c r="D419" t="s">
        <v>102</v>
      </c>
      <c r="E419" t="s">
        <v>6292</v>
      </c>
      <c r="F419" t="s">
        <v>6672</v>
      </c>
      <c r="K419">
        <v>1</v>
      </c>
    </row>
    <row r="420" spans="1:11" x14ac:dyDescent="0.25">
      <c r="A420" t="s">
        <v>1677</v>
      </c>
      <c r="B420" t="s">
        <v>1682</v>
      </c>
      <c r="C420" t="s">
        <v>6284</v>
      </c>
      <c r="D420" t="s">
        <v>102</v>
      </c>
      <c r="E420" t="s">
        <v>103</v>
      </c>
      <c r="F420" t="s">
        <v>6285</v>
      </c>
      <c r="G420" t="s">
        <v>6674</v>
      </c>
      <c r="K420">
        <v>1</v>
      </c>
    </row>
    <row r="421" spans="1:11" x14ac:dyDescent="0.25">
      <c r="A421" t="s">
        <v>1677</v>
      </c>
      <c r="B421" t="s">
        <v>1682</v>
      </c>
      <c r="C421" t="s">
        <v>6289</v>
      </c>
      <c r="D421" t="s">
        <v>102</v>
      </c>
      <c r="E421" t="s">
        <v>103</v>
      </c>
      <c r="F421" t="s">
        <v>6285</v>
      </c>
      <c r="G421" t="s">
        <v>6674</v>
      </c>
      <c r="K421">
        <v>1</v>
      </c>
    </row>
    <row r="422" spans="1:11" x14ac:dyDescent="0.25">
      <c r="A422" t="s">
        <v>2816</v>
      </c>
      <c r="B422" t="s">
        <v>2822</v>
      </c>
      <c r="C422" t="s">
        <v>6284</v>
      </c>
      <c r="D422" t="s">
        <v>102</v>
      </c>
      <c r="E422" t="s">
        <v>6292</v>
      </c>
      <c r="F422" t="s">
        <v>6436</v>
      </c>
      <c r="G422" t="s">
        <v>6675</v>
      </c>
      <c r="K422">
        <v>1</v>
      </c>
    </row>
    <row r="423" spans="1:11" x14ac:dyDescent="0.25">
      <c r="A423" t="s">
        <v>2816</v>
      </c>
      <c r="B423" t="s">
        <v>2822</v>
      </c>
      <c r="C423" t="s">
        <v>6289</v>
      </c>
      <c r="D423" t="s">
        <v>102</v>
      </c>
      <c r="E423" t="s">
        <v>6292</v>
      </c>
      <c r="F423" t="s">
        <v>6436</v>
      </c>
      <c r="G423" t="s">
        <v>6675</v>
      </c>
      <c r="K423">
        <v>1</v>
      </c>
    </row>
    <row r="424" spans="1:11" x14ac:dyDescent="0.25">
      <c r="A424" t="s">
        <v>1781</v>
      </c>
      <c r="B424" t="s">
        <v>1785</v>
      </c>
      <c r="C424" t="s">
        <v>6284</v>
      </c>
      <c r="D424" t="s">
        <v>102</v>
      </c>
      <c r="E424" t="s">
        <v>6296</v>
      </c>
      <c r="F424" t="s">
        <v>6309</v>
      </c>
      <c r="G424" t="s">
        <v>6676</v>
      </c>
      <c r="K424">
        <v>1</v>
      </c>
    </row>
    <row r="425" spans="1:11" x14ac:dyDescent="0.25">
      <c r="A425" t="s">
        <v>1781</v>
      </c>
      <c r="B425" t="s">
        <v>1785</v>
      </c>
      <c r="C425" t="s">
        <v>6289</v>
      </c>
      <c r="D425" t="s">
        <v>102</v>
      </c>
      <c r="E425" t="s">
        <v>6296</v>
      </c>
      <c r="F425" t="s">
        <v>6309</v>
      </c>
      <c r="G425" t="s">
        <v>6676</v>
      </c>
      <c r="K425">
        <v>1</v>
      </c>
    </row>
    <row r="426" spans="1:11" x14ac:dyDescent="0.25">
      <c r="A426" t="s">
        <v>963</v>
      </c>
      <c r="B426" t="s">
        <v>968</v>
      </c>
      <c r="C426" t="s">
        <v>6284</v>
      </c>
      <c r="D426" t="s">
        <v>102</v>
      </c>
      <c r="E426" t="s">
        <v>6296</v>
      </c>
      <c r="F426" t="s">
        <v>6309</v>
      </c>
      <c r="G426" t="s">
        <v>6677</v>
      </c>
      <c r="K426">
        <v>1</v>
      </c>
    </row>
    <row r="427" spans="1:11" x14ac:dyDescent="0.25">
      <c r="A427" t="s">
        <v>963</v>
      </c>
      <c r="B427" t="s">
        <v>968</v>
      </c>
      <c r="C427" t="s">
        <v>6289</v>
      </c>
      <c r="D427" t="s">
        <v>102</v>
      </c>
      <c r="E427" t="s">
        <v>6296</v>
      </c>
      <c r="F427" t="s">
        <v>6309</v>
      </c>
      <c r="G427" t="s">
        <v>6677</v>
      </c>
      <c r="K427">
        <v>1</v>
      </c>
    </row>
    <row r="428" spans="1:11" x14ac:dyDescent="0.25">
      <c r="A428" t="s">
        <v>1403</v>
      </c>
      <c r="B428" t="s">
        <v>1408</v>
      </c>
      <c r="C428" t="s">
        <v>6284</v>
      </c>
      <c r="D428" t="s">
        <v>102</v>
      </c>
      <c r="E428" t="s">
        <v>103</v>
      </c>
      <c r="F428" t="s">
        <v>294</v>
      </c>
      <c r="G428" t="s">
        <v>6678</v>
      </c>
      <c r="K428">
        <v>1</v>
      </c>
    </row>
    <row r="429" spans="1:11" x14ac:dyDescent="0.25">
      <c r="A429" t="s">
        <v>1403</v>
      </c>
      <c r="B429" t="s">
        <v>1408</v>
      </c>
      <c r="C429" t="s">
        <v>6289</v>
      </c>
      <c r="D429" t="s">
        <v>102</v>
      </c>
      <c r="E429" t="s">
        <v>103</v>
      </c>
      <c r="F429" t="s">
        <v>294</v>
      </c>
      <c r="G429" t="s">
        <v>6678</v>
      </c>
      <c r="K429">
        <v>1</v>
      </c>
    </row>
    <row r="430" spans="1:11" x14ac:dyDescent="0.25">
      <c r="A430" t="s">
        <v>1146</v>
      </c>
      <c r="B430" t="s">
        <v>1153</v>
      </c>
      <c r="C430" t="s">
        <v>6284</v>
      </c>
      <c r="D430" t="s">
        <v>102</v>
      </c>
      <c r="E430" t="s">
        <v>6305</v>
      </c>
      <c r="F430" t="s">
        <v>6557</v>
      </c>
      <c r="G430" t="s">
        <v>6679</v>
      </c>
      <c r="K430">
        <v>1</v>
      </c>
    </row>
    <row r="431" spans="1:11" x14ac:dyDescent="0.25">
      <c r="A431" t="s">
        <v>1146</v>
      </c>
      <c r="B431" t="s">
        <v>1153</v>
      </c>
      <c r="C431" t="s">
        <v>6289</v>
      </c>
      <c r="D431" t="s">
        <v>102</v>
      </c>
      <c r="E431" t="s">
        <v>6305</v>
      </c>
      <c r="F431" t="s">
        <v>6557</v>
      </c>
      <c r="G431" t="s">
        <v>6679</v>
      </c>
      <c r="K431">
        <v>1</v>
      </c>
    </row>
    <row r="432" spans="1:11" x14ac:dyDescent="0.25">
      <c r="A432" t="s">
        <v>2836</v>
      </c>
      <c r="B432" t="s">
        <v>2841</v>
      </c>
      <c r="C432" t="s">
        <v>6284</v>
      </c>
      <c r="D432" t="s">
        <v>102</v>
      </c>
      <c r="E432" t="s">
        <v>103</v>
      </c>
      <c r="F432" t="s">
        <v>6680</v>
      </c>
      <c r="G432" t="s">
        <v>6681</v>
      </c>
      <c r="K432">
        <v>1</v>
      </c>
    </row>
    <row r="433" spans="1:11" x14ac:dyDescent="0.25">
      <c r="A433" t="s">
        <v>2836</v>
      </c>
      <c r="B433" t="s">
        <v>2841</v>
      </c>
      <c r="C433" t="s">
        <v>6289</v>
      </c>
      <c r="D433" t="s">
        <v>102</v>
      </c>
      <c r="E433" t="s">
        <v>103</v>
      </c>
      <c r="F433" t="s">
        <v>6680</v>
      </c>
      <c r="G433" t="s">
        <v>6681</v>
      </c>
      <c r="K433">
        <v>1</v>
      </c>
    </row>
    <row r="434" spans="1:11" x14ac:dyDescent="0.25">
      <c r="A434" t="s">
        <v>2899</v>
      </c>
      <c r="B434" t="s">
        <v>2903</v>
      </c>
      <c r="C434" t="s">
        <v>6284</v>
      </c>
      <c r="D434" t="s">
        <v>102</v>
      </c>
      <c r="E434" t="s">
        <v>103</v>
      </c>
      <c r="F434" t="s">
        <v>294</v>
      </c>
      <c r="G434" t="s">
        <v>6682</v>
      </c>
      <c r="K434">
        <v>1</v>
      </c>
    </row>
    <row r="435" spans="1:11" x14ac:dyDescent="0.25">
      <c r="A435" t="s">
        <v>2899</v>
      </c>
      <c r="B435" t="s">
        <v>2903</v>
      </c>
      <c r="C435" t="s">
        <v>6289</v>
      </c>
      <c r="D435" t="s">
        <v>102</v>
      </c>
      <c r="E435" t="s">
        <v>103</v>
      </c>
      <c r="F435" t="s">
        <v>294</v>
      </c>
      <c r="G435" t="s">
        <v>6682</v>
      </c>
      <c r="K435">
        <v>1</v>
      </c>
    </row>
    <row r="436" spans="1:11" x14ac:dyDescent="0.25">
      <c r="A436" t="s">
        <v>3326</v>
      </c>
      <c r="B436" t="s">
        <v>3331</v>
      </c>
      <c r="C436" t="s">
        <v>6284</v>
      </c>
      <c r="D436" t="s">
        <v>102</v>
      </c>
      <c r="E436" t="s">
        <v>103</v>
      </c>
      <c r="F436" t="s">
        <v>294</v>
      </c>
      <c r="G436" t="s">
        <v>6683</v>
      </c>
      <c r="K436">
        <v>1</v>
      </c>
    </row>
    <row r="437" spans="1:11" x14ac:dyDescent="0.25">
      <c r="A437" t="s">
        <v>3326</v>
      </c>
      <c r="B437" t="s">
        <v>3331</v>
      </c>
      <c r="C437" t="s">
        <v>6289</v>
      </c>
      <c r="D437" t="s">
        <v>102</v>
      </c>
      <c r="E437" t="s">
        <v>103</v>
      </c>
      <c r="F437" t="s">
        <v>294</v>
      </c>
      <c r="G437" t="s">
        <v>6683</v>
      </c>
      <c r="K437">
        <v>1</v>
      </c>
    </row>
    <row r="438" spans="1:11" x14ac:dyDescent="0.25">
      <c r="A438" t="s">
        <v>777</v>
      </c>
      <c r="B438" t="s">
        <v>784</v>
      </c>
      <c r="C438" t="s">
        <v>6284</v>
      </c>
      <c r="D438" t="s">
        <v>102</v>
      </c>
      <c r="E438" t="s">
        <v>6351</v>
      </c>
      <c r="F438" t="s">
        <v>6684</v>
      </c>
      <c r="G438" t="s">
        <v>6685</v>
      </c>
      <c r="K438">
        <v>1</v>
      </c>
    </row>
    <row r="439" spans="1:11" x14ac:dyDescent="0.25">
      <c r="A439" t="s">
        <v>777</v>
      </c>
      <c r="B439" t="s">
        <v>784</v>
      </c>
      <c r="C439" t="s">
        <v>6289</v>
      </c>
      <c r="D439" t="s">
        <v>102</v>
      </c>
      <c r="E439" t="s">
        <v>6351</v>
      </c>
      <c r="F439" t="s">
        <v>6684</v>
      </c>
      <c r="G439" t="s">
        <v>6685</v>
      </c>
      <c r="K439">
        <v>1</v>
      </c>
    </row>
    <row r="440" spans="1:11" x14ac:dyDescent="0.25">
      <c r="A440" t="s">
        <v>2477</v>
      </c>
      <c r="B440" t="s">
        <v>2482</v>
      </c>
      <c r="C440" t="s">
        <v>6284</v>
      </c>
      <c r="D440" t="s">
        <v>102</v>
      </c>
      <c r="E440" t="s">
        <v>6346</v>
      </c>
      <c r="F440" t="s">
        <v>6347</v>
      </c>
      <c r="G440" t="s">
        <v>6686</v>
      </c>
      <c r="K440">
        <v>1</v>
      </c>
    </row>
    <row r="441" spans="1:11" x14ac:dyDescent="0.25">
      <c r="A441" t="s">
        <v>2477</v>
      </c>
      <c r="B441" t="s">
        <v>2482</v>
      </c>
      <c r="C441" t="s">
        <v>6289</v>
      </c>
      <c r="D441" t="s">
        <v>102</v>
      </c>
      <c r="E441" t="s">
        <v>6346</v>
      </c>
      <c r="F441" t="s">
        <v>6347</v>
      </c>
      <c r="G441" t="s">
        <v>6686</v>
      </c>
      <c r="K441">
        <v>1</v>
      </c>
    </row>
    <row r="442" spans="1:11" x14ac:dyDescent="0.25">
      <c r="A442" t="s">
        <v>1926</v>
      </c>
      <c r="B442" t="s">
        <v>1929</v>
      </c>
      <c r="C442" t="s">
        <v>6284</v>
      </c>
      <c r="D442" t="s">
        <v>102</v>
      </c>
      <c r="E442" t="s">
        <v>6296</v>
      </c>
      <c r="F442" t="s">
        <v>6297</v>
      </c>
      <c r="G442" t="s">
        <v>6687</v>
      </c>
      <c r="K442">
        <v>1</v>
      </c>
    </row>
    <row r="443" spans="1:11" x14ac:dyDescent="0.25">
      <c r="A443" t="s">
        <v>1926</v>
      </c>
      <c r="B443" t="s">
        <v>1929</v>
      </c>
      <c r="C443" t="s">
        <v>6289</v>
      </c>
      <c r="D443" t="s">
        <v>102</v>
      </c>
      <c r="E443" t="s">
        <v>6296</v>
      </c>
      <c r="F443" t="s">
        <v>6297</v>
      </c>
      <c r="G443" t="s">
        <v>6687</v>
      </c>
      <c r="K443">
        <v>1</v>
      </c>
    </row>
    <row r="444" spans="1:11" x14ac:dyDescent="0.25">
      <c r="A444" t="s">
        <v>2772</v>
      </c>
      <c r="B444" t="s">
        <v>2776</v>
      </c>
      <c r="C444" t="s">
        <v>6284</v>
      </c>
      <c r="D444" t="s">
        <v>102</v>
      </c>
      <c r="E444" t="s">
        <v>6296</v>
      </c>
      <c r="F444" t="s">
        <v>6559</v>
      </c>
      <c r="G444" t="s">
        <v>6688</v>
      </c>
      <c r="K444">
        <v>1</v>
      </c>
    </row>
    <row r="445" spans="1:11" x14ac:dyDescent="0.25">
      <c r="A445" t="s">
        <v>2772</v>
      </c>
      <c r="B445" t="s">
        <v>2776</v>
      </c>
      <c r="C445" t="s">
        <v>6289</v>
      </c>
      <c r="D445" t="s">
        <v>102</v>
      </c>
      <c r="E445" t="s">
        <v>103</v>
      </c>
      <c r="F445" t="s">
        <v>6285</v>
      </c>
      <c r="G445" t="s">
        <v>6689</v>
      </c>
      <c r="K445">
        <v>1</v>
      </c>
    </row>
    <row r="446" spans="1:11" x14ac:dyDescent="0.25">
      <c r="A446" t="s">
        <v>607</v>
      </c>
      <c r="B446" t="s">
        <v>611</v>
      </c>
      <c r="C446" t="s">
        <v>6284</v>
      </c>
      <c r="D446" t="s">
        <v>102</v>
      </c>
      <c r="E446" t="s">
        <v>6319</v>
      </c>
      <c r="F446" t="s">
        <v>6470</v>
      </c>
      <c r="G446" t="s">
        <v>6690</v>
      </c>
      <c r="K446">
        <v>1</v>
      </c>
    </row>
    <row r="447" spans="1:11" x14ac:dyDescent="0.25">
      <c r="A447" t="s">
        <v>607</v>
      </c>
      <c r="B447" t="s">
        <v>611</v>
      </c>
      <c r="C447" t="s">
        <v>6289</v>
      </c>
      <c r="D447" t="s">
        <v>102</v>
      </c>
      <c r="E447" t="s">
        <v>6319</v>
      </c>
      <c r="F447" t="s">
        <v>6470</v>
      </c>
      <c r="G447" t="s">
        <v>6690</v>
      </c>
      <c r="K447">
        <v>1</v>
      </c>
    </row>
    <row r="448" spans="1:11" x14ac:dyDescent="0.25">
      <c r="A448" t="s">
        <v>3294</v>
      </c>
      <c r="B448" t="s">
        <v>3298</v>
      </c>
      <c r="C448" t="s">
        <v>6284</v>
      </c>
      <c r="D448" t="s">
        <v>102</v>
      </c>
      <c r="E448" t="s">
        <v>103</v>
      </c>
      <c r="F448" t="s">
        <v>294</v>
      </c>
      <c r="G448" t="s">
        <v>6691</v>
      </c>
      <c r="K448">
        <v>1</v>
      </c>
    </row>
    <row r="449" spans="1:11" x14ac:dyDescent="0.25">
      <c r="A449" t="s">
        <v>3294</v>
      </c>
      <c r="B449" t="s">
        <v>3298</v>
      </c>
      <c r="C449" t="s">
        <v>6289</v>
      </c>
      <c r="D449" t="s">
        <v>102</v>
      </c>
      <c r="E449" t="s">
        <v>103</v>
      </c>
      <c r="F449" t="s">
        <v>294</v>
      </c>
      <c r="G449" t="s">
        <v>6691</v>
      </c>
      <c r="K449">
        <v>1</v>
      </c>
    </row>
    <row r="450" spans="1:11" x14ac:dyDescent="0.25">
      <c r="A450" t="s">
        <v>1870</v>
      </c>
      <c r="B450" t="s">
        <v>1874</v>
      </c>
      <c r="C450" t="s">
        <v>6284</v>
      </c>
      <c r="D450" t="s">
        <v>1170</v>
      </c>
      <c r="E450" t="s">
        <v>6692</v>
      </c>
      <c r="F450" t="s">
        <v>6693</v>
      </c>
      <c r="G450" t="s">
        <v>6694</v>
      </c>
      <c r="K450">
        <v>1</v>
      </c>
    </row>
    <row r="451" spans="1:11" x14ac:dyDescent="0.25">
      <c r="A451" t="s">
        <v>1870</v>
      </c>
      <c r="B451" t="s">
        <v>1874</v>
      </c>
      <c r="C451" t="s">
        <v>6289</v>
      </c>
      <c r="D451" t="s">
        <v>102</v>
      </c>
      <c r="E451" t="s">
        <v>103</v>
      </c>
      <c r="F451" t="s">
        <v>6377</v>
      </c>
      <c r="G451" t="s">
        <v>6695</v>
      </c>
      <c r="K451">
        <v>1</v>
      </c>
    </row>
    <row r="452" spans="1:11" x14ac:dyDescent="0.25">
      <c r="A452" t="s">
        <v>1809</v>
      </c>
      <c r="B452" t="s">
        <v>1816</v>
      </c>
      <c r="C452" t="s">
        <v>6284</v>
      </c>
      <c r="D452" t="s">
        <v>102</v>
      </c>
      <c r="E452" t="s">
        <v>103</v>
      </c>
      <c r="F452" t="s">
        <v>294</v>
      </c>
      <c r="G452" t="s">
        <v>6696</v>
      </c>
      <c r="K452">
        <v>1</v>
      </c>
    </row>
    <row r="453" spans="1:11" x14ac:dyDescent="0.25">
      <c r="A453" t="s">
        <v>1809</v>
      </c>
      <c r="B453" t="s">
        <v>1816</v>
      </c>
      <c r="C453" t="s">
        <v>6289</v>
      </c>
      <c r="D453" t="s">
        <v>102</v>
      </c>
      <c r="E453" t="s">
        <v>103</v>
      </c>
      <c r="F453" t="s">
        <v>294</v>
      </c>
      <c r="G453" t="s">
        <v>6697</v>
      </c>
      <c r="K453">
        <v>1</v>
      </c>
    </row>
    <row r="454" spans="1:11" x14ac:dyDescent="0.25">
      <c r="A454" t="s">
        <v>2790</v>
      </c>
      <c r="B454" t="s">
        <v>2795</v>
      </c>
      <c r="C454" t="s">
        <v>6284</v>
      </c>
      <c r="D454" t="s">
        <v>102</v>
      </c>
      <c r="E454" t="s">
        <v>103</v>
      </c>
      <c r="F454" t="s">
        <v>294</v>
      </c>
      <c r="G454" t="s">
        <v>6698</v>
      </c>
      <c r="K454">
        <v>1</v>
      </c>
    </row>
    <row r="455" spans="1:11" x14ac:dyDescent="0.25">
      <c r="A455" t="s">
        <v>2790</v>
      </c>
      <c r="B455" t="s">
        <v>2795</v>
      </c>
      <c r="C455" t="s">
        <v>6289</v>
      </c>
      <c r="D455" t="s">
        <v>102</v>
      </c>
      <c r="E455" t="s">
        <v>103</v>
      </c>
      <c r="F455" t="s">
        <v>294</v>
      </c>
      <c r="G455" t="s">
        <v>6699</v>
      </c>
      <c r="K455">
        <v>1</v>
      </c>
    </row>
    <row r="456" spans="1:11" x14ac:dyDescent="0.25">
      <c r="A456" t="s">
        <v>3433</v>
      </c>
      <c r="B456" t="s">
        <v>3438</v>
      </c>
      <c r="C456" t="s">
        <v>6284</v>
      </c>
      <c r="D456" t="s">
        <v>102</v>
      </c>
      <c r="E456" t="s">
        <v>103</v>
      </c>
      <c r="F456" t="s">
        <v>6368</v>
      </c>
      <c r="G456" t="s">
        <v>6700</v>
      </c>
      <c r="K456">
        <v>1</v>
      </c>
    </row>
    <row r="457" spans="1:11" x14ac:dyDescent="0.25">
      <c r="A457" t="s">
        <v>3433</v>
      </c>
      <c r="B457" t="s">
        <v>3438</v>
      </c>
      <c r="C457" t="s">
        <v>6289</v>
      </c>
      <c r="D457" t="s">
        <v>102</v>
      </c>
      <c r="E457" t="s">
        <v>103</v>
      </c>
      <c r="F457" t="s">
        <v>6368</v>
      </c>
      <c r="G457" t="s">
        <v>6700</v>
      </c>
      <c r="K457">
        <v>1</v>
      </c>
    </row>
    <row r="458" spans="1:11" x14ac:dyDescent="0.25">
      <c r="A458" t="s">
        <v>3304</v>
      </c>
      <c r="B458" t="s">
        <v>3308</v>
      </c>
      <c r="C458" t="s">
        <v>6284</v>
      </c>
      <c r="D458" t="s">
        <v>102</v>
      </c>
      <c r="E458" t="s">
        <v>103</v>
      </c>
      <c r="F458" t="s">
        <v>294</v>
      </c>
      <c r="G458" t="s">
        <v>6701</v>
      </c>
      <c r="K458">
        <v>1</v>
      </c>
    </row>
    <row r="459" spans="1:11" x14ac:dyDescent="0.25">
      <c r="A459" t="s">
        <v>3304</v>
      </c>
      <c r="B459" t="s">
        <v>3308</v>
      </c>
      <c r="C459" t="s">
        <v>6289</v>
      </c>
      <c r="D459" t="s">
        <v>102</v>
      </c>
      <c r="E459" t="s">
        <v>103</v>
      </c>
      <c r="F459" t="s">
        <v>294</v>
      </c>
      <c r="G459" t="s">
        <v>6701</v>
      </c>
      <c r="K459">
        <v>1</v>
      </c>
    </row>
    <row r="460" spans="1:11" x14ac:dyDescent="0.25">
      <c r="A460" t="s">
        <v>3536</v>
      </c>
      <c r="B460" t="s">
        <v>3540</v>
      </c>
      <c r="C460" t="s">
        <v>6284</v>
      </c>
      <c r="D460" t="s">
        <v>102</v>
      </c>
      <c r="E460" t="s">
        <v>103</v>
      </c>
      <c r="F460" t="s">
        <v>294</v>
      </c>
      <c r="G460" t="s">
        <v>6702</v>
      </c>
      <c r="K460">
        <v>1</v>
      </c>
    </row>
    <row r="461" spans="1:11" x14ac:dyDescent="0.25">
      <c r="A461" t="s">
        <v>3536</v>
      </c>
      <c r="B461" t="s">
        <v>3540</v>
      </c>
      <c r="C461" t="s">
        <v>6289</v>
      </c>
      <c r="D461" t="s">
        <v>102</v>
      </c>
      <c r="E461" t="s">
        <v>103</v>
      </c>
      <c r="F461" t="s">
        <v>294</v>
      </c>
      <c r="G461" t="s">
        <v>6703</v>
      </c>
      <c r="K461">
        <v>1</v>
      </c>
    </row>
    <row r="462" spans="1:11" x14ac:dyDescent="0.25">
      <c r="A462" t="s">
        <v>2431</v>
      </c>
      <c r="B462" t="s">
        <v>2436</v>
      </c>
      <c r="C462" t="s">
        <v>6284</v>
      </c>
      <c r="D462" t="s">
        <v>102</v>
      </c>
      <c r="E462" t="s">
        <v>6319</v>
      </c>
      <c r="F462" t="s">
        <v>6481</v>
      </c>
      <c r="G462" t="s">
        <v>6704</v>
      </c>
      <c r="K462">
        <v>1</v>
      </c>
    </row>
    <row r="463" spans="1:11" x14ac:dyDescent="0.25">
      <c r="A463" t="s">
        <v>2431</v>
      </c>
      <c r="B463" t="s">
        <v>2436</v>
      </c>
      <c r="C463" t="s">
        <v>6289</v>
      </c>
      <c r="D463" t="s">
        <v>102</v>
      </c>
      <c r="E463" t="s">
        <v>6319</v>
      </c>
      <c r="F463" t="s">
        <v>6481</v>
      </c>
      <c r="G463" t="s">
        <v>6704</v>
      </c>
      <c r="K463">
        <v>1</v>
      </c>
    </row>
    <row r="464" spans="1:11" x14ac:dyDescent="0.25">
      <c r="A464" t="s">
        <v>2193</v>
      </c>
      <c r="B464" t="s">
        <v>2199</v>
      </c>
      <c r="C464" t="s">
        <v>6284</v>
      </c>
      <c r="D464" t="s">
        <v>102</v>
      </c>
      <c r="E464" t="s">
        <v>6341</v>
      </c>
      <c r="F464" t="s">
        <v>6659</v>
      </c>
      <c r="G464" t="s">
        <v>6705</v>
      </c>
      <c r="K464">
        <v>1</v>
      </c>
    </row>
    <row r="465" spans="1:11" x14ac:dyDescent="0.25">
      <c r="A465" t="s">
        <v>2193</v>
      </c>
      <c r="B465" t="s">
        <v>2199</v>
      </c>
      <c r="C465" t="s">
        <v>6289</v>
      </c>
      <c r="D465" t="s">
        <v>102</v>
      </c>
      <c r="E465" t="s">
        <v>6341</v>
      </c>
      <c r="F465" t="s">
        <v>6659</v>
      </c>
      <c r="K465">
        <v>1</v>
      </c>
    </row>
    <row r="466" spans="1:11" x14ac:dyDescent="0.25">
      <c r="A466" t="s">
        <v>2727</v>
      </c>
      <c r="B466" t="s">
        <v>2730</v>
      </c>
      <c r="C466" t="s">
        <v>6284</v>
      </c>
      <c r="D466" t="s">
        <v>102</v>
      </c>
      <c r="E466" t="s">
        <v>6341</v>
      </c>
      <c r="F466" t="s">
        <v>6706</v>
      </c>
      <c r="G466" t="s">
        <v>6707</v>
      </c>
      <c r="K466">
        <v>1</v>
      </c>
    </row>
    <row r="467" spans="1:11" x14ac:dyDescent="0.25">
      <c r="A467" t="s">
        <v>2727</v>
      </c>
      <c r="B467" t="s">
        <v>2730</v>
      </c>
      <c r="C467" t="s">
        <v>6289</v>
      </c>
      <c r="D467" t="s">
        <v>102</v>
      </c>
      <c r="E467" t="s">
        <v>6341</v>
      </c>
      <c r="G467" t="s">
        <v>6708</v>
      </c>
      <c r="K467">
        <v>1</v>
      </c>
    </row>
    <row r="468" spans="1:11" x14ac:dyDescent="0.25">
      <c r="A468" t="s">
        <v>2799</v>
      </c>
      <c r="B468" t="s">
        <v>2803</v>
      </c>
      <c r="C468" t="s">
        <v>6284</v>
      </c>
      <c r="D468" t="s">
        <v>102</v>
      </c>
      <c r="E468" t="s">
        <v>103</v>
      </c>
      <c r="F468" t="s">
        <v>294</v>
      </c>
      <c r="G468" t="s">
        <v>6709</v>
      </c>
      <c r="K468">
        <v>1</v>
      </c>
    </row>
    <row r="469" spans="1:11" x14ac:dyDescent="0.25">
      <c r="A469" t="s">
        <v>2799</v>
      </c>
      <c r="B469" t="s">
        <v>2803</v>
      </c>
      <c r="C469" t="s">
        <v>6289</v>
      </c>
      <c r="D469" t="s">
        <v>102</v>
      </c>
      <c r="E469" t="s">
        <v>103</v>
      </c>
      <c r="F469" t="s">
        <v>294</v>
      </c>
      <c r="G469" t="s">
        <v>6710</v>
      </c>
      <c r="K469">
        <v>1</v>
      </c>
    </row>
    <row r="470" spans="1:11" x14ac:dyDescent="0.25">
      <c r="A470" t="s">
        <v>2020</v>
      </c>
      <c r="B470" t="s">
        <v>2027</v>
      </c>
      <c r="C470" t="s">
        <v>6284</v>
      </c>
      <c r="D470" t="s">
        <v>102</v>
      </c>
      <c r="E470" t="s">
        <v>103</v>
      </c>
      <c r="F470" t="s">
        <v>6286</v>
      </c>
      <c r="G470" t="s">
        <v>6711</v>
      </c>
      <c r="K470">
        <v>1</v>
      </c>
    </row>
    <row r="471" spans="1:11" x14ac:dyDescent="0.25">
      <c r="A471" t="s">
        <v>2020</v>
      </c>
      <c r="B471" t="s">
        <v>2027</v>
      </c>
      <c r="C471" t="s">
        <v>6289</v>
      </c>
      <c r="D471" t="s">
        <v>102</v>
      </c>
      <c r="E471" t="s">
        <v>103</v>
      </c>
      <c r="G471" t="s">
        <v>6712</v>
      </c>
      <c r="K471">
        <v>1</v>
      </c>
    </row>
    <row r="472" spans="1:11" x14ac:dyDescent="0.25">
      <c r="A472" t="s">
        <v>584</v>
      </c>
      <c r="B472" t="s">
        <v>587</v>
      </c>
      <c r="C472" t="s">
        <v>6284</v>
      </c>
      <c r="D472" t="s">
        <v>102</v>
      </c>
      <c r="E472" t="s">
        <v>6351</v>
      </c>
      <c r="F472" t="s">
        <v>6713</v>
      </c>
      <c r="G472" t="s">
        <v>6714</v>
      </c>
      <c r="K472">
        <v>1</v>
      </c>
    </row>
    <row r="473" spans="1:11" x14ac:dyDescent="0.25">
      <c r="A473" t="s">
        <v>584</v>
      </c>
      <c r="B473" t="s">
        <v>587</v>
      </c>
      <c r="C473" t="s">
        <v>6289</v>
      </c>
      <c r="D473" t="s">
        <v>102</v>
      </c>
      <c r="E473" t="s">
        <v>6351</v>
      </c>
      <c r="F473" t="s">
        <v>6713</v>
      </c>
      <c r="G473" t="s">
        <v>6714</v>
      </c>
      <c r="K473">
        <v>1</v>
      </c>
    </row>
    <row r="474" spans="1:11" x14ac:dyDescent="0.25">
      <c r="A474" t="s">
        <v>2142</v>
      </c>
      <c r="B474" t="s">
        <v>2147</v>
      </c>
      <c r="C474" t="s">
        <v>6284</v>
      </c>
      <c r="D474" t="s">
        <v>102</v>
      </c>
      <c r="E474" t="s">
        <v>103</v>
      </c>
      <c r="F474" t="s">
        <v>6303</v>
      </c>
      <c r="G474" t="s">
        <v>6715</v>
      </c>
      <c r="K474">
        <v>1</v>
      </c>
    </row>
    <row r="475" spans="1:11" x14ac:dyDescent="0.25">
      <c r="A475" t="s">
        <v>2142</v>
      </c>
      <c r="B475" t="s">
        <v>2147</v>
      </c>
      <c r="C475" t="s">
        <v>6289</v>
      </c>
      <c r="D475" t="s">
        <v>102</v>
      </c>
      <c r="E475" t="s">
        <v>103</v>
      </c>
      <c r="F475" t="s">
        <v>6303</v>
      </c>
      <c r="G475" t="s">
        <v>6715</v>
      </c>
      <c r="K475">
        <v>1</v>
      </c>
    </row>
    <row r="476" spans="1:11" x14ac:dyDescent="0.25">
      <c r="A476" t="s">
        <v>2632</v>
      </c>
      <c r="B476" t="s">
        <v>2637</v>
      </c>
      <c r="C476" t="s">
        <v>6284</v>
      </c>
      <c r="D476" t="s">
        <v>102</v>
      </c>
      <c r="E476" t="s">
        <v>103</v>
      </c>
      <c r="F476" t="s">
        <v>294</v>
      </c>
      <c r="G476" t="s">
        <v>6716</v>
      </c>
      <c r="K476">
        <v>1</v>
      </c>
    </row>
    <row r="477" spans="1:11" x14ac:dyDescent="0.25">
      <c r="A477" t="s">
        <v>2632</v>
      </c>
      <c r="B477" t="s">
        <v>2637</v>
      </c>
      <c r="C477" t="s">
        <v>6289</v>
      </c>
      <c r="D477" t="s">
        <v>102</v>
      </c>
      <c r="E477" t="s">
        <v>103</v>
      </c>
      <c r="F477" t="s">
        <v>294</v>
      </c>
      <c r="G477" t="s">
        <v>6716</v>
      </c>
      <c r="K477">
        <v>1</v>
      </c>
    </row>
    <row r="478" spans="1:11" x14ac:dyDescent="0.25">
      <c r="A478" t="s">
        <v>2340</v>
      </c>
      <c r="B478" t="s">
        <v>2344</v>
      </c>
      <c r="C478" t="s">
        <v>6284</v>
      </c>
      <c r="D478" t="s">
        <v>102</v>
      </c>
      <c r="E478" t="s">
        <v>103</v>
      </c>
      <c r="F478" t="s">
        <v>294</v>
      </c>
      <c r="G478" t="s">
        <v>6717</v>
      </c>
      <c r="K478">
        <v>1</v>
      </c>
    </row>
    <row r="479" spans="1:11" x14ac:dyDescent="0.25">
      <c r="A479" t="s">
        <v>2340</v>
      </c>
      <c r="B479" t="s">
        <v>2344</v>
      </c>
      <c r="C479" t="s">
        <v>6289</v>
      </c>
      <c r="D479" t="s">
        <v>102</v>
      </c>
      <c r="E479" t="s">
        <v>103</v>
      </c>
      <c r="F479" t="s">
        <v>294</v>
      </c>
      <c r="G479" t="s">
        <v>6717</v>
      </c>
      <c r="K479">
        <v>1</v>
      </c>
    </row>
    <row r="480" spans="1:11" x14ac:dyDescent="0.25">
      <c r="A480" t="s">
        <v>3093</v>
      </c>
      <c r="B480" t="s">
        <v>3097</v>
      </c>
      <c r="C480" t="s">
        <v>6284</v>
      </c>
      <c r="D480" t="s">
        <v>102</v>
      </c>
      <c r="E480" t="s">
        <v>103</v>
      </c>
      <c r="F480" t="s">
        <v>294</v>
      </c>
      <c r="G480" t="s">
        <v>6718</v>
      </c>
      <c r="K480">
        <v>1</v>
      </c>
    </row>
    <row r="481" spans="1:11" x14ac:dyDescent="0.25">
      <c r="A481" t="s">
        <v>3093</v>
      </c>
      <c r="B481" t="s">
        <v>3097</v>
      </c>
      <c r="C481" t="s">
        <v>6289</v>
      </c>
      <c r="D481" t="s">
        <v>102</v>
      </c>
      <c r="E481" t="s">
        <v>103</v>
      </c>
      <c r="F481" t="s">
        <v>294</v>
      </c>
      <c r="G481" t="s">
        <v>6719</v>
      </c>
      <c r="K481">
        <v>1</v>
      </c>
    </row>
    <row r="482" spans="1:11" x14ac:dyDescent="0.25">
      <c r="A482" t="s">
        <v>2286</v>
      </c>
      <c r="B482" t="s">
        <v>2292</v>
      </c>
      <c r="C482" t="s">
        <v>6284</v>
      </c>
      <c r="D482" t="s">
        <v>102</v>
      </c>
      <c r="E482" t="s">
        <v>103</v>
      </c>
      <c r="F482" t="s">
        <v>294</v>
      </c>
      <c r="G482" t="s">
        <v>6720</v>
      </c>
      <c r="K482">
        <v>1</v>
      </c>
    </row>
    <row r="483" spans="1:11" x14ac:dyDescent="0.25">
      <c r="A483" t="s">
        <v>2286</v>
      </c>
      <c r="B483" t="s">
        <v>2292</v>
      </c>
      <c r="C483" t="s">
        <v>6289</v>
      </c>
      <c r="D483" t="s">
        <v>102</v>
      </c>
      <c r="E483" t="s">
        <v>103</v>
      </c>
      <c r="F483" t="s">
        <v>294</v>
      </c>
      <c r="G483" t="s">
        <v>6720</v>
      </c>
      <c r="K483">
        <v>1</v>
      </c>
    </row>
    <row r="484" spans="1:11" x14ac:dyDescent="0.25">
      <c r="A484" t="s">
        <v>3025</v>
      </c>
      <c r="B484" t="s">
        <v>3028</v>
      </c>
      <c r="C484" t="s">
        <v>6284</v>
      </c>
      <c r="D484" t="s">
        <v>102</v>
      </c>
      <c r="E484" t="s">
        <v>103</v>
      </c>
      <c r="F484" t="s">
        <v>294</v>
      </c>
      <c r="G484" t="s">
        <v>6721</v>
      </c>
      <c r="K484">
        <v>1</v>
      </c>
    </row>
    <row r="485" spans="1:11" x14ac:dyDescent="0.25">
      <c r="A485" t="s">
        <v>3025</v>
      </c>
      <c r="B485" t="s">
        <v>3028</v>
      </c>
      <c r="C485" t="s">
        <v>6289</v>
      </c>
      <c r="D485" t="s">
        <v>102</v>
      </c>
      <c r="E485" t="s">
        <v>103</v>
      </c>
      <c r="F485" t="s">
        <v>294</v>
      </c>
      <c r="G485" t="s">
        <v>6721</v>
      </c>
      <c r="K485">
        <v>1</v>
      </c>
    </row>
    <row r="486" spans="1:11" x14ac:dyDescent="0.25">
      <c r="A486" t="s">
        <v>793</v>
      </c>
      <c r="B486" t="s">
        <v>800</v>
      </c>
      <c r="C486" t="s">
        <v>6284</v>
      </c>
      <c r="D486" t="s">
        <v>102</v>
      </c>
      <c r="E486" t="s">
        <v>6351</v>
      </c>
      <c r="F486" t="s">
        <v>6684</v>
      </c>
      <c r="G486" t="s">
        <v>6722</v>
      </c>
      <c r="K486">
        <v>1</v>
      </c>
    </row>
    <row r="487" spans="1:11" x14ac:dyDescent="0.25">
      <c r="A487" t="s">
        <v>793</v>
      </c>
      <c r="B487" t="s">
        <v>800</v>
      </c>
      <c r="C487" t="s">
        <v>6289</v>
      </c>
      <c r="D487" t="s">
        <v>102</v>
      </c>
      <c r="E487" t="s">
        <v>6351</v>
      </c>
      <c r="F487" t="s">
        <v>6684</v>
      </c>
      <c r="G487" t="s">
        <v>6722</v>
      </c>
      <c r="K487">
        <v>1</v>
      </c>
    </row>
    <row r="488" spans="1:11" x14ac:dyDescent="0.25">
      <c r="A488" t="s">
        <v>2663</v>
      </c>
      <c r="B488" t="s">
        <v>2667</v>
      </c>
      <c r="C488" t="s">
        <v>6284</v>
      </c>
      <c r="D488" t="s">
        <v>102</v>
      </c>
      <c r="E488" t="s">
        <v>103</v>
      </c>
      <c r="F488" t="s">
        <v>6286</v>
      </c>
      <c r="G488" t="s">
        <v>6723</v>
      </c>
      <c r="K488">
        <v>1</v>
      </c>
    </row>
    <row r="489" spans="1:11" x14ac:dyDescent="0.25">
      <c r="A489" t="s">
        <v>2663</v>
      </c>
      <c r="B489" t="s">
        <v>2667</v>
      </c>
      <c r="C489" t="s">
        <v>6289</v>
      </c>
      <c r="D489" t="s">
        <v>102</v>
      </c>
      <c r="E489" t="s">
        <v>103</v>
      </c>
      <c r="G489" t="s">
        <v>6724</v>
      </c>
      <c r="K489">
        <v>1</v>
      </c>
    </row>
    <row r="490" spans="1:11" x14ac:dyDescent="0.25">
      <c r="A490" t="s">
        <v>3005</v>
      </c>
      <c r="B490" t="s">
        <v>3009</v>
      </c>
      <c r="C490" t="s">
        <v>6284</v>
      </c>
      <c r="D490" t="s">
        <v>102</v>
      </c>
      <c r="E490" t="s">
        <v>103</v>
      </c>
      <c r="F490" t="s">
        <v>6368</v>
      </c>
      <c r="G490" t="s">
        <v>6725</v>
      </c>
      <c r="K490">
        <v>1</v>
      </c>
    </row>
    <row r="491" spans="1:11" x14ac:dyDescent="0.25">
      <c r="A491" t="s">
        <v>3005</v>
      </c>
      <c r="B491" t="s">
        <v>3009</v>
      </c>
      <c r="C491" t="s">
        <v>6289</v>
      </c>
      <c r="D491" t="s">
        <v>102</v>
      </c>
      <c r="E491" t="s">
        <v>103</v>
      </c>
      <c r="F491" t="s">
        <v>6303</v>
      </c>
      <c r="G491" t="s">
        <v>6726</v>
      </c>
      <c r="K491">
        <v>1</v>
      </c>
    </row>
    <row r="492" spans="1:11" x14ac:dyDescent="0.25">
      <c r="A492" t="s">
        <v>1323</v>
      </c>
      <c r="B492" t="s">
        <v>1330</v>
      </c>
      <c r="C492" t="s">
        <v>6284</v>
      </c>
      <c r="D492" t="s">
        <v>102</v>
      </c>
      <c r="E492" t="s">
        <v>6727</v>
      </c>
      <c r="F492" t="s">
        <v>6728</v>
      </c>
      <c r="G492" t="s">
        <v>6729</v>
      </c>
      <c r="K492">
        <v>1</v>
      </c>
    </row>
    <row r="493" spans="1:11" x14ac:dyDescent="0.25">
      <c r="A493" t="s">
        <v>1323</v>
      </c>
      <c r="B493" t="s">
        <v>1330</v>
      </c>
      <c r="C493" t="s">
        <v>6289</v>
      </c>
      <c r="D493" t="s">
        <v>102</v>
      </c>
      <c r="E493" t="s">
        <v>6727</v>
      </c>
      <c r="F493" t="s">
        <v>6728</v>
      </c>
      <c r="G493" t="s">
        <v>6729</v>
      </c>
      <c r="K493">
        <v>1</v>
      </c>
    </row>
    <row r="494" spans="1:11" x14ac:dyDescent="0.25">
      <c r="A494" t="s">
        <v>3169</v>
      </c>
      <c r="B494" t="s">
        <v>3173</v>
      </c>
      <c r="C494" t="s">
        <v>6284</v>
      </c>
      <c r="D494" t="s">
        <v>102</v>
      </c>
      <c r="E494" t="s">
        <v>103</v>
      </c>
      <c r="F494" t="s">
        <v>294</v>
      </c>
      <c r="G494" t="s">
        <v>6730</v>
      </c>
      <c r="K494">
        <v>1</v>
      </c>
    </row>
    <row r="495" spans="1:11" x14ac:dyDescent="0.25">
      <c r="A495" t="s">
        <v>3169</v>
      </c>
      <c r="B495" t="s">
        <v>3173</v>
      </c>
      <c r="C495" t="s">
        <v>6289</v>
      </c>
      <c r="D495" t="s">
        <v>102</v>
      </c>
      <c r="E495" t="s">
        <v>103</v>
      </c>
      <c r="F495" t="s">
        <v>294</v>
      </c>
      <c r="G495" t="s">
        <v>6730</v>
      </c>
      <c r="K495">
        <v>1</v>
      </c>
    </row>
    <row r="496" spans="1:11" x14ac:dyDescent="0.25">
      <c r="A496" t="s">
        <v>2756</v>
      </c>
      <c r="B496" t="s">
        <v>2763</v>
      </c>
      <c r="C496" t="s">
        <v>6284</v>
      </c>
      <c r="D496" t="s">
        <v>102</v>
      </c>
      <c r="E496" t="s">
        <v>6731</v>
      </c>
      <c r="F496" t="s">
        <v>6732</v>
      </c>
      <c r="G496" t="s">
        <v>6733</v>
      </c>
      <c r="K496">
        <v>1</v>
      </c>
    </row>
    <row r="497" spans="1:11" x14ac:dyDescent="0.25">
      <c r="A497" t="s">
        <v>2756</v>
      </c>
      <c r="B497" t="s">
        <v>2763</v>
      </c>
      <c r="C497" t="s">
        <v>6289</v>
      </c>
      <c r="D497" t="s">
        <v>102</v>
      </c>
      <c r="E497" t="s">
        <v>6731</v>
      </c>
      <c r="F497" t="s">
        <v>6732</v>
      </c>
      <c r="G497" t="s">
        <v>6733</v>
      </c>
      <c r="K497">
        <v>1</v>
      </c>
    </row>
    <row r="498" spans="1:11" x14ac:dyDescent="0.25">
      <c r="A498" t="s">
        <v>1616</v>
      </c>
      <c r="B498" t="s">
        <v>1623</v>
      </c>
      <c r="C498" t="s">
        <v>6284</v>
      </c>
      <c r="D498" t="s">
        <v>102</v>
      </c>
      <c r="E498" t="s">
        <v>103</v>
      </c>
      <c r="F498" t="s">
        <v>6303</v>
      </c>
      <c r="G498" t="s">
        <v>6734</v>
      </c>
      <c r="K498">
        <v>1</v>
      </c>
    </row>
    <row r="499" spans="1:11" x14ac:dyDescent="0.25">
      <c r="A499" t="s">
        <v>1616</v>
      </c>
      <c r="B499" t="s">
        <v>1623</v>
      </c>
      <c r="C499" t="s">
        <v>6289</v>
      </c>
      <c r="D499" t="s">
        <v>102</v>
      </c>
      <c r="E499" t="s">
        <v>103</v>
      </c>
      <c r="F499" t="s">
        <v>6303</v>
      </c>
      <c r="G499" t="s">
        <v>6734</v>
      </c>
      <c r="K499">
        <v>1</v>
      </c>
    </row>
    <row r="500" spans="1:11" x14ac:dyDescent="0.25">
      <c r="A500" t="s">
        <v>3119</v>
      </c>
      <c r="B500" t="s">
        <v>3124</v>
      </c>
      <c r="C500" t="s">
        <v>6284</v>
      </c>
      <c r="D500" t="s">
        <v>102</v>
      </c>
      <c r="E500" t="s">
        <v>6346</v>
      </c>
      <c r="F500" t="s">
        <v>6431</v>
      </c>
      <c r="G500" t="s">
        <v>6735</v>
      </c>
      <c r="K500">
        <v>1</v>
      </c>
    </row>
    <row r="501" spans="1:11" x14ac:dyDescent="0.25">
      <c r="A501" t="s">
        <v>3119</v>
      </c>
      <c r="B501" t="s">
        <v>3124</v>
      </c>
      <c r="C501" t="s">
        <v>6289</v>
      </c>
      <c r="D501" t="s">
        <v>102</v>
      </c>
      <c r="E501" t="s">
        <v>6346</v>
      </c>
      <c r="F501" t="s">
        <v>6431</v>
      </c>
      <c r="G501" t="s">
        <v>6735</v>
      </c>
      <c r="K501">
        <v>1</v>
      </c>
    </row>
    <row r="502" spans="1:11" x14ac:dyDescent="0.25">
      <c r="A502" t="s">
        <v>600</v>
      </c>
      <c r="B502" t="s">
        <v>604</v>
      </c>
      <c r="C502" t="s">
        <v>6284</v>
      </c>
      <c r="D502" t="s">
        <v>102</v>
      </c>
      <c r="E502" t="s">
        <v>6313</v>
      </c>
      <c r="G502" t="s">
        <v>6736</v>
      </c>
      <c r="K502">
        <v>1</v>
      </c>
    </row>
    <row r="503" spans="1:11" x14ac:dyDescent="0.25">
      <c r="A503" t="s">
        <v>600</v>
      </c>
      <c r="B503" t="s">
        <v>604</v>
      </c>
      <c r="C503" t="s">
        <v>6289</v>
      </c>
      <c r="D503" t="s">
        <v>102</v>
      </c>
      <c r="E503" t="s">
        <v>6313</v>
      </c>
      <c r="G503" t="s">
        <v>6736</v>
      </c>
      <c r="K503">
        <v>1</v>
      </c>
    </row>
    <row r="504" spans="1:11" x14ac:dyDescent="0.25">
      <c r="A504" t="s">
        <v>2536</v>
      </c>
      <c r="B504" t="s">
        <v>2541</v>
      </c>
      <c r="C504" t="s">
        <v>6284</v>
      </c>
      <c r="D504" t="s">
        <v>102</v>
      </c>
      <c r="E504" t="s">
        <v>6319</v>
      </c>
      <c r="F504" t="s">
        <v>6481</v>
      </c>
      <c r="G504" t="s">
        <v>6737</v>
      </c>
      <c r="K504">
        <v>1</v>
      </c>
    </row>
    <row r="505" spans="1:11" x14ac:dyDescent="0.25">
      <c r="A505" t="s">
        <v>2536</v>
      </c>
      <c r="B505" t="s">
        <v>2541</v>
      </c>
      <c r="C505" t="s">
        <v>6289</v>
      </c>
      <c r="D505" t="s">
        <v>102</v>
      </c>
      <c r="E505" t="s">
        <v>6319</v>
      </c>
      <c r="F505" t="s">
        <v>6481</v>
      </c>
      <c r="G505" t="s">
        <v>6737</v>
      </c>
      <c r="K505">
        <v>1</v>
      </c>
    </row>
    <row r="506" spans="1:11" x14ac:dyDescent="0.25">
      <c r="A506" t="s">
        <v>454</v>
      </c>
      <c r="B506" t="s">
        <v>464</v>
      </c>
      <c r="C506" t="s">
        <v>6284</v>
      </c>
      <c r="D506" t="s">
        <v>102</v>
      </c>
      <c r="E506" t="s">
        <v>103</v>
      </c>
      <c r="F506" t="s">
        <v>6287</v>
      </c>
      <c r="G506" t="s">
        <v>6738</v>
      </c>
      <c r="K506">
        <v>1</v>
      </c>
    </row>
    <row r="507" spans="1:11" x14ac:dyDescent="0.25">
      <c r="A507" t="s">
        <v>454</v>
      </c>
      <c r="B507" t="s">
        <v>464</v>
      </c>
      <c r="C507" t="s">
        <v>6289</v>
      </c>
      <c r="D507" t="s">
        <v>102</v>
      </c>
      <c r="E507" t="s">
        <v>103</v>
      </c>
      <c r="F507" t="s">
        <v>6287</v>
      </c>
      <c r="G507" t="s">
        <v>6738</v>
      </c>
      <c r="K507">
        <v>1</v>
      </c>
    </row>
    <row r="508" spans="1:11" x14ac:dyDescent="0.25">
      <c r="A508" t="s">
        <v>1205</v>
      </c>
      <c r="B508" t="s">
        <v>1212</v>
      </c>
      <c r="C508" t="s">
        <v>6284</v>
      </c>
      <c r="D508" t="s">
        <v>1207</v>
      </c>
      <c r="E508" t="s">
        <v>6662</v>
      </c>
      <c r="G508" t="s">
        <v>6739</v>
      </c>
      <c r="K508">
        <v>1</v>
      </c>
    </row>
    <row r="509" spans="1:11" x14ac:dyDescent="0.25">
      <c r="A509" t="s">
        <v>1205</v>
      </c>
      <c r="B509" t="s">
        <v>1212</v>
      </c>
      <c r="C509" t="s">
        <v>6289</v>
      </c>
      <c r="D509" t="s">
        <v>102</v>
      </c>
      <c r="E509" t="s">
        <v>103</v>
      </c>
      <c r="F509" t="s">
        <v>6286</v>
      </c>
      <c r="G509" t="s">
        <v>6740</v>
      </c>
      <c r="K509">
        <v>1</v>
      </c>
    </row>
    <row r="510" spans="1:11" x14ac:dyDescent="0.25">
      <c r="A510" t="s">
        <v>1390</v>
      </c>
      <c r="B510" t="s">
        <v>1396</v>
      </c>
      <c r="C510" t="s">
        <v>6284</v>
      </c>
      <c r="D510" t="s">
        <v>102</v>
      </c>
      <c r="E510" t="s">
        <v>103</v>
      </c>
      <c r="F510" t="s">
        <v>294</v>
      </c>
      <c r="G510" t="s">
        <v>6741</v>
      </c>
      <c r="K510">
        <v>1</v>
      </c>
    </row>
    <row r="511" spans="1:11" x14ac:dyDescent="0.25">
      <c r="A511" t="s">
        <v>1390</v>
      </c>
      <c r="B511" t="s">
        <v>1396</v>
      </c>
      <c r="C511" t="s">
        <v>6289</v>
      </c>
      <c r="D511" t="s">
        <v>102</v>
      </c>
      <c r="E511" t="s">
        <v>103</v>
      </c>
      <c r="F511" t="s">
        <v>294</v>
      </c>
      <c r="G511" t="s">
        <v>6741</v>
      </c>
      <c r="K511">
        <v>1</v>
      </c>
    </row>
    <row r="512" spans="1:11" x14ac:dyDescent="0.25">
      <c r="A512" t="s">
        <v>2347</v>
      </c>
      <c r="B512" t="s">
        <v>2352</v>
      </c>
      <c r="C512" t="s">
        <v>6284</v>
      </c>
      <c r="D512" t="s">
        <v>102</v>
      </c>
      <c r="E512" t="s">
        <v>103</v>
      </c>
      <c r="F512" t="s">
        <v>294</v>
      </c>
      <c r="G512" t="s">
        <v>6742</v>
      </c>
      <c r="K512">
        <v>1</v>
      </c>
    </row>
    <row r="513" spans="1:11" x14ac:dyDescent="0.25">
      <c r="A513" t="s">
        <v>2347</v>
      </c>
      <c r="B513" t="s">
        <v>2352</v>
      </c>
      <c r="C513" t="s">
        <v>6289</v>
      </c>
      <c r="D513" t="s">
        <v>102</v>
      </c>
      <c r="E513" t="s">
        <v>103</v>
      </c>
      <c r="F513" t="s">
        <v>294</v>
      </c>
      <c r="G513" t="s">
        <v>6743</v>
      </c>
      <c r="K513">
        <v>1</v>
      </c>
    </row>
    <row r="514" spans="1:11" x14ac:dyDescent="0.25">
      <c r="A514" t="s">
        <v>3357</v>
      </c>
      <c r="B514" t="s">
        <v>3360</v>
      </c>
      <c r="C514" t="s">
        <v>6284</v>
      </c>
      <c r="D514" t="s">
        <v>102</v>
      </c>
      <c r="E514" t="s">
        <v>103</v>
      </c>
      <c r="F514" t="s">
        <v>6285</v>
      </c>
      <c r="G514" t="s">
        <v>6744</v>
      </c>
      <c r="K514">
        <v>1</v>
      </c>
    </row>
    <row r="515" spans="1:11" x14ac:dyDescent="0.25">
      <c r="A515" t="s">
        <v>3357</v>
      </c>
      <c r="B515" t="s">
        <v>3360</v>
      </c>
      <c r="C515" t="s">
        <v>6289</v>
      </c>
      <c r="D515" t="s">
        <v>102</v>
      </c>
      <c r="E515" t="s">
        <v>103</v>
      </c>
      <c r="F515" t="s">
        <v>6285</v>
      </c>
      <c r="G515" t="s">
        <v>6745</v>
      </c>
      <c r="K515">
        <v>1</v>
      </c>
    </row>
    <row r="516" spans="1:11" x14ac:dyDescent="0.25">
      <c r="A516" t="s">
        <v>2936</v>
      </c>
      <c r="B516" t="s">
        <v>2941</v>
      </c>
      <c r="C516" t="s">
        <v>6284</v>
      </c>
      <c r="D516" t="s">
        <v>102</v>
      </c>
      <c r="E516" t="s">
        <v>6483</v>
      </c>
      <c r="F516" t="s">
        <v>6746</v>
      </c>
      <c r="G516" t="s">
        <v>6747</v>
      </c>
      <c r="K516">
        <v>1</v>
      </c>
    </row>
    <row r="517" spans="1:11" x14ac:dyDescent="0.25">
      <c r="A517" t="s">
        <v>2936</v>
      </c>
      <c r="B517" t="s">
        <v>2941</v>
      </c>
      <c r="C517" t="s">
        <v>6289</v>
      </c>
      <c r="D517" t="s">
        <v>102</v>
      </c>
      <c r="E517" t="s">
        <v>6483</v>
      </c>
      <c r="F517" t="s">
        <v>6746</v>
      </c>
      <c r="G517" t="s">
        <v>6748</v>
      </c>
      <c r="K517">
        <v>1</v>
      </c>
    </row>
    <row r="518" spans="1:11" x14ac:dyDescent="0.25">
      <c r="A518" t="s">
        <v>3473</v>
      </c>
      <c r="B518" t="s">
        <v>3477</v>
      </c>
      <c r="C518" t="s">
        <v>6284</v>
      </c>
      <c r="D518" t="s">
        <v>102</v>
      </c>
      <c r="E518" t="s">
        <v>103</v>
      </c>
      <c r="F518" t="s">
        <v>6303</v>
      </c>
      <c r="G518" t="s">
        <v>6749</v>
      </c>
      <c r="K518">
        <v>1</v>
      </c>
    </row>
    <row r="519" spans="1:11" x14ac:dyDescent="0.25">
      <c r="A519" t="s">
        <v>3473</v>
      </c>
      <c r="B519" t="s">
        <v>3477</v>
      </c>
      <c r="C519" t="s">
        <v>6289</v>
      </c>
      <c r="D519" t="s">
        <v>102</v>
      </c>
      <c r="E519" t="s">
        <v>103</v>
      </c>
      <c r="F519" t="s">
        <v>6303</v>
      </c>
      <c r="G519" t="s">
        <v>6749</v>
      </c>
      <c r="K519">
        <v>1</v>
      </c>
    </row>
    <row r="520" spans="1:11" x14ac:dyDescent="0.25">
      <c r="A520" t="s">
        <v>1755</v>
      </c>
      <c r="B520" t="s">
        <v>1759</v>
      </c>
      <c r="C520" t="s">
        <v>6284</v>
      </c>
      <c r="D520" t="s">
        <v>102</v>
      </c>
      <c r="E520" t="s">
        <v>103</v>
      </c>
      <c r="F520" t="s">
        <v>294</v>
      </c>
      <c r="G520" t="s">
        <v>6750</v>
      </c>
      <c r="K520">
        <v>1</v>
      </c>
    </row>
    <row r="521" spans="1:11" x14ac:dyDescent="0.25">
      <c r="A521" t="s">
        <v>1755</v>
      </c>
      <c r="B521" t="s">
        <v>1759</v>
      </c>
      <c r="C521" t="s">
        <v>6289</v>
      </c>
      <c r="D521" t="s">
        <v>102</v>
      </c>
      <c r="E521" t="s">
        <v>103</v>
      </c>
      <c r="F521" t="s">
        <v>294</v>
      </c>
      <c r="G521" t="s">
        <v>6751</v>
      </c>
      <c r="K521">
        <v>1</v>
      </c>
    </row>
    <row r="522" spans="1:11" x14ac:dyDescent="0.25">
      <c r="A522" t="s">
        <v>2972</v>
      </c>
      <c r="B522" t="s">
        <v>2979</v>
      </c>
      <c r="C522" t="s">
        <v>6284</v>
      </c>
      <c r="D522" t="s">
        <v>1170</v>
      </c>
      <c r="E522" t="s">
        <v>6752</v>
      </c>
      <c r="F522" t="s">
        <v>6753</v>
      </c>
      <c r="G522" t="s">
        <v>6754</v>
      </c>
      <c r="K522">
        <v>1</v>
      </c>
    </row>
    <row r="523" spans="1:11" x14ac:dyDescent="0.25">
      <c r="A523" t="s">
        <v>2972</v>
      </c>
      <c r="B523" t="s">
        <v>2979</v>
      </c>
      <c r="C523" t="s">
        <v>6289</v>
      </c>
      <c r="D523" t="s">
        <v>1170</v>
      </c>
      <c r="E523" t="s">
        <v>6752</v>
      </c>
      <c r="F523" t="s">
        <v>6753</v>
      </c>
      <c r="G523" t="s">
        <v>6755</v>
      </c>
      <c r="K523">
        <v>1</v>
      </c>
    </row>
    <row r="524" spans="1:11" x14ac:dyDescent="0.25">
      <c r="A524" t="s">
        <v>2367</v>
      </c>
      <c r="B524" t="s">
        <v>2371</v>
      </c>
      <c r="C524" t="s">
        <v>6284</v>
      </c>
      <c r="D524" t="s">
        <v>102</v>
      </c>
      <c r="E524" t="s">
        <v>6296</v>
      </c>
      <c r="F524" t="s">
        <v>6389</v>
      </c>
      <c r="G524" t="s">
        <v>6756</v>
      </c>
      <c r="K524">
        <v>1</v>
      </c>
    </row>
    <row r="525" spans="1:11" x14ac:dyDescent="0.25">
      <c r="A525" t="s">
        <v>2367</v>
      </c>
      <c r="B525" t="s">
        <v>2371</v>
      </c>
      <c r="C525" t="s">
        <v>6289</v>
      </c>
      <c r="D525" t="s">
        <v>102</v>
      </c>
      <c r="E525" t="s">
        <v>103</v>
      </c>
      <c r="F525" t="s">
        <v>294</v>
      </c>
      <c r="G525" t="s">
        <v>6438</v>
      </c>
      <c r="K525">
        <v>1</v>
      </c>
    </row>
    <row r="526" spans="1:11" x14ac:dyDescent="0.25">
      <c r="A526" t="s">
        <v>2750</v>
      </c>
      <c r="B526" t="s">
        <v>2754</v>
      </c>
      <c r="C526" t="s">
        <v>6284</v>
      </c>
      <c r="D526" t="s">
        <v>102</v>
      </c>
      <c r="E526" t="s">
        <v>6483</v>
      </c>
      <c r="F526" t="s">
        <v>6757</v>
      </c>
      <c r="G526" t="s">
        <v>6758</v>
      </c>
      <c r="K526">
        <v>1</v>
      </c>
    </row>
    <row r="527" spans="1:11" x14ac:dyDescent="0.25">
      <c r="A527" t="s">
        <v>2750</v>
      </c>
      <c r="B527" t="s">
        <v>2754</v>
      </c>
      <c r="C527" t="s">
        <v>6289</v>
      </c>
      <c r="D527" t="s">
        <v>102</v>
      </c>
      <c r="E527" t="s">
        <v>6483</v>
      </c>
      <c r="F527" t="s">
        <v>6757</v>
      </c>
      <c r="G527" t="s">
        <v>6758</v>
      </c>
      <c r="K527">
        <v>1</v>
      </c>
    </row>
    <row r="528" spans="1:11" x14ac:dyDescent="0.25">
      <c r="A528" t="s">
        <v>3056</v>
      </c>
      <c r="B528" t="s">
        <v>3062</v>
      </c>
      <c r="C528" t="s">
        <v>6284</v>
      </c>
      <c r="D528" t="s">
        <v>102</v>
      </c>
      <c r="E528" t="s">
        <v>6296</v>
      </c>
      <c r="F528" t="s">
        <v>6309</v>
      </c>
      <c r="G528" t="s">
        <v>6759</v>
      </c>
      <c r="K528">
        <v>1</v>
      </c>
    </row>
    <row r="529" spans="1:11" x14ac:dyDescent="0.25">
      <c r="A529" t="s">
        <v>3056</v>
      </c>
      <c r="B529" t="s">
        <v>3062</v>
      </c>
      <c r="C529" t="s">
        <v>6289</v>
      </c>
      <c r="D529" t="s">
        <v>102</v>
      </c>
      <c r="E529" t="s">
        <v>6296</v>
      </c>
      <c r="F529" t="s">
        <v>6309</v>
      </c>
      <c r="G529" t="s">
        <v>6759</v>
      </c>
      <c r="K529">
        <v>1</v>
      </c>
    </row>
    <row r="530" spans="1:11" x14ac:dyDescent="0.25">
      <c r="A530" t="s">
        <v>3513</v>
      </c>
      <c r="B530" t="s">
        <v>3518</v>
      </c>
      <c r="C530" t="s">
        <v>6284</v>
      </c>
      <c r="D530" t="s">
        <v>102</v>
      </c>
      <c r="E530" t="s">
        <v>103</v>
      </c>
      <c r="F530" t="s">
        <v>6286</v>
      </c>
      <c r="G530" t="s">
        <v>6760</v>
      </c>
      <c r="K530">
        <v>1</v>
      </c>
    </row>
    <row r="531" spans="1:11" x14ac:dyDescent="0.25">
      <c r="A531" t="s">
        <v>3513</v>
      </c>
      <c r="B531" t="s">
        <v>3518</v>
      </c>
      <c r="C531" t="s">
        <v>6289</v>
      </c>
      <c r="D531" t="s">
        <v>102</v>
      </c>
      <c r="E531" t="s">
        <v>103</v>
      </c>
      <c r="F531" t="s">
        <v>6286</v>
      </c>
      <c r="G531" t="s">
        <v>6760</v>
      </c>
      <c r="K531">
        <v>1</v>
      </c>
    </row>
    <row r="532" spans="1:11" x14ac:dyDescent="0.25">
      <c r="A532" t="s">
        <v>688</v>
      </c>
      <c r="B532" t="s">
        <v>699</v>
      </c>
      <c r="C532" t="s">
        <v>6284</v>
      </c>
      <c r="D532" t="s">
        <v>102</v>
      </c>
      <c r="E532" t="s">
        <v>6731</v>
      </c>
      <c r="F532" t="s">
        <v>6761</v>
      </c>
      <c r="G532" t="s">
        <v>6762</v>
      </c>
      <c r="K532">
        <v>1</v>
      </c>
    </row>
    <row r="533" spans="1:11" x14ac:dyDescent="0.25">
      <c r="A533" t="s">
        <v>688</v>
      </c>
      <c r="B533" t="s">
        <v>699</v>
      </c>
      <c r="C533" t="s">
        <v>6289</v>
      </c>
      <c r="D533" t="s">
        <v>102</v>
      </c>
      <c r="E533" t="s">
        <v>6731</v>
      </c>
      <c r="F533" t="s">
        <v>6761</v>
      </c>
      <c r="G533" t="s">
        <v>6762</v>
      </c>
      <c r="K533">
        <v>1</v>
      </c>
    </row>
    <row r="534" spans="1:11" x14ac:dyDescent="0.25">
      <c r="A534" t="s">
        <v>2871</v>
      </c>
      <c r="B534" t="s">
        <v>2878</v>
      </c>
      <c r="C534" t="s">
        <v>6284</v>
      </c>
      <c r="D534" t="s">
        <v>102</v>
      </c>
      <c r="E534" t="s">
        <v>6305</v>
      </c>
      <c r="F534" t="s">
        <v>6763</v>
      </c>
      <c r="G534" t="s">
        <v>6764</v>
      </c>
      <c r="K534">
        <v>1</v>
      </c>
    </row>
    <row r="535" spans="1:11" x14ac:dyDescent="0.25">
      <c r="A535" t="s">
        <v>2871</v>
      </c>
      <c r="B535" t="s">
        <v>2878</v>
      </c>
      <c r="C535" t="s">
        <v>6289</v>
      </c>
      <c r="D535" t="s">
        <v>6765</v>
      </c>
      <c r="E535" t="s">
        <v>6766</v>
      </c>
      <c r="F535" t="s">
        <v>6767</v>
      </c>
      <c r="G535" t="s">
        <v>6768</v>
      </c>
      <c r="K535">
        <v>1</v>
      </c>
    </row>
    <row r="536" spans="1:11" x14ac:dyDescent="0.25">
      <c r="A536" t="s">
        <v>3482</v>
      </c>
      <c r="B536" t="s">
        <v>3485</v>
      </c>
      <c r="C536" t="s">
        <v>6284</v>
      </c>
      <c r="D536" t="s">
        <v>102</v>
      </c>
      <c r="E536" t="s">
        <v>6319</v>
      </c>
      <c r="F536" t="s">
        <v>6553</v>
      </c>
      <c r="G536" t="s">
        <v>6769</v>
      </c>
      <c r="K536">
        <v>1</v>
      </c>
    </row>
    <row r="537" spans="1:11" x14ac:dyDescent="0.25">
      <c r="A537" t="s">
        <v>3482</v>
      </c>
      <c r="B537" t="s">
        <v>3485</v>
      </c>
      <c r="C537" t="s">
        <v>6289</v>
      </c>
      <c r="D537" t="s">
        <v>102</v>
      </c>
      <c r="E537" t="s">
        <v>6315</v>
      </c>
      <c r="F537" t="s">
        <v>6286</v>
      </c>
      <c r="G537" t="s">
        <v>6770</v>
      </c>
      <c r="K537">
        <v>1</v>
      </c>
    </row>
    <row r="538" spans="1:11" x14ac:dyDescent="0.25">
      <c r="A538" t="s">
        <v>373</v>
      </c>
      <c r="B538" t="s">
        <v>381</v>
      </c>
      <c r="C538" t="s">
        <v>6284</v>
      </c>
      <c r="D538" t="s">
        <v>102</v>
      </c>
      <c r="E538" t="s">
        <v>103</v>
      </c>
      <c r="F538" t="s">
        <v>294</v>
      </c>
      <c r="G538" t="s">
        <v>6771</v>
      </c>
      <c r="K538">
        <v>1</v>
      </c>
    </row>
    <row r="539" spans="1:11" x14ac:dyDescent="0.25">
      <c r="A539" t="s">
        <v>373</v>
      </c>
      <c r="B539" t="s">
        <v>381</v>
      </c>
      <c r="C539" t="s">
        <v>6289</v>
      </c>
      <c r="D539" t="s">
        <v>102</v>
      </c>
      <c r="E539" t="s">
        <v>103</v>
      </c>
      <c r="F539" t="s">
        <v>294</v>
      </c>
      <c r="G539" t="s">
        <v>6771</v>
      </c>
      <c r="K539">
        <v>1</v>
      </c>
    </row>
    <row r="540" spans="1:11" x14ac:dyDescent="0.25">
      <c r="A540" t="s">
        <v>1999</v>
      </c>
      <c r="B540" t="s">
        <v>2004</v>
      </c>
      <c r="C540" t="s">
        <v>6284</v>
      </c>
      <c r="D540" t="s">
        <v>102</v>
      </c>
      <c r="E540" t="s">
        <v>103</v>
      </c>
      <c r="F540" t="s">
        <v>294</v>
      </c>
      <c r="G540" t="s">
        <v>6772</v>
      </c>
      <c r="K540">
        <v>1</v>
      </c>
    </row>
    <row r="541" spans="1:11" x14ac:dyDescent="0.25">
      <c r="A541" t="s">
        <v>1999</v>
      </c>
      <c r="B541" t="s">
        <v>2004</v>
      </c>
      <c r="C541" t="s">
        <v>6289</v>
      </c>
      <c r="D541" t="s">
        <v>102</v>
      </c>
      <c r="E541" t="s">
        <v>103</v>
      </c>
      <c r="F541" t="s">
        <v>294</v>
      </c>
      <c r="G541" t="s">
        <v>6772</v>
      </c>
      <c r="K541">
        <v>1</v>
      </c>
    </row>
    <row r="542" spans="1:11" x14ac:dyDescent="0.25">
      <c r="A542" t="s">
        <v>2040</v>
      </c>
      <c r="B542" t="s">
        <v>2044</v>
      </c>
      <c r="C542" t="s">
        <v>6284</v>
      </c>
      <c r="D542" t="s">
        <v>102</v>
      </c>
      <c r="E542" t="s">
        <v>103</v>
      </c>
      <c r="F542" t="s">
        <v>294</v>
      </c>
      <c r="G542" t="s">
        <v>6773</v>
      </c>
      <c r="K542">
        <v>1</v>
      </c>
    </row>
    <row r="543" spans="1:11" x14ac:dyDescent="0.25">
      <c r="A543" t="s">
        <v>2040</v>
      </c>
      <c r="B543" t="s">
        <v>2044</v>
      </c>
      <c r="C543" t="s">
        <v>6289</v>
      </c>
      <c r="D543" t="s">
        <v>102</v>
      </c>
      <c r="E543" t="s">
        <v>103</v>
      </c>
      <c r="F543" t="s">
        <v>294</v>
      </c>
      <c r="G543" t="s">
        <v>6774</v>
      </c>
      <c r="K543">
        <v>1</v>
      </c>
    </row>
    <row r="544" spans="1:11" x14ac:dyDescent="0.25">
      <c r="A544" t="s">
        <v>1972</v>
      </c>
      <c r="B544" t="s">
        <v>1976</v>
      </c>
      <c r="C544" t="s">
        <v>6284</v>
      </c>
      <c r="D544" t="s">
        <v>102</v>
      </c>
      <c r="E544" t="s">
        <v>103</v>
      </c>
      <c r="F544" t="s">
        <v>294</v>
      </c>
      <c r="G544" t="s">
        <v>6775</v>
      </c>
      <c r="K544">
        <v>1</v>
      </c>
    </row>
    <row r="545" spans="1:11" x14ac:dyDescent="0.25">
      <c r="A545" t="s">
        <v>1972</v>
      </c>
      <c r="B545" t="s">
        <v>1976</v>
      </c>
      <c r="C545" t="s">
        <v>6289</v>
      </c>
      <c r="D545" t="s">
        <v>102</v>
      </c>
      <c r="E545" t="s">
        <v>103</v>
      </c>
      <c r="F545" t="s">
        <v>294</v>
      </c>
      <c r="G545" t="s">
        <v>6775</v>
      </c>
      <c r="K545">
        <v>1</v>
      </c>
    </row>
    <row r="546" spans="1:11" x14ac:dyDescent="0.25">
      <c r="A546" t="s">
        <v>2050</v>
      </c>
      <c r="B546" t="s">
        <v>2055</v>
      </c>
      <c r="C546" t="s">
        <v>6284</v>
      </c>
      <c r="D546" t="s">
        <v>102</v>
      </c>
      <c r="E546" t="s">
        <v>6341</v>
      </c>
      <c r="F546" t="s">
        <v>6426</v>
      </c>
      <c r="G546" t="s">
        <v>6776</v>
      </c>
      <c r="K546">
        <v>1</v>
      </c>
    </row>
    <row r="547" spans="1:11" x14ac:dyDescent="0.25">
      <c r="A547" t="s">
        <v>2050</v>
      </c>
      <c r="B547" t="s">
        <v>2055</v>
      </c>
      <c r="C547" t="s">
        <v>6289</v>
      </c>
      <c r="D547" t="s">
        <v>102</v>
      </c>
      <c r="E547" t="s">
        <v>6341</v>
      </c>
      <c r="F547" t="s">
        <v>6426</v>
      </c>
      <c r="G547" t="s">
        <v>6776</v>
      </c>
      <c r="K547">
        <v>1</v>
      </c>
    </row>
    <row r="548" spans="1:11" x14ac:dyDescent="0.25">
      <c r="A548" t="s">
        <v>1521</v>
      </c>
      <c r="B548" t="s">
        <v>3270</v>
      </c>
      <c r="C548" t="s">
        <v>6284</v>
      </c>
      <c r="D548" t="s">
        <v>102</v>
      </c>
      <c r="E548" t="s">
        <v>103</v>
      </c>
      <c r="F548" t="s">
        <v>6303</v>
      </c>
      <c r="G548" t="s">
        <v>6777</v>
      </c>
      <c r="K548">
        <v>1</v>
      </c>
    </row>
    <row r="549" spans="1:11" x14ac:dyDescent="0.25">
      <c r="A549" t="s">
        <v>1521</v>
      </c>
      <c r="B549" t="s">
        <v>3270</v>
      </c>
      <c r="C549" t="s">
        <v>6289</v>
      </c>
      <c r="D549" t="s">
        <v>102</v>
      </c>
      <c r="E549" t="s">
        <v>103</v>
      </c>
      <c r="F549" t="s">
        <v>6303</v>
      </c>
      <c r="G549" t="s">
        <v>6777</v>
      </c>
      <c r="K549">
        <v>1</v>
      </c>
    </row>
    <row r="550" spans="1:11" x14ac:dyDescent="0.25">
      <c r="A550" t="s">
        <v>548</v>
      </c>
      <c r="B550" t="s">
        <v>557</v>
      </c>
      <c r="C550" t="s">
        <v>6284</v>
      </c>
      <c r="D550" t="s">
        <v>102</v>
      </c>
      <c r="E550" t="s">
        <v>6341</v>
      </c>
      <c r="F550" t="s">
        <v>6519</v>
      </c>
      <c r="G550" t="s">
        <v>6778</v>
      </c>
      <c r="K550">
        <v>1</v>
      </c>
    </row>
    <row r="551" spans="1:11" x14ac:dyDescent="0.25">
      <c r="A551" t="s">
        <v>548</v>
      </c>
      <c r="B551" t="s">
        <v>557</v>
      </c>
      <c r="C551" t="s">
        <v>6289</v>
      </c>
      <c r="D551" t="s">
        <v>102</v>
      </c>
      <c r="E551" t="s">
        <v>6341</v>
      </c>
      <c r="F551" t="s">
        <v>6519</v>
      </c>
      <c r="G551" t="s">
        <v>6778</v>
      </c>
      <c r="K551">
        <v>1</v>
      </c>
    </row>
    <row r="552" spans="1:11" x14ac:dyDescent="0.25">
      <c r="A552" t="s">
        <v>2447</v>
      </c>
      <c r="B552" t="s">
        <v>2452</v>
      </c>
      <c r="C552" t="s">
        <v>6284</v>
      </c>
      <c r="D552" t="s">
        <v>102</v>
      </c>
      <c r="E552" t="s">
        <v>6319</v>
      </c>
      <c r="F552" t="s">
        <v>6605</v>
      </c>
      <c r="G552" t="s">
        <v>6779</v>
      </c>
      <c r="K552">
        <v>1</v>
      </c>
    </row>
    <row r="553" spans="1:11" x14ac:dyDescent="0.25">
      <c r="A553" t="s">
        <v>2447</v>
      </c>
      <c r="B553" t="s">
        <v>2452</v>
      </c>
      <c r="C553" t="s">
        <v>6289</v>
      </c>
      <c r="D553" t="s">
        <v>102</v>
      </c>
      <c r="E553" t="s">
        <v>6319</v>
      </c>
      <c r="F553" t="s">
        <v>6605</v>
      </c>
      <c r="G553" t="s">
        <v>6779</v>
      </c>
      <c r="K553">
        <v>1</v>
      </c>
    </row>
    <row r="554" spans="1:11" x14ac:dyDescent="0.25">
      <c r="A554" t="s">
        <v>2953</v>
      </c>
      <c r="B554" t="s">
        <v>2957</v>
      </c>
      <c r="C554" t="s">
        <v>6284</v>
      </c>
      <c r="D554" t="s">
        <v>1765</v>
      </c>
      <c r="E554" t="s">
        <v>6780</v>
      </c>
      <c r="F554" t="s">
        <v>6781</v>
      </c>
      <c r="G554" t="s">
        <v>6782</v>
      </c>
      <c r="K554">
        <v>1</v>
      </c>
    </row>
    <row r="555" spans="1:11" x14ac:dyDescent="0.25">
      <c r="A555" t="s">
        <v>2953</v>
      </c>
      <c r="B555" t="s">
        <v>2957</v>
      </c>
      <c r="C555" t="s">
        <v>6289</v>
      </c>
      <c r="D555" t="s">
        <v>102</v>
      </c>
      <c r="E555" t="s">
        <v>103</v>
      </c>
      <c r="F555" t="s">
        <v>6285</v>
      </c>
      <c r="G555" t="s">
        <v>6783</v>
      </c>
      <c r="K555">
        <v>1</v>
      </c>
    </row>
    <row r="556" spans="1:11" x14ac:dyDescent="0.25">
      <c r="A556" t="s">
        <v>1259</v>
      </c>
      <c r="B556" t="s">
        <v>1263</v>
      </c>
      <c r="C556" t="s">
        <v>6284</v>
      </c>
      <c r="D556" t="s">
        <v>102</v>
      </c>
      <c r="E556" t="s">
        <v>103</v>
      </c>
      <c r="F556" t="s">
        <v>6303</v>
      </c>
      <c r="G556" t="s">
        <v>6784</v>
      </c>
      <c r="K556">
        <v>1</v>
      </c>
    </row>
    <row r="557" spans="1:11" x14ac:dyDescent="0.25">
      <c r="A557" t="s">
        <v>1259</v>
      </c>
      <c r="B557" t="s">
        <v>1263</v>
      </c>
      <c r="C557" t="s">
        <v>6289</v>
      </c>
      <c r="D557" t="s">
        <v>102</v>
      </c>
      <c r="E557" t="s">
        <v>103</v>
      </c>
      <c r="F557" t="s">
        <v>6303</v>
      </c>
      <c r="G557" t="s">
        <v>6784</v>
      </c>
      <c r="K557">
        <v>1</v>
      </c>
    </row>
    <row r="558" spans="1:11" x14ac:dyDescent="0.25">
      <c r="A558" t="s">
        <v>3209</v>
      </c>
      <c r="B558" t="s">
        <v>3213</v>
      </c>
      <c r="C558" t="s">
        <v>6284</v>
      </c>
      <c r="D558" t="s">
        <v>102</v>
      </c>
      <c r="E558" t="s">
        <v>103</v>
      </c>
      <c r="F558" t="s">
        <v>294</v>
      </c>
      <c r="G558" t="s">
        <v>6785</v>
      </c>
      <c r="K558">
        <v>1</v>
      </c>
    </row>
    <row r="559" spans="1:11" x14ac:dyDescent="0.25">
      <c r="A559" t="s">
        <v>3209</v>
      </c>
      <c r="B559" t="s">
        <v>3213</v>
      </c>
      <c r="C559" t="s">
        <v>6289</v>
      </c>
      <c r="D559" t="s">
        <v>102</v>
      </c>
      <c r="E559" t="s">
        <v>6315</v>
      </c>
      <c r="F559" t="s">
        <v>294</v>
      </c>
      <c r="G559" t="s">
        <v>6786</v>
      </c>
      <c r="K559">
        <v>1</v>
      </c>
    </row>
    <row r="560" spans="1:11" x14ac:dyDescent="0.25">
      <c r="A560" t="s">
        <v>3256</v>
      </c>
      <c r="B560" t="s">
        <v>3262</v>
      </c>
      <c r="C560" t="s">
        <v>6284</v>
      </c>
      <c r="D560" t="s">
        <v>102</v>
      </c>
      <c r="E560" t="s">
        <v>6305</v>
      </c>
      <c r="F560" t="s">
        <v>6557</v>
      </c>
      <c r="G560" t="s">
        <v>6787</v>
      </c>
      <c r="K560">
        <v>1</v>
      </c>
    </row>
    <row r="561" spans="1:11" x14ac:dyDescent="0.25">
      <c r="A561" t="s">
        <v>3256</v>
      </c>
      <c r="B561" t="s">
        <v>3262</v>
      </c>
      <c r="C561" t="s">
        <v>6289</v>
      </c>
      <c r="D561" t="s">
        <v>102</v>
      </c>
      <c r="E561" t="s">
        <v>6305</v>
      </c>
      <c r="F561" t="s">
        <v>6557</v>
      </c>
      <c r="G561" t="s">
        <v>6787</v>
      </c>
      <c r="K561">
        <v>1</v>
      </c>
    </row>
    <row r="562" spans="1:11" x14ac:dyDescent="0.25">
      <c r="A562" t="s">
        <v>1545</v>
      </c>
      <c r="B562" t="s">
        <v>1551</v>
      </c>
      <c r="C562" t="s">
        <v>6284</v>
      </c>
      <c r="D562" t="s">
        <v>102</v>
      </c>
      <c r="E562" t="s">
        <v>6351</v>
      </c>
      <c r="F562" t="s">
        <v>6713</v>
      </c>
      <c r="G562" t="s">
        <v>6788</v>
      </c>
      <c r="K562">
        <v>1</v>
      </c>
    </row>
    <row r="563" spans="1:11" x14ac:dyDescent="0.25">
      <c r="A563" t="s">
        <v>1545</v>
      </c>
      <c r="B563" t="s">
        <v>1551</v>
      </c>
      <c r="C563" t="s">
        <v>6289</v>
      </c>
      <c r="D563" t="s">
        <v>102</v>
      </c>
      <c r="E563" t="s">
        <v>103</v>
      </c>
      <c r="F563" t="s">
        <v>6285</v>
      </c>
      <c r="G563" t="s">
        <v>6789</v>
      </c>
      <c r="K563">
        <v>1</v>
      </c>
    </row>
    <row r="564" spans="1:11" x14ac:dyDescent="0.25">
      <c r="A564" t="s">
        <v>2080</v>
      </c>
      <c r="B564" t="s">
        <v>2085</v>
      </c>
      <c r="C564" t="s">
        <v>6284</v>
      </c>
      <c r="D564" t="s">
        <v>102</v>
      </c>
      <c r="E564" t="s">
        <v>103</v>
      </c>
      <c r="F564" t="s">
        <v>294</v>
      </c>
      <c r="G564" t="s">
        <v>6790</v>
      </c>
      <c r="K564">
        <v>1</v>
      </c>
    </row>
    <row r="565" spans="1:11" x14ac:dyDescent="0.25">
      <c r="A565" t="s">
        <v>2080</v>
      </c>
      <c r="B565" t="s">
        <v>2085</v>
      </c>
      <c r="C565" t="s">
        <v>6289</v>
      </c>
      <c r="D565" t="s">
        <v>102</v>
      </c>
      <c r="E565" t="s">
        <v>103</v>
      </c>
      <c r="F565" t="s">
        <v>294</v>
      </c>
      <c r="G565" t="s">
        <v>6790</v>
      </c>
      <c r="K565">
        <v>1</v>
      </c>
    </row>
    <row r="566" spans="1:11" x14ac:dyDescent="0.25">
      <c r="A566" t="s">
        <v>3128</v>
      </c>
      <c r="B566" t="s">
        <v>3133</v>
      </c>
      <c r="C566" t="s">
        <v>6284</v>
      </c>
      <c r="D566" t="s">
        <v>102</v>
      </c>
      <c r="E566" t="s">
        <v>103</v>
      </c>
      <c r="F566" t="s">
        <v>294</v>
      </c>
      <c r="G566" t="s">
        <v>6791</v>
      </c>
      <c r="K566">
        <v>1</v>
      </c>
    </row>
    <row r="567" spans="1:11" x14ac:dyDescent="0.25">
      <c r="A567" t="s">
        <v>3128</v>
      </c>
      <c r="B567" t="s">
        <v>3133</v>
      </c>
      <c r="C567" t="s">
        <v>6289</v>
      </c>
      <c r="D567" t="s">
        <v>102</v>
      </c>
      <c r="E567" t="s">
        <v>103</v>
      </c>
      <c r="F567" t="s">
        <v>294</v>
      </c>
      <c r="G567" t="s">
        <v>6792</v>
      </c>
      <c r="K567">
        <v>1</v>
      </c>
    </row>
    <row r="568" spans="1:11" x14ac:dyDescent="0.25">
      <c r="A568" t="s">
        <v>2907</v>
      </c>
      <c r="B568" t="s">
        <v>2910</v>
      </c>
      <c r="C568" t="s">
        <v>6284</v>
      </c>
      <c r="D568" t="s">
        <v>102</v>
      </c>
      <c r="E568" t="s">
        <v>6346</v>
      </c>
      <c r="F568" t="s">
        <v>6645</v>
      </c>
      <c r="G568" t="s">
        <v>6793</v>
      </c>
      <c r="K568">
        <v>1</v>
      </c>
    </row>
    <row r="569" spans="1:11" x14ac:dyDescent="0.25">
      <c r="A569" t="s">
        <v>2907</v>
      </c>
      <c r="B569" t="s">
        <v>2910</v>
      </c>
      <c r="C569" t="s">
        <v>6289</v>
      </c>
      <c r="D569" t="s">
        <v>102</v>
      </c>
      <c r="E569" t="s">
        <v>103</v>
      </c>
      <c r="F569" t="s">
        <v>6285</v>
      </c>
      <c r="G569" t="s">
        <v>6794</v>
      </c>
      <c r="K569">
        <v>1</v>
      </c>
    </row>
    <row r="570" spans="1:11" x14ac:dyDescent="0.25">
      <c r="A570" t="s">
        <v>3152</v>
      </c>
      <c r="B570" t="s">
        <v>3157</v>
      </c>
      <c r="C570" t="s">
        <v>6284</v>
      </c>
      <c r="D570" t="s">
        <v>102</v>
      </c>
      <c r="E570" t="s">
        <v>103</v>
      </c>
      <c r="F570" t="s">
        <v>294</v>
      </c>
      <c r="G570" t="s">
        <v>6795</v>
      </c>
      <c r="K570">
        <v>1</v>
      </c>
    </row>
    <row r="571" spans="1:11" x14ac:dyDescent="0.25">
      <c r="A571" t="s">
        <v>3152</v>
      </c>
      <c r="B571" t="s">
        <v>3157</v>
      </c>
      <c r="C571" t="s">
        <v>6289</v>
      </c>
      <c r="D571" t="s">
        <v>102</v>
      </c>
      <c r="E571" t="s">
        <v>103</v>
      </c>
      <c r="F571" t="s">
        <v>294</v>
      </c>
      <c r="G571" t="s">
        <v>6795</v>
      </c>
      <c r="K571">
        <v>1</v>
      </c>
    </row>
    <row r="572" spans="1:11" x14ac:dyDescent="0.25">
      <c r="A572" t="s">
        <v>705</v>
      </c>
      <c r="B572" t="s">
        <v>712</v>
      </c>
      <c r="C572" t="s">
        <v>6284</v>
      </c>
      <c r="D572" t="s">
        <v>102</v>
      </c>
      <c r="E572" t="s">
        <v>103</v>
      </c>
      <c r="F572" t="s">
        <v>294</v>
      </c>
      <c r="G572" t="s">
        <v>6796</v>
      </c>
      <c r="K572">
        <v>1</v>
      </c>
    </row>
    <row r="573" spans="1:11" x14ac:dyDescent="0.25">
      <c r="A573" t="s">
        <v>705</v>
      </c>
      <c r="B573" t="s">
        <v>712</v>
      </c>
      <c r="C573" t="s">
        <v>6289</v>
      </c>
      <c r="D573" t="s">
        <v>102</v>
      </c>
      <c r="E573" t="s">
        <v>103</v>
      </c>
      <c r="F573" t="s">
        <v>294</v>
      </c>
      <c r="G573" t="s">
        <v>6797</v>
      </c>
      <c r="K573">
        <v>1</v>
      </c>
    </row>
    <row r="574" spans="1:11" x14ac:dyDescent="0.25">
      <c r="A574" t="s">
        <v>432</v>
      </c>
      <c r="B574" t="s">
        <v>444</v>
      </c>
      <c r="C574" t="s">
        <v>6284</v>
      </c>
      <c r="D574" t="s">
        <v>102</v>
      </c>
      <c r="E574" t="s">
        <v>103</v>
      </c>
      <c r="F574" t="s">
        <v>6368</v>
      </c>
      <c r="G574" t="s">
        <v>6798</v>
      </c>
      <c r="K574">
        <v>1</v>
      </c>
    </row>
    <row r="575" spans="1:11" x14ac:dyDescent="0.25">
      <c r="A575" t="s">
        <v>432</v>
      </c>
      <c r="B575" t="s">
        <v>444</v>
      </c>
      <c r="C575" t="s">
        <v>6289</v>
      </c>
      <c r="D575" t="s">
        <v>102</v>
      </c>
      <c r="E575" t="s">
        <v>103</v>
      </c>
      <c r="F575" t="s">
        <v>6368</v>
      </c>
      <c r="G575" t="s">
        <v>6798</v>
      </c>
      <c r="K575">
        <v>1</v>
      </c>
    </row>
    <row r="576" spans="1:11" x14ac:dyDescent="0.25">
      <c r="A576" t="s">
        <v>1511</v>
      </c>
      <c r="B576" t="s">
        <v>1518</v>
      </c>
      <c r="C576" t="s">
        <v>6284</v>
      </c>
      <c r="D576" t="s">
        <v>102</v>
      </c>
      <c r="E576" t="s">
        <v>103</v>
      </c>
      <c r="F576" t="s">
        <v>294</v>
      </c>
      <c r="G576" t="s">
        <v>6799</v>
      </c>
      <c r="K576">
        <v>1</v>
      </c>
    </row>
    <row r="577" spans="1:11" x14ac:dyDescent="0.25">
      <c r="A577" t="s">
        <v>1511</v>
      </c>
      <c r="B577" t="s">
        <v>1518</v>
      </c>
      <c r="C577" t="s">
        <v>6289</v>
      </c>
      <c r="D577" t="s">
        <v>102</v>
      </c>
      <c r="E577" t="s">
        <v>103</v>
      </c>
      <c r="F577" t="s">
        <v>294</v>
      </c>
      <c r="G577" t="s">
        <v>6799</v>
      </c>
      <c r="K577">
        <v>1</v>
      </c>
    </row>
    <row r="578" spans="1:11" x14ac:dyDescent="0.25">
      <c r="A578" t="s">
        <v>1726</v>
      </c>
      <c r="B578" t="s">
        <v>1732</v>
      </c>
      <c r="C578" t="s">
        <v>6284</v>
      </c>
      <c r="D578" t="s">
        <v>102</v>
      </c>
      <c r="E578" t="s">
        <v>6296</v>
      </c>
      <c r="F578" t="s">
        <v>6420</v>
      </c>
      <c r="G578" t="s">
        <v>6800</v>
      </c>
      <c r="K578">
        <v>1</v>
      </c>
    </row>
    <row r="579" spans="1:11" x14ac:dyDescent="0.25">
      <c r="A579" t="s">
        <v>1726</v>
      </c>
      <c r="B579" t="s">
        <v>1732</v>
      </c>
      <c r="C579" t="s">
        <v>6289</v>
      </c>
      <c r="D579" t="s">
        <v>102</v>
      </c>
      <c r="E579" t="s">
        <v>103</v>
      </c>
      <c r="F579" t="s">
        <v>6285</v>
      </c>
      <c r="G579" t="s">
        <v>6801</v>
      </c>
      <c r="K579">
        <v>1</v>
      </c>
    </row>
    <row r="580" spans="1:11" x14ac:dyDescent="0.25">
      <c r="A580" t="s">
        <v>2945</v>
      </c>
      <c r="B580" t="s">
        <v>2950</v>
      </c>
      <c r="C580" t="s">
        <v>6284</v>
      </c>
      <c r="D580" t="s">
        <v>102</v>
      </c>
      <c r="E580" t="s">
        <v>6346</v>
      </c>
      <c r="F580" t="s">
        <v>6347</v>
      </c>
      <c r="G580" t="s">
        <v>6802</v>
      </c>
      <c r="K580">
        <v>1</v>
      </c>
    </row>
    <row r="581" spans="1:11" x14ac:dyDescent="0.25">
      <c r="A581" t="s">
        <v>2945</v>
      </c>
      <c r="B581" t="s">
        <v>2950</v>
      </c>
      <c r="C581" t="s">
        <v>6289</v>
      </c>
      <c r="D581" t="s">
        <v>102</v>
      </c>
      <c r="E581" t="s">
        <v>6346</v>
      </c>
      <c r="F581" t="s">
        <v>6347</v>
      </c>
      <c r="G581" t="s">
        <v>6802</v>
      </c>
      <c r="K581">
        <v>1</v>
      </c>
    </row>
    <row r="582" spans="1:11" x14ac:dyDescent="0.25">
      <c r="A582" t="s">
        <v>3491</v>
      </c>
      <c r="B582" t="s">
        <v>3496</v>
      </c>
      <c r="C582" t="s">
        <v>6284</v>
      </c>
      <c r="D582" t="s">
        <v>102</v>
      </c>
      <c r="E582" t="s">
        <v>103</v>
      </c>
      <c r="F582" t="s">
        <v>6285</v>
      </c>
      <c r="G582" t="s">
        <v>6576</v>
      </c>
      <c r="K582">
        <v>1</v>
      </c>
    </row>
    <row r="583" spans="1:11" x14ac:dyDescent="0.25">
      <c r="A583" t="s">
        <v>3491</v>
      </c>
      <c r="B583" t="s">
        <v>3496</v>
      </c>
      <c r="C583" t="s">
        <v>6289</v>
      </c>
      <c r="D583" t="s">
        <v>102</v>
      </c>
      <c r="E583" t="s">
        <v>103</v>
      </c>
      <c r="F583" t="s">
        <v>6285</v>
      </c>
      <c r="G583" t="s">
        <v>6803</v>
      </c>
      <c r="K583">
        <v>1</v>
      </c>
    </row>
    <row r="584" spans="1:11" x14ac:dyDescent="0.25">
      <c r="A584" t="s">
        <v>738</v>
      </c>
      <c r="B584" t="s">
        <v>750</v>
      </c>
      <c r="C584" t="s">
        <v>6284</v>
      </c>
      <c r="D584" t="s">
        <v>743</v>
      </c>
      <c r="E584" t="s">
        <v>6804</v>
      </c>
      <c r="F584" t="s">
        <v>6805</v>
      </c>
      <c r="G584" t="s">
        <v>6806</v>
      </c>
      <c r="K584">
        <v>1</v>
      </c>
    </row>
    <row r="585" spans="1:11" x14ac:dyDescent="0.25">
      <c r="A585" t="s">
        <v>738</v>
      </c>
      <c r="B585" t="s">
        <v>750</v>
      </c>
      <c r="C585" t="s">
        <v>6289</v>
      </c>
      <c r="D585" t="s">
        <v>102</v>
      </c>
      <c r="E585" t="s">
        <v>103</v>
      </c>
      <c r="F585" t="s">
        <v>6303</v>
      </c>
      <c r="G585" t="s">
        <v>6807</v>
      </c>
      <c r="K585">
        <v>1</v>
      </c>
    </row>
    <row r="586" spans="1:11" x14ac:dyDescent="0.25">
      <c r="A586" t="s">
        <v>2399</v>
      </c>
      <c r="B586" t="s">
        <v>2404</v>
      </c>
      <c r="C586" t="s">
        <v>6284</v>
      </c>
      <c r="D586" t="s">
        <v>102</v>
      </c>
      <c r="E586" t="s">
        <v>6292</v>
      </c>
      <c r="F586" t="s">
        <v>6808</v>
      </c>
      <c r="G586" t="s">
        <v>6809</v>
      </c>
      <c r="K586">
        <v>1</v>
      </c>
    </row>
    <row r="587" spans="1:11" x14ac:dyDescent="0.25">
      <c r="A587" t="s">
        <v>2399</v>
      </c>
      <c r="B587" t="s">
        <v>2404</v>
      </c>
      <c r="C587" t="s">
        <v>6289</v>
      </c>
      <c r="D587" t="s">
        <v>102</v>
      </c>
      <c r="E587" t="s">
        <v>6292</v>
      </c>
      <c r="F587" t="s">
        <v>6808</v>
      </c>
      <c r="G587" t="s">
        <v>6809</v>
      </c>
      <c r="K587">
        <v>1</v>
      </c>
    </row>
    <row r="588" spans="1:11" x14ac:dyDescent="0.25">
      <c r="A588" t="s">
        <v>1456</v>
      </c>
      <c r="B588" t="s">
        <v>1463</v>
      </c>
      <c r="C588" t="s">
        <v>6284</v>
      </c>
      <c r="D588" t="s">
        <v>102</v>
      </c>
      <c r="E588" t="s">
        <v>6585</v>
      </c>
      <c r="F588" t="s">
        <v>6586</v>
      </c>
      <c r="G588" t="s">
        <v>6810</v>
      </c>
      <c r="K588">
        <v>1</v>
      </c>
    </row>
    <row r="589" spans="1:11" x14ac:dyDescent="0.25">
      <c r="A589" t="s">
        <v>1456</v>
      </c>
      <c r="B589" t="s">
        <v>1463</v>
      </c>
      <c r="C589" t="s">
        <v>6289</v>
      </c>
      <c r="D589" t="s">
        <v>102</v>
      </c>
      <c r="E589" t="s">
        <v>103</v>
      </c>
      <c r="F589" t="s">
        <v>6285</v>
      </c>
      <c r="G589" t="s">
        <v>6811</v>
      </c>
      <c r="K589">
        <v>1</v>
      </c>
    </row>
    <row r="590" spans="1:11" x14ac:dyDescent="0.25">
      <c r="A590" t="s">
        <v>2669</v>
      </c>
      <c r="B590" t="s">
        <v>2674</v>
      </c>
      <c r="C590" t="s">
        <v>6284</v>
      </c>
      <c r="D590" t="s">
        <v>102</v>
      </c>
      <c r="E590" t="s">
        <v>6351</v>
      </c>
      <c r="F590" t="s">
        <v>6812</v>
      </c>
      <c r="G590" t="s">
        <v>6813</v>
      </c>
      <c r="K590">
        <v>1</v>
      </c>
    </row>
    <row r="591" spans="1:11" x14ac:dyDescent="0.25">
      <c r="A591" t="s">
        <v>2669</v>
      </c>
      <c r="B591" t="s">
        <v>2674</v>
      </c>
      <c r="C591" t="s">
        <v>6289</v>
      </c>
      <c r="D591" t="s">
        <v>102</v>
      </c>
      <c r="E591" t="s">
        <v>6351</v>
      </c>
      <c r="F591" t="s">
        <v>6812</v>
      </c>
      <c r="G591" t="s">
        <v>6813</v>
      </c>
      <c r="K591">
        <v>1</v>
      </c>
    </row>
    <row r="592" spans="1:11" x14ac:dyDescent="0.25">
      <c r="A592" t="s">
        <v>1569</v>
      </c>
      <c r="B592" t="s">
        <v>1578</v>
      </c>
      <c r="C592" t="s">
        <v>6284</v>
      </c>
      <c r="D592" t="s">
        <v>102</v>
      </c>
      <c r="E592" t="s">
        <v>103</v>
      </c>
      <c r="F592" t="s">
        <v>6286</v>
      </c>
      <c r="G592" t="s">
        <v>6814</v>
      </c>
      <c r="K592">
        <v>1</v>
      </c>
    </row>
    <row r="593" spans="1:11" x14ac:dyDescent="0.25">
      <c r="A593" t="s">
        <v>1569</v>
      </c>
      <c r="B593" t="s">
        <v>1578</v>
      </c>
      <c r="C593" t="s">
        <v>6289</v>
      </c>
      <c r="D593" t="s">
        <v>102</v>
      </c>
      <c r="E593" t="s">
        <v>103</v>
      </c>
      <c r="F593" t="s">
        <v>6285</v>
      </c>
      <c r="G593" t="s">
        <v>6815</v>
      </c>
      <c r="K593">
        <v>1</v>
      </c>
    </row>
    <row r="594" spans="1:11" x14ac:dyDescent="0.25">
      <c r="A594" t="s">
        <v>1745</v>
      </c>
      <c r="B594" t="s">
        <v>1751</v>
      </c>
      <c r="C594" t="s">
        <v>6284</v>
      </c>
      <c r="D594" t="s">
        <v>6816</v>
      </c>
      <c r="E594" t="s">
        <v>6817</v>
      </c>
      <c r="F594" t="s">
        <v>6818</v>
      </c>
      <c r="G594" t="s">
        <v>6819</v>
      </c>
      <c r="K594">
        <v>1</v>
      </c>
    </row>
    <row r="595" spans="1:11" x14ac:dyDescent="0.25">
      <c r="A595" t="s">
        <v>1745</v>
      </c>
      <c r="B595" t="s">
        <v>1751</v>
      </c>
      <c r="C595" t="s">
        <v>6289</v>
      </c>
      <c r="D595" t="s">
        <v>6816</v>
      </c>
      <c r="E595" t="s">
        <v>6817</v>
      </c>
      <c r="F595" t="s">
        <v>6818</v>
      </c>
      <c r="G595" t="s">
        <v>6819</v>
      </c>
      <c r="K595">
        <v>1</v>
      </c>
    </row>
    <row r="596" spans="1:11" x14ac:dyDescent="0.25">
      <c r="A596" t="s">
        <v>471</v>
      </c>
      <c r="B596" t="s">
        <v>481</v>
      </c>
      <c r="C596" t="s">
        <v>6284</v>
      </c>
      <c r="D596" t="s">
        <v>6540</v>
      </c>
      <c r="E596" t="s">
        <v>6540</v>
      </c>
      <c r="F596" t="s">
        <v>6820</v>
      </c>
      <c r="G596" t="s">
        <v>6821</v>
      </c>
      <c r="K596">
        <v>1</v>
      </c>
    </row>
    <row r="597" spans="1:11" x14ac:dyDescent="0.25">
      <c r="A597" t="s">
        <v>471</v>
      </c>
      <c r="B597" t="s">
        <v>481</v>
      </c>
      <c r="C597" t="s">
        <v>6289</v>
      </c>
      <c r="D597" t="s">
        <v>102</v>
      </c>
      <c r="E597" t="s">
        <v>6637</v>
      </c>
      <c r="F597" t="s">
        <v>6822</v>
      </c>
      <c r="G597" t="s">
        <v>6823</v>
      </c>
      <c r="K597">
        <v>1</v>
      </c>
    </row>
    <row r="598" spans="1:11" x14ac:dyDescent="0.25">
      <c r="A598" t="s">
        <v>1788</v>
      </c>
      <c r="B598" t="s">
        <v>1791</v>
      </c>
      <c r="C598" t="s">
        <v>6284</v>
      </c>
      <c r="D598" t="s">
        <v>102</v>
      </c>
      <c r="E598" t="s">
        <v>6296</v>
      </c>
      <c r="F598" t="s">
        <v>6559</v>
      </c>
      <c r="G598" t="s">
        <v>6824</v>
      </c>
      <c r="K598">
        <v>1</v>
      </c>
    </row>
    <row r="599" spans="1:11" x14ac:dyDescent="0.25">
      <c r="A599" t="s">
        <v>1788</v>
      </c>
      <c r="B599" t="s">
        <v>1791</v>
      </c>
      <c r="C599" t="s">
        <v>6289</v>
      </c>
      <c r="D599" t="s">
        <v>102</v>
      </c>
      <c r="E599" t="s">
        <v>6296</v>
      </c>
      <c r="F599" t="s">
        <v>6559</v>
      </c>
      <c r="G599" t="s">
        <v>6824</v>
      </c>
      <c r="K599">
        <v>1</v>
      </c>
    </row>
    <row r="600" spans="1:11" x14ac:dyDescent="0.25">
      <c r="A600" t="s">
        <v>2554</v>
      </c>
      <c r="B600" t="s">
        <v>2560</v>
      </c>
      <c r="C600" t="s">
        <v>6284</v>
      </c>
      <c r="D600" t="s">
        <v>102</v>
      </c>
      <c r="E600" t="s">
        <v>103</v>
      </c>
      <c r="F600" t="s">
        <v>294</v>
      </c>
      <c r="G600" t="s">
        <v>6825</v>
      </c>
      <c r="K600">
        <v>1</v>
      </c>
    </row>
    <row r="601" spans="1:11" x14ac:dyDescent="0.25">
      <c r="A601" t="s">
        <v>2554</v>
      </c>
      <c r="B601" t="s">
        <v>2560</v>
      </c>
      <c r="C601" t="s">
        <v>6289</v>
      </c>
      <c r="D601" t="s">
        <v>102</v>
      </c>
      <c r="E601" t="s">
        <v>103</v>
      </c>
      <c r="F601" t="s">
        <v>294</v>
      </c>
      <c r="G601" t="s">
        <v>6826</v>
      </c>
      <c r="K601">
        <v>1</v>
      </c>
    </row>
    <row r="602" spans="1:11" x14ac:dyDescent="0.25">
      <c r="A602" t="s">
        <v>1987</v>
      </c>
      <c r="B602" t="s">
        <v>1992</v>
      </c>
      <c r="C602" t="s">
        <v>6284</v>
      </c>
      <c r="D602" t="s">
        <v>102</v>
      </c>
      <c r="E602" t="s">
        <v>103</v>
      </c>
      <c r="G602" t="s">
        <v>6827</v>
      </c>
      <c r="K602">
        <v>1</v>
      </c>
    </row>
    <row r="603" spans="1:11" x14ac:dyDescent="0.25">
      <c r="A603" t="s">
        <v>1987</v>
      </c>
      <c r="B603" t="s">
        <v>1992</v>
      </c>
      <c r="C603" t="s">
        <v>6289</v>
      </c>
      <c r="D603" t="s">
        <v>102</v>
      </c>
      <c r="E603" t="s">
        <v>103</v>
      </c>
      <c r="G603" t="s">
        <v>6827</v>
      </c>
      <c r="K603">
        <v>1</v>
      </c>
    </row>
    <row r="604" spans="1:11" x14ac:dyDescent="0.25">
      <c r="A604" t="s">
        <v>2808</v>
      </c>
      <c r="B604" t="s">
        <v>2812</v>
      </c>
      <c r="C604" t="s">
        <v>6284</v>
      </c>
      <c r="D604" t="s">
        <v>102</v>
      </c>
      <c r="E604" t="s">
        <v>103</v>
      </c>
      <c r="F604" t="s">
        <v>294</v>
      </c>
      <c r="G604" t="s">
        <v>6828</v>
      </c>
      <c r="K604">
        <v>1</v>
      </c>
    </row>
    <row r="605" spans="1:11" x14ac:dyDescent="0.25">
      <c r="A605" t="s">
        <v>2808</v>
      </c>
      <c r="B605" t="s">
        <v>2812</v>
      </c>
      <c r="C605" t="s">
        <v>6289</v>
      </c>
      <c r="D605" t="s">
        <v>102</v>
      </c>
      <c r="E605" t="s">
        <v>103</v>
      </c>
      <c r="F605" t="s">
        <v>294</v>
      </c>
      <c r="G605" t="s">
        <v>6829</v>
      </c>
      <c r="K605">
        <v>1</v>
      </c>
    </row>
    <row r="606" spans="1:11" x14ac:dyDescent="0.25">
      <c r="A606" t="s">
        <v>3606</v>
      </c>
      <c r="B606" t="s">
        <v>3612</v>
      </c>
      <c r="C606" t="s">
        <v>6284</v>
      </c>
      <c r="D606" t="s">
        <v>102</v>
      </c>
      <c r="E606" t="s">
        <v>103</v>
      </c>
      <c r="F606" t="s">
        <v>6368</v>
      </c>
      <c r="G606" t="s">
        <v>6830</v>
      </c>
      <c r="K606">
        <v>1</v>
      </c>
    </row>
    <row r="607" spans="1:11" x14ac:dyDescent="0.25">
      <c r="A607" t="s">
        <v>3606</v>
      </c>
      <c r="B607" t="s">
        <v>3612</v>
      </c>
      <c r="C607" t="s">
        <v>6289</v>
      </c>
      <c r="D607" t="s">
        <v>102</v>
      </c>
      <c r="E607" t="s">
        <v>103</v>
      </c>
      <c r="F607" t="s">
        <v>6368</v>
      </c>
      <c r="G607" t="s">
        <v>6831</v>
      </c>
      <c r="K607">
        <v>1</v>
      </c>
    </row>
    <row r="608" spans="1:11" x14ac:dyDescent="0.25">
      <c r="A608" t="s">
        <v>1836</v>
      </c>
      <c r="B608" t="s">
        <v>1841</v>
      </c>
      <c r="C608" t="s">
        <v>6284</v>
      </c>
      <c r="D608" t="s">
        <v>102</v>
      </c>
      <c r="E608" t="s">
        <v>6313</v>
      </c>
      <c r="G608" t="s">
        <v>6832</v>
      </c>
      <c r="K608">
        <v>1</v>
      </c>
    </row>
    <row r="609" spans="1:11" x14ac:dyDescent="0.25">
      <c r="A609" t="s">
        <v>1836</v>
      </c>
      <c r="B609" t="s">
        <v>1841</v>
      </c>
      <c r="C609" t="s">
        <v>6289</v>
      </c>
      <c r="D609" t="s">
        <v>102</v>
      </c>
      <c r="E609" t="s">
        <v>103</v>
      </c>
      <c r="F609" t="s">
        <v>6368</v>
      </c>
      <c r="G609" t="s">
        <v>6833</v>
      </c>
      <c r="K609">
        <v>1</v>
      </c>
    </row>
    <row r="610" spans="1:11" x14ac:dyDescent="0.25">
      <c r="A610" t="s">
        <v>3238</v>
      </c>
      <c r="B610" t="s">
        <v>3241</v>
      </c>
      <c r="C610" t="s">
        <v>6284</v>
      </c>
      <c r="D610" t="s">
        <v>102</v>
      </c>
      <c r="E610" t="s">
        <v>103</v>
      </c>
      <c r="F610" t="s">
        <v>294</v>
      </c>
      <c r="G610" t="s">
        <v>6834</v>
      </c>
      <c r="K610">
        <v>1</v>
      </c>
    </row>
    <row r="611" spans="1:11" x14ac:dyDescent="0.25">
      <c r="A611" t="s">
        <v>3238</v>
      </c>
      <c r="B611" t="s">
        <v>3241</v>
      </c>
      <c r="C611" t="s">
        <v>6289</v>
      </c>
      <c r="D611" t="s">
        <v>102</v>
      </c>
      <c r="E611" t="s">
        <v>103</v>
      </c>
      <c r="F611" t="s">
        <v>294</v>
      </c>
      <c r="G611" t="s">
        <v>6834</v>
      </c>
      <c r="K611">
        <v>1</v>
      </c>
    </row>
    <row r="612" spans="1:11" x14ac:dyDescent="0.25">
      <c r="A612" t="s">
        <v>1627</v>
      </c>
      <c r="B612" t="s">
        <v>1630</v>
      </c>
      <c r="C612" t="s">
        <v>6284</v>
      </c>
      <c r="D612" t="s">
        <v>102</v>
      </c>
      <c r="E612" t="s">
        <v>103</v>
      </c>
      <c r="F612" t="s">
        <v>294</v>
      </c>
      <c r="G612" t="s">
        <v>6835</v>
      </c>
      <c r="K612">
        <v>1</v>
      </c>
    </row>
    <row r="613" spans="1:11" x14ac:dyDescent="0.25">
      <c r="A613" t="s">
        <v>1627</v>
      </c>
      <c r="B613" t="s">
        <v>1630</v>
      </c>
      <c r="C613" t="s">
        <v>6289</v>
      </c>
      <c r="D613" t="s">
        <v>102</v>
      </c>
      <c r="E613" t="s">
        <v>103</v>
      </c>
      <c r="F613" t="s">
        <v>294</v>
      </c>
      <c r="G613" t="s">
        <v>6835</v>
      </c>
      <c r="K613">
        <v>1</v>
      </c>
    </row>
    <row r="614" spans="1:11" x14ac:dyDescent="0.25">
      <c r="A614" t="s">
        <v>2571</v>
      </c>
      <c r="B614" t="s">
        <v>2575</v>
      </c>
      <c r="C614" t="s">
        <v>6284</v>
      </c>
      <c r="D614" t="s">
        <v>102</v>
      </c>
      <c r="E614" t="s">
        <v>103</v>
      </c>
      <c r="F614" t="s">
        <v>294</v>
      </c>
      <c r="G614" t="s">
        <v>6836</v>
      </c>
      <c r="K614">
        <v>1</v>
      </c>
    </row>
    <row r="615" spans="1:11" x14ac:dyDescent="0.25">
      <c r="A615" t="s">
        <v>2571</v>
      </c>
      <c r="B615" t="s">
        <v>2575</v>
      </c>
      <c r="C615" t="s">
        <v>6289</v>
      </c>
      <c r="D615" t="s">
        <v>102</v>
      </c>
      <c r="E615" t="s">
        <v>103</v>
      </c>
      <c r="F615" t="s">
        <v>294</v>
      </c>
      <c r="G615" t="s">
        <v>6836</v>
      </c>
      <c r="K615">
        <v>1</v>
      </c>
    </row>
    <row r="616" spans="1:11" x14ac:dyDescent="0.25">
      <c r="A616" t="s">
        <v>1109</v>
      </c>
      <c r="B616" t="s">
        <v>1116</v>
      </c>
      <c r="C616" t="s">
        <v>6284</v>
      </c>
      <c r="D616" t="s">
        <v>102</v>
      </c>
      <c r="E616" t="s">
        <v>6296</v>
      </c>
      <c r="F616" t="s">
        <v>6559</v>
      </c>
      <c r="G616" t="s">
        <v>6837</v>
      </c>
      <c r="K616">
        <v>1</v>
      </c>
    </row>
    <row r="617" spans="1:11" x14ac:dyDescent="0.25">
      <c r="A617" t="s">
        <v>1109</v>
      </c>
      <c r="B617" t="s">
        <v>1116</v>
      </c>
      <c r="C617" t="s">
        <v>6289</v>
      </c>
      <c r="D617" t="s">
        <v>102</v>
      </c>
      <c r="E617" t="s">
        <v>103</v>
      </c>
      <c r="F617" t="s">
        <v>6285</v>
      </c>
      <c r="G617" t="s">
        <v>6838</v>
      </c>
      <c r="K617">
        <v>1</v>
      </c>
    </row>
    <row r="618" spans="1:11" x14ac:dyDescent="0.25">
      <c r="A618" t="s">
        <v>1230</v>
      </c>
      <c r="B618" t="s">
        <v>1235</v>
      </c>
      <c r="C618" t="s">
        <v>6284</v>
      </c>
      <c r="D618" t="s">
        <v>102</v>
      </c>
      <c r="E618" t="s">
        <v>103</v>
      </c>
      <c r="F618" t="s">
        <v>6839</v>
      </c>
      <c r="G618" t="s">
        <v>6840</v>
      </c>
      <c r="K618">
        <v>1</v>
      </c>
    </row>
    <row r="619" spans="1:11" x14ac:dyDescent="0.25">
      <c r="A619" t="s">
        <v>1230</v>
      </c>
      <c r="B619" t="s">
        <v>1235</v>
      </c>
      <c r="C619" t="s">
        <v>6289</v>
      </c>
      <c r="D619" t="s">
        <v>102</v>
      </c>
      <c r="E619" t="s">
        <v>103</v>
      </c>
      <c r="F619" t="s">
        <v>6839</v>
      </c>
      <c r="G619" t="s">
        <v>6840</v>
      </c>
      <c r="K619">
        <v>1</v>
      </c>
    </row>
    <row r="620" spans="1:11" x14ac:dyDescent="0.25">
      <c r="A620" t="s">
        <v>1633</v>
      </c>
      <c r="B620" t="s">
        <v>1637</v>
      </c>
      <c r="C620" t="s">
        <v>6284</v>
      </c>
      <c r="D620" t="s">
        <v>102</v>
      </c>
      <c r="E620" t="s">
        <v>103</v>
      </c>
      <c r="F620" t="s">
        <v>294</v>
      </c>
      <c r="G620" t="s">
        <v>6841</v>
      </c>
      <c r="K620">
        <v>1</v>
      </c>
    </row>
    <row r="621" spans="1:11" x14ac:dyDescent="0.25">
      <c r="A621" t="s">
        <v>1633</v>
      </c>
      <c r="B621" t="s">
        <v>1637</v>
      </c>
      <c r="C621" t="s">
        <v>6289</v>
      </c>
      <c r="D621" t="s">
        <v>102</v>
      </c>
      <c r="E621" t="s">
        <v>103</v>
      </c>
      <c r="F621" t="s">
        <v>294</v>
      </c>
      <c r="G621" t="s">
        <v>6841</v>
      </c>
      <c r="K621">
        <v>1</v>
      </c>
    </row>
    <row r="622" spans="1:11" x14ac:dyDescent="0.25">
      <c r="A622" t="s">
        <v>2962</v>
      </c>
      <c r="B622" t="s">
        <v>2966</v>
      </c>
      <c r="C622" t="s">
        <v>6284</v>
      </c>
      <c r="D622" t="s">
        <v>102</v>
      </c>
      <c r="E622" t="s">
        <v>6341</v>
      </c>
      <c r="F622" t="s">
        <v>6426</v>
      </c>
      <c r="G622" t="s">
        <v>6842</v>
      </c>
      <c r="K622">
        <v>1</v>
      </c>
    </row>
    <row r="623" spans="1:11" x14ac:dyDescent="0.25">
      <c r="A623" t="s">
        <v>2962</v>
      </c>
      <c r="B623" t="s">
        <v>2966</v>
      </c>
      <c r="C623" t="s">
        <v>6289</v>
      </c>
      <c r="D623" t="s">
        <v>102</v>
      </c>
      <c r="E623" t="s">
        <v>6341</v>
      </c>
      <c r="F623" t="s">
        <v>6426</v>
      </c>
      <c r="G623" t="s">
        <v>6842</v>
      </c>
      <c r="K623">
        <v>1</v>
      </c>
    </row>
    <row r="624" spans="1:11" x14ac:dyDescent="0.25">
      <c r="A624" t="s">
        <v>1714</v>
      </c>
      <c r="B624" t="s">
        <v>1721</v>
      </c>
      <c r="C624" t="s">
        <v>6284</v>
      </c>
      <c r="D624" t="s">
        <v>416</v>
      </c>
      <c r="E624" t="s">
        <v>6843</v>
      </c>
      <c r="F624" t="s">
        <v>6844</v>
      </c>
      <c r="G624" t="s">
        <v>6845</v>
      </c>
      <c r="K624">
        <v>1</v>
      </c>
    </row>
    <row r="625" spans="1:11" x14ac:dyDescent="0.25">
      <c r="A625" t="s">
        <v>1714</v>
      </c>
      <c r="B625" t="s">
        <v>1721</v>
      </c>
      <c r="C625" t="s">
        <v>6289</v>
      </c>
      <c r="D625" t="s">
        <v>102</v>
      </c>
      <c r="E625" t="s">
        <v>103</v>
      </c>
      <c r="F625" t="s">
        <v>6303</v>
      </c>
      <c r="G625" t="s">
        <v>6846</v>
      </c>
      <c r="K625">
        <v>1</v>
      </c>
    </row>
    <row r="626" spans="1:11" x14ac:dyDescent="0.25">
      <c r="A626" t="s">
        <v>1901</v>
      </c>
      <c r="B626" t="s">
        <v>1905</v>
      </c>
      <c r="C626" t="s">
        <v>6284</v>
      </c>
      <c r="D626" t="s">
        <v>102</v>
      </c>
      <c r="E626" t="s">
        <v>103</v>
      </c>
      <c r="F626" t="s">
        <v>6839</v>
      </c>
      <c r="G626" t="s">
        <v>6847</v>
      </c>
      <c r="K626">
        <v>1</v>
      </c>
    </row>
    <row r="627" spans="1:11" x14ac:dyDescent="0.25">
      <c r="A627" t="s">
        <v>1901</v>
      </c>
      <c r="B627" t="s">
        <v>1905</v>
      </c>
      <c r="C627" t="s">
        <v>6289</v>
      </c>
      <c r="D627" t="s">
        <v>102</v>
      </c>
      <c r="E627" t="s">
        <v>103</v>
      </c>
      <c r="F627" t="s">
        <v>6368</v>
      </c>
      <c r="G627" t="s">
        <v>6848</v>
      </c>
      <c r="K627">
        <v>1</v>
      </c>
    </row>
    <row r="628" spans="1:11" x14ac:dyDescent="0.25">
      <c r="A628" t="s">
        <v>2995</v>
      </c>
      <c r="B628" t="s">
        <v>3000</v>
      </c>
      <c r="C628" t="s">
        <v>6284</v>
      </c>
      <c r="D628" t="s">
        <v>102</v>
      </c>
      <c r="E628" t="s">
        <v>6313</v>
      </c>
      <c r="G628" t="s">
        <v>6849</v>
      </c>
      <c r="K628">
        <v>1</v>
      </c>
    </row>
    <row r="629" spans="1:11" x14ac:dyDescent="0.25">
      <c r="A629" t="s">
        <v>2995</v>
      </c>
      <c r="B629" t="s">
        <v>3000</v>
      </c>
      <c r="C629" t="s">
        <v>6289</v>
      </c>
      <c r="D629" t="s">
        <v>102</v>
      </c>
      <c r="E629" t="s">
        <v>6313</v>
      </c>
      <c r="G629" t="s">
        <v>6849</v>
      </c>
      <c r="K629">
        <v>1</v>
      </c>
    </row>
    <row r="630" spans="1:11" x14ac:dyDescent="0.25">
      <c r="A630" t="s">
        <v>1091</v>
      </c>
      <c r="B630" t="s">
        <v>1101</v>
      </c>
      <c r="C630" t="s">
        <v>6284</v>
      </c>
      <c r="D630" t="s">
        <v>102</v>
      </c>
      <c r="E630" t="s">
        <v>6296</v>
      </c>
      <c r="F630" t="s">
        <v>6354</v>
      </c>
      <c r="G630" t="s">
        <v>6850</v>
      </c>
      <c r="K630">
        <v>1</v>
      </c>
    </row>
    <row r="631" spans="1:11" x14ac:dyDescent="0.25">
      <c r="A631" t="s">
        <v>1091</v>
      </c>
      <c r="B631" t="s">
        <v>1101</v>
      </c>
      <c r="C631" t="s">
        <v>6289</v>
      </c>
      <c r="D631" t="s">
        <v>102</v>
      </c>
      <c r="E631" t="s">
        <v>103</v>
      </c>
      <c r="F631" t="s">
        <v>6377</v>
      </c>
      <c r="G631" t="s">
        <v>6851</v>
      </c>
      <c r="K631">
        <v>1</v>
      </c>
    </row>
    <row r="632" spans="1:11" x14ac:dyDescent="0.25">
      <c r="A632" t="s">
        <v>571</v>
      </c>
      <c r="B632" t="s">
        <v>576</v>
      </c>
      <c r="C632" t="s">
        <v>6284</v>
      </c>
      <c r="D632" t="s">
        <v>102</v>
      </c>
      <c r="E632" t="s">
        <v>103</v>
      </c>
      <c r="F632" t="s">
        <v>6474</v>
      </c>
      <c r="G632" t="s">
        <v>6852</v>
      </c>
      <c r="K632">
        <v>1</v>
      </c>
    </row>
    <row r="633" spans="1:11" x14ac:dyDescent="0.25">
      <c r="A633" t="s">
        <v>571</v>
      </c>
      <c r="B633" t="s">
        <v>576</v>
      </c>
      <c r="C633" t="s">
        <v>6289</v>
      </c>
      <c r="D633" t="s">
        <v>102</v>
      </c>
      <c r="E633" t="s">
        <v>103</v>
      </c>
      <c r="F633" t="s">
        <v>6474</v>
      </c>
      <c r="G633" t="s">
        <v>6852</v>
      </c>
      <c r="K633">
        <v>1</v>
      </c>
    </row>
    <row r="634" spans="1:11" x14ac:dyDescent="0.25">
      <c r="A634" t="s">
        <v>2734</v>
      </c>
      <c r="B634" t="s">
        <v>2738</v>
      </c>
      <c r="C634" t="s">
        <v>6284</v>
      </c>
      <c r="D634" t="s">
        <v>102</v>
      </c>
      <c r="E634" t="s">
        <v>6319</v>
      </c>
      <c r="F634" t="s">
        <v>6853</v>
      </c>
      <c r="G634" t="s">
        <v>6854</v>
      </c>
      <c r="K634">
        <v>1</v>
      </c>
    </row>
    <row r="635" spans="1:11" x14ac:dyDescent="0.25">
      <c r="A635" t="s">
        <v>2734</v>
      </c>
      <c r="B635" t="s">
        <v>2738</v>
      </c>
      <c r="C635" t="s">
        <v>6289</v>
      </c>
      <c r="D635" t="s">
        <v>102</v>
      </c>
      <c r="E635" t="s">
        <v>6319</v>
      </c>
      <c r="F635" t="s">
        <v>6853</v>
      </c>
      <c r="G635" t="s">
        <v>6855</v>
      </c>
      <c r="K635">
        <v>1</v>
      </c>
    </row>
    <row r="636" spans="1:11" x14ac:dyDescent="0.25">
      <c r="A636" t="s">
        <v>664</v>
      </c>
      <c r="B636" t="s">
        <v>679</v>
      </c>
      <c r="C636" t="s">
        <v>6284</v>
      </c>
      <c r="D636" t="s">
        <v>102</v>
      </c>
      <c r="E636" t="s">
        <v>103</v>
      </c>
      <c r="F636" t="s">
        <v>6303</v>
      </c>
      <c r="G636" t="s">
        <v>6856</v>
      </c>
      <c r="K636">
        <v>1</v>
      </c>
    </row>
    <row r="637" spans="1:11" x14ac:dyDescent="0.25">
      <c r="A637" t="s">
        <v>664</v>
      </c>
      <c r="B637" t="s">
        <v>679</v>
      </c>
      <c r="C637" t="s">
        <v>6289</v>
      </c>
      <c r="D637" t="s">
        <v>102</v>
      </c>
      <c r="E637" t="s">
        <v>103</v>
      </c>
      <c r="F637" t="s">
        <v>6303</v>
      </c>
      <c r="G637" t="s">
        <v>6856</v>
      </c>
      <c r="K637">
        <v>1</v>
      </c>
    </row>
    <row r="638" spans="1:11" x14ac:dyDescent="0.25">
      <c r="A638" t="s">
        <v>502</v>
      </c>
      <c r="B638" t="s">
        <v>511</v>
      </c>
      <c r="C638" t="s">
        <v>6284</v>
      </c>
      <c r="D638" t="s">
        <v>102</v>
      </c>
      <c r="E638" t="s">
        <v>6296</v>
      </c>
      <c r="F638" t="s">
        <v>6559</v>
      </c>
      <c r="G638" t="s">
        <v>6857</v>
      </c>
      <c r="K638">
        <v>1</v>
      </c>
    </row>
    <row r="639" spans="1:11" x14ac:dyDescent="0.25">
      <c r="A639" t="s">
        <v>502</v>
      </c>
      <c r="B639" t="s">
        <v>511</v>
      </c>
      <c r="C639" t="s">
        <v>6289</v>
      </c>
      <c r="D639" t="s">
        <v>102</v>
      </c>
      <c r="E639" t="s">
        <v>6296</v>
      </c>
      <c r="F639" t="s">
        <v>6559</v>
      </c>
      <c r="G639" t="s">
        <v>6857</v>
      </c>
      <c r="K639">
        <v>1</v>
      </c>
    </row>
    <row r="640" spans="1:11" x14ac:dyDescent="0.25">
      <c r="A640" t="s">
        <v>2091</v>
      </c>
      <c r="B640" t="s">
        <v>2096</v>
      </c>
      <c r="C640" t="s">
        <v>6284</v>
      </c>
      <c r="D640" t="s">
        <v>102</v>
      </c>
      <c r="E640" t="s">
        <v>6296</v>
      </c>
      <c r="F640" t="s">
        <v>6559</v>
      </c>
      <c r="G640" t="s">
        <v>6858</v>
      </c>
      <c r="K640">
        <v>1</v>
      </c>
    </row>
    <row r="641" spans="1:11" x14ac:dyDescent="0.25">
      <c r="A641" t="s">
        <v>2091</v>
      </c>
      <c r="B641" t="s">
        <v>2096</v>
      </c>
      <c r="C641" t="s">
        <v>6289</v>
      </c>
      <c r="D641" t="s">
        <v>102</v>
      </c>
      <c r="E641" t="s">
        <v>6296</v>
      </c>
      <c r="F641" t="s">
        <v>6559</v>
      </c>
      <c r="G641" t="s">
        <v>6859</v>
      </c>
      <c r="K641">
        <v>1</v>
      </c>
    </row>
    <row r="642" spans="1:11" x14ac:dyDescent="0.25">
      <c r="A642" t="s">
        <v>2889</v>
      </c>
      <c r="B642" t="s">
        <v>2894</v>
      </c>
      <c r="C642" t="s">
        <v>6284</v>
      </c>
      <c r="D642" t="s">
        <v>102</v>
      </c>
      <c r="E642" t="s">
        <v>6341</v>
      </c>
      <c r="F642" t="s">
        <v>6659</v>
      </c>
      <c r="G642" t="s">
        <v>6860</v>
      </c>
      <c r="K642">
        <v>1</v>
      </c>
    </row>
    <row r="643" spans="1:11" x14ac:dyDescent="0.25">
      <c r="A643" t="s">
        <v>2889</v>
      </c>
      <c r="B643" t="s">
        <v>2894</v>
      </c>
      <c r="C643" t="s">
        <v>6289</v>
      </c>
      <c r="D643" t="s">
        <v>102</v>
      </c>
      <c r="E643" t="s">
        <v>6341</v>
      </c>
      <c r="F643" t="s">
        <v>6659</v>
      </c>
      <c r="G643" t="s">
        <v>6860</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I648"/>
  <sheetViews>
    <sheetView workbookViewId="0">
      <pane ySplit="3" topLeftCell="A339" activePane="bottomLeft" state="frozen"/>
      <selection pane="bottomLeft" activeCell="E611" sqref="E611"/>
    </sheetView>
  </sheetViews>
  <sheetFormatPr defaultRowHeight="14.4" x14ac:dyDescent="0.25"/>
  <cols>
    <col min="1" max="1" width="22.44140625" bestFit="1" customWidth="1"/>
    <col min="2" max="2" width="22.6640625" style="5" bestFit="1" customWidth="1"/>
    <col min="3" max="3" width="16" style="5" customWidth="1"/>
    <col min="4" max="4" width="20.33203125" style="5" bestFit="1" customWidth="1"/>
    <col min="5" max="5" width="19.44140625" style="5" bestFit="1" customWidth="1"/>
    <col min="6" max="6" width="24.21875" style="5" bestFit="1" customWidth="1"/>
    <col min="7" max="7" width="63.21875" style="5" bestFit="1" customWidth="1"/>
    <col min="8" max="9" width="8.88671875" style="5"/>
  </cols>
  <sheetData>
    <row r="1" spans="1:7" ht="28.05" customHeight="1" x14ac:dyDescent="0.25">
      <c r="A1" s="87" t="s">
        <v>104</v>
      </c>
      <c r="B1" s="88"/>
      <c r="C1" s="88"/>
      <c r="D1" s="88"/>
      <c r="E1" s="88"/>
      <c r="F1" s="88"/>
      <c r="G1" s="88"/>
    </row>
    <row r="2" spans="1:7" ht="18" customHeight="1" x14ac:dyDescent="0.25">
      <c r="A2" s="86" t="s">
        <v>155</v>
      </c>
      <c r="B2" s="86"/>
      <c r="C2" s="86"/>
      <c r="D2" s="86"/>
      <c r="E2" s="86"/>
      <c r="F2" s="86"/>
      <c r="G2" s="86"/>
    </row>
    <row r="3" spans="1:7" ht="22.05" customHeight="1" x14ac:dyDescent="0.25">
      <c r="A3" s="3" t="s">
        <v>37</v>
      </c>
      <c r="B3" s="6" t="s">
        <v>3</v>
      </c>
      <c r="C3" s="6" t="s">
        <v>105</v>
      </c>
      <c r="D3" s="6" t="s">
        <v>50</v>
      </c>
      <c r="E3" s="4" t="s">
        <v>107</v>
      </c>
      <c r="F3" s="4" t="s">
        <v>106</v>
      </c>
      <c r="G3" s="4" t="s">
        <v>108</v>
      </c>
    </row>
    <row r="4" spans="1:7" ht="15.6" x14ac:dyDescent="0.25">
      <c r="A4" s="81" t="s">
        <v>2202</v>
      </c>
      <c r="B4" s="81" t="s">
        <v>2208</v>
      </c>
      <c r="C4" s="95">
        <v>1</v>
      </c>
      <c r="D4" s="95" t="s">
        <v>880</v>
      </c>
      <c r="E4" s="95" t="s">
        <v>4000</v>
      </c>
      <c r="F4" s="95" t="s">
        <v>7617</v>
      </c>
      <c r="G4" s="95"/>
    </row>
    <row r="5" spans="1:7" ht="15.6" x14ac:dyDescent="0.25">
      <c r="A5" s="81" t="s">
        <v>1569</v>
      </c>
      <c r="B5" s="81" t="s">
        <v>1578</v>
      </c>
      <c r="C5" s="95">
        <v>1</v>
      </c>
      <c r="D5" s="95" t="s">
        <v>1576</v>
      </c>
      <c r="E5" s="95" t="s">
        <v>7527</v>
      </c>
      <c r="F5" s="95" t="s">
        <v>7617</v>
      </c>
      <c r="G5" s="95"/>
    </row>
    <row r="6" spans="1:7" ht="15.6" x14ac:dyDescent="0.25">
      <c r="A6" s="81" t="s">
        <v>1569</v>
      </c>
      <c r="B6" s="81" t="s">
        <v>1578</v>
      </c>
      <c r="C6" s="95" t="s">
        <v>7720</v>
      </c>
      <c r="D6" s="95" t="s">
        <v>7621</v>
      </c>
      <c r="E6" s="95" t="s">
        <v>450</v>
      </c>
      <c r="F6" s="95" t="s">
        <v>7617</v>
      </c>
      <c r="G6" s="95"/>
    </row>
    <row r="7" spans="1:7" ht="15.6" x14ac:dyDescent="0.25">
      <c r="A7" s="81" t="s">
        <v>1569</v>
      </c>
      <c r="B7" s="81" t="s">
        <v>1578</v>
      </c>
      <c r="C7" s="95" t="s">
        <v>7750</v>
      </c>
      <c r="D7" s="95" t="s">
        <v>578</v>
      </c>
      <c r="E7" s="95" t="s">
        <v>4000</v>
      </c>
      <c r="F7" s="95" t="s">
        <v>7617</v>
      </c>
      <c r="G7" s="95"/>
    </row>
    <row r="8" spans="1:7" ht="15.6" x14ac:dyDescent="0.25">
      <c r="A8" s="81" t="s">
        <v>2780</v>
      </c>
      <c r="B8" s="81" t="s">
        <v>2784</v>
      </c>
      <c r="C8" s="95">
        <v>1</v>
      </c>
      <c r="D8" s="95" t="s">
        <v>1680</v>
      </c>
      <c r="E8" s="95" t="s">
        <v>4000</v>
      </c>
      <c r="F8" s="95" t="s">
        <v>7617</v>
      </c>
      <c r="G8" s="95"/>
    </row>
    <row r="9" spans="1:7" ht="15.6" x14ac:dyDescent="0.25">
      <c r="A9" s="81" t="s">
        <v>1763</v>
      </c>
      <c r="B9" s="81" t="s">
        <v>1768</v>
      </c>
      <c r="C9" s="95">
        <v>1</v>
      </c>
      <c r="D9" s="95" t="s">
        <v>1680</v>
      </c>
      <c r="E9" s="95" t="s">
        <v>7528</v>
      </c>
      <c r="F9" s="95" t="s">
        <v>7617</v>
      </c>
      <c r="G9" s="95"/>
    </row>
    <row r="10" spans="1:7" ht="15.6" x14ac:dyDescent="0.25">
      <c r="A10" s="81" t="s">
        <v>1763</v>
      </c>
      <c r="B10" s="81" t="s">
        <v>1768</v>
      </c>
      <c r="C10" s="95" t="s">
        <v>7720</v>
      </c>
      <c r="D10" s="95" t="s">
        <v>1430</v>
      </c>
      <c r="E10" s="95" t="s">
        <v>663</v>
      </c>
      <c r="F10" s="95" t="s">
        <v>7617</v>
      </c>
      <c r="G10" s="95"/>
    </row>
    <row r="11" spans="1:7" ht="15.6" x14ac:dyDescent="0.25">
      <c r="A11" s="81" t="s">
        <v>3595</v>
      </c>
      <c r="B11" s="81" t="s">
        <v>3601</v>
      </c>
      <c r="C11" s="95">
        <v>1</v>
      </c>
      <c r="D11" s="95" t="s">
        <v>3535</v>
      </c>
      <c r="E11" s="95" t="s">
        <v>4000</v>
      </c>
      <c r="F11" s="95" t="s">
        <v>7617</v>
      </c>
      <c r="G11" s="95"/>
    </row>
    <row r="12" spans="1:7" ht="15.6" x14ac:dyDescent="0.25">
      <c r="A12" s="81" t="s">
        <v>2645</v>
      </c>
      <c r="B12" s="81" t="s">
        <v>2651</v>
      </c>
      <c r="C12" s="95">
        <v>1</v>
      </c>
      <c r="D12" s="95" t="s">
        <v>1680</v>
      </c>
      <c r="E12" s="95" t="s">
        <v>4000</v>
      </c>
      <c r="F12" s="95" t="s">
        <v>7617</v>
      </c>
      <c r="G12" s="95" t="s">
        <v>10015</v>
      </c>
    </row>
    <row r="13" spans="1:7" ht="15.6" x14ac:dyDescent="0.25">
      <c r="A13" s="81" t="s">
        <v>1714</v>
      </c>
      <c r="B13" s="81" t="s">
        <v>1721</v>
      </c>
      <c r="C13" s="95">
        <v>1</v>
      </c>
      <c r="D13" s="95" t="s">
        <v>1719</v>
      </c>
      <c r="E13" s="95" t="s">
        <v>7529</v>
      </c>
      <c r="F13" s="95" t="s">
        <v>7617</v>
      </c>
      <c r="G13" s="95"/>
    </row>
    <row r="14" spans="1:7" ht="15.6" x14ac:dyDescent="0.25">
      <c r="A14" s="81" t="s">
        <v>1714</v>
      </c>
      <c r="B14" s="81" t="s">
        <v>1721</v>
      </c>
      <c r="C14" s="95" t="s">
        <v>7720</v>
      </c>
      <c r="D14" s="95" t="s">
        <v>7622</v>
      </c>
      <c r="E14" s="95" t="s">
        <v>1281</v>
      </c>
      <c r="F14" s="95" t="s">
        <v>7617</v>
      </c>
      <c r="G14" s="95"/>
    </row>
    <row r="15" spans="1:7" ht="15.6" x14ac:dyDescent="0.25">
      <c r="A15" s="81" t="s">
        <v>2215</v>
      </c>
      <c r="B15" s="81" t="s">
        <v>2219</v>
      </c>
      <c r="C15" s="95">
        <v>1</v>
      </c>
      <c r="D15" s="95" t="s">
        <v>2217</v>
      </c>
      <c r="E15" s="95" t="s">
        <v>7530</v>
      </c>
      <c r="F15" s="95" t="s">
        <v>7617</v>
      </c>
      <c r="G15" s="95"/>
    </row>
    <row r="16" spans="1:7" ht="15.6" x14ac:dyDescent="0.25">
      <c r="A16" s="81" t="s">
        <v>2215</v>
      </c>
      <c r="B16" s="81" t="s">
        <v>2219</v>
      </c>
      <c r="C16" s="95" t="s">
        <v>7720</v>
      </c>
      <c r="D16" s="95" t="s">
        <v>7623</v>
      </c>
      <c r="E16" s="95" t="s">
        <v>7688</v>
      </c>
      <c r="F16" s="95" t="s">
        <v>7617</v>
      </c>
      <c r="G16" s="95"/>
    </row>
    <row r="17" spans="1:7" ht="15.6" x14ac:dyDescent="0.25">
      <c r="A17" s="81" t="s">
        <v>2215</v>
      </c>
      <c r="B17" s="81" t="s">
        <v>2219</v>
      </c>
      <c r="C17" s="95" t="s">
        <v>7750</v>
      </c>
      <c r="D17" s="95" t="s">
        <v>7741</v>
      </c>
      <c r="E17" s="95" t="s">
        <v>4000</v>
      </c>
      <c r="F17" s="95" t="s">
        <v>7617</v>
      </c>
      <c r="G17" s="95"/>
    </row>
    <row r="18" spans="1:7" ht="15.6" x14ac:dyDescent="0.25">
      <c r="A18" s="81" t="s">
        <v>1205</v>
      </c>
      <c r="B18" s="81" t="s">
        <v>1212</v>
      </c>
      <c r="C18" s="95">
        <v>1</v>
      </c>
      <c r="D18" s="95" t="s">
        <v>1210</v>
      </c>
      <c r="E18" s="95" t="s">
        <v>7531</v>
      </c>
      <c r="F18" s="95" t="s">
        <v>7617</v>
      </c>
      <c r="G18" s="95"/>
    </row>
    <row r="19" spans="1:7" ht="15.6" x14ac:dyDescent="0.25">
      <c r="A19" s="81" t="s">
        <v>1205</v>
      </c>
      <c r="B19" s="81" t="s">
        <v>1212</v>
      </c>
      <c r="C19" s="95" t="s">
        <v>7720</v>
      </c>
      <c r="D19" s="95" t="s">
        <v>1217</v>
      </c>
      <c r="E19" s="95" t="s">
        <v>1204</v>
      </c>
      <c r="F19" s="95" t="s">
        <v>7617</v>
      </c>
      <c r="G19" s="95"/>
    </row>
    <row r="20" spans="1:7" ht="15.6" x14ac:dyDescent="0.25">
      <c r="A20" s="81" t="s">
        <v>2972</v>
      </c>
      <c r="B20" s="81" t="s">
        <v>2979</v>
      </c>
      <c r="C20" s="95">
        <v>1</v>
      </c>
      <c r="D20" s="95" t="s">
        <v>2977</v>
      </c>
      <c r="E20" s="95" t="s">
        <v>7532</v>
      </c>
      <c r="F20" s="95" t="s">
        <v>7617</v>
      </c>
      <c r="G20" s="95"/>
    </row>
    <row r="21" spans="1:7" ht="15.6" x14ac:dyDescent="0.25">
      <c r="A21" s="81" t="s">
        <v>2972</v>
      </c>
      <c r="B21" s="81" t="s">
        <v>2979</v>
      </c>
      <c r="C21" s="95" t="s">
        <v>7720</v>
      </c>
      <c r="D21" s="95" t="s">
        <v>7624</v>
      </c>
      <c r="E21" s="95" t="s">
        <v>4000</v>
      </c>
      <c r="F21" s="95" t="s">
        <v>7617</v>
      </c>
      <c r="G21" s="95"/>
    </row>
    <row r="22" spans="1:7" ht="15.6" x14ac:dyDescent="0.25">
      <c r="A22" s="81" t="s">
        <v>1167</v>
      </c>
      <c r="B22" s="81" t="s">
        <v>1176</v>
      </c>
      <c r="C22" s="95">
        <v>1</v>
      </c>
      <c r="D22" s="95" t="s">
        <v>1172</v>
      </c>
      <c r="E22" s="95" t="s">
        <v>7533</v>
      </c>
      <c r="F22" s="95" t="s">
        <v>7617</v>
      </c>
      <c r="G22" s="95"/>
    </row>
    <row r="23" spans="1:7" ht="15.6" x14ac:dyDescent="0.25">
      <c r="A23" s="81" t="s">
        <v>1167</v>
      </c>
      <c r="B23" s="81" t="s">
        <v>1176</v>
      </c>
      <c r="C23" s="95" t="s">
        <v>7720</v>
      </c>
      <c r="D23" s="95" t="s">
        <v>1182</v>
      </c>
      <c r="E23" s="95" t="s">
        <v>659</v>
      </c>
      <c r="F23" s="95" t="s">
        <v>7617</v>
      </c>
      <c r="G23" s="95"/>
    </row>
    <row r="24" spans="1:7" ht="15.6" x14ac:dyDescent="0.25">
      <c r="A24" s="81" t="s">
        <v>2915</v>
      </c>
      <c r="B24" s="81" t="s">
        <v>2921</v>
      </c>
      <c r="C24" s="95">
        <v>1</v>
      </c>
      <c r="D24" s="95" t="s">
        <v>578</v>
      </c>
      <c r="E24" s="95" t="s">
        <v>1090</v>
      </c>
      <c r="F24" s="95" t="s">
        <v>7617</v>
      </c>
      <c r="G24" s="95"/>
    </row>
    <row r="25" spans="1:7" ht="15.6" x14ac:dyDescent="0.25">
      <c r="A25" s="81" t="s">
        <v>3346</v>
      </c>
      <c r="B25" s="81" t="s">
        <v>3351</v>
      </c>
      <c r="C25" s="95">
        <v>1</v>
      </c>
      <c r="D25" s="95" t="s">
        <v>1680</v>
      </c>
      <c r="E25" s="95" t="s">
        <v>4000</v>
      </c>
      <c r="F25" s="95" t="s">
        <v>7617</v>
      </c>
      <c r="G25" s="95"/>
    </row>
    <row r="26" spans="1:7" ht="15.6" x14ac:dyDescent="0.25">
      <c r="A26" s="81" t="s">
        <v>1439</v>
      </c>
      <c r="B26" s="81" t="s">
        <v>1447</v>
      </c>
      <c r="C26" s="95">
        <v>1</v>
      </c>
      <c r="D26" s="95" t="s">
        <v>1445</v>
      </c>
      <c r="E26" s="95" t="s">
        <v>7534</v>
      </c>
      <c r="F26" s="95" t="s">
        <v>7617</v>
      </c>
      <c r="G26" s="95"/>
    </row>
    <row r="27" spans="1:7" ht="15.6" x14ac:dyDescent="0.25">
      <c r="A27" s="81" t="s">
        <v>1439</v>
      </c>
      <c r="B27" s="81" t="s">
        <v>1447</v>
      </c>
      <c r="C27" s="95" t="s">
        <v>7720</v>
      </c>
      <c r="D27" s="95" t="s">
        <v>1454</v>
      </c>
      <c r="E27" s="95" t="s">
        <v>1455</v>
      </c>
      <c r="F27" s="95" t="s">
        <v>7617</v>
      </c>
      <c r="G27" s="95"/>
    </row>
    <row r="28" spans="1:7" ht="15.6" x14ac:dyDescent="0.25">
      <c r="A28" s="81" t="s">
        <v>3276</v>
      </c>
      <c r="B28" s="81" t="s">
        <v>3281</v>
      </c>
      <c r="C28" s="95">
        <v>1</v>
      </c>
      <c r="D28" s="95" t="s">
        <v>3284</v>
      </c>
      <c r="E28" s="95" t="s">
        <v>4000</v>
      </c>
      <c r="F28" s="95" t="s">
        <v>7617</v>
      </c>
      <c r="G28" s="95"/>
    </row>
    <row r="29" spans="1:7" ht="15.6" x14ac:dyDescent="0.25">
      <c r="A29" s="81" t="s">
        <v>3176</v>
      </c>
      <c r="B29" s="81" t="s">
        <v>3181</v>
      </c>
      <c r="C29" s="95">
        <v>1</v>
      </c>
      <c r="D29" s="95" t="s">
        <v>3179</v>
      </c>
      <c r="E29" s="95" t="s">
        <v>7535</v>
      </c>
      <c r="F29" s="95" t="s">
        <v>7617</v>
      </c>
      <c r="G29" s="95"/>
    </row>
    <row r="30" spans="1:7" ht="15.6" x14ac:dyDescent="0.25">
      <c r="A30" s="81" t="s">
        <v>3176</v>
      </c>
      <c r="B30" s="81" t="s">
        <v>3181</v>
      </c>
      <c r="C30" s="95" t="s">
        <v>7720</v>
      </c>
      <c r="D30" s="95" t="s">
        <v>7625</v>
      </c>
      <c r="E30" s="95" t="s">
        <v>7689</v>
      </c>
      <c r="F30" s="95" t="s">
        <v>7617</v>
      </c>
      <c r="G30" s="95"/>
    </row>
    <row r="31" spans="1:7" ht="15.6" x14ac:dyDescent="0.25">
      <c r="A31" s="81" t="s">
        <v>3176</v>
      </c>
      <c r="B31" s="81" t="s">
        <v>3181</v>
      </c>
      <c r="C31" s="95" t="s">
        <v>7750</v>
      </c>
      <c r="D31" s="95" t="s">
        <v>7722</v>
      </c>
      <c r="E31" s="95" t="s">
        <v>7746</v>
      </c>
      <c r="F31" s="95" t="s">
        <v>7617</v>
      </c>
      <c r="G31" s="95"/>
    </row>
    <row r="32" spans="1:7" ht="15.6" x14ac:dyDescent="0.25">
      <c r="A32" s="81" t="s">
        <v>3176</v>
      </c>
      <c r="B32" s="81" t="s">
        <v>3181</v>
      </c>
      <c r="C32" s="95" t="s">
        <v>7751</v>
      </c>
      <c r="D32" s="95" t="s">
        <v>7753</v>
      </c>
      <c r="E32" s="95" t="s">
        <v>7691</v>
      </c>
      <c r="F32" s="95" t="s">
        <v>7617</v>
      </c>
      <c r="G32" s="95"/>
    </row>
    <row r="33" spans="1:7" ht="15.6" x14ac:dyDescent="0.25">
      <c r="A33" s="81" t="s">
        <v>3176</v>
      </c>
      <c r="B33" s="81" t="s">
        <v>3181</v>
      </c>
      <c r="C33" s="95" t="s">
        <v>7755</v>
      </c>
      <c r="D33" s="95" t="s">
        <v>1621</v>
      </c>
      <c r="E33" s="95" t="s">
        <v>4000</v>
      </c>
      <c r="F33" s="95" t="s">
        <v>7617</v>
      </c>
      <c r="G33" s="95"/>
    </row>
    <row r="34" spans="1:7" ht="15.6" x14ac:dyDescent="0.25">
      <c r="A34" s="81" t="s">
        <v>1745</v>
      </c>
      <c r="B34" s="81" t="s">
        <v>1751</v>
      </c>
      <c r="C34" s="95">
        <v>1</v>
      </c>
      <c r="D34" s="95" t="s">
        <v>1680</v>
      </c>
      <c r="E34" s="95" t="s">
        <v>7528</v>
      </c>
      <c r="F34" s="95" t="s">
        <v>7617</v>
      </c>
      <c r="G34" s="95"/>
    </row>
    <row r="35" spans="1:7" ht="15.6" x14ac:dyDescent="0.25">
      <c r="A35" s="81" t="s">
        <v>1745</v>
      </c>
      <c r="B35" s="81" t="s">
        <v>1751</v>
      </c>
      <c r="C35" s="95" t="s">
        <v>7720</v>
      </c>
      <c r="D35" s="95" t="s">
        <v>1430</v>
      </c>
      <c r="E35" s="95" t="s">
        <v>1090</v>
      </c>
      <c r="F35" s="95" t="s">
        <v>7617</v>
      </c>
      <c r="G35" s="95"/>
    </row>
    <row r="36" spans="1:7" ht="15.6" x14ac:dyDescent="0.25">
      <c r="A36" s="81" t="s">
        <v>3218</v>
      </c>
      <c r="B36" s="81" t="s">
        <v>3223</v>
      </c>
      <c r="C36" s="95">
        <v>1</v>
      </c>
      <c r="D36" s="95" t="s">
        <v>3228</v>
      </c>
      <c r="E36" s="95" t="s">
        <v>4000</v>
      </c>
      <c r="F36" s="95" t="s">
        <v>7617</v>
      </c>
      <c r="G36" s="95"/>
    </row>
    <row r="37" spans="1:7" ht="15.6" x14ac:dyDescent="0.25">
      <c r="A37" s="81" t="s">
        <v>1651</v>
      </c>
      <c r="B37" s="81" t="s">
        <v>1657</v>
      </c>
      <c r="C37" s="95">
        <v>1</v>
      </c>
      <c r="D37" s="95" t="s">
        <v>661</v>
      </c>
      <c r="E37" s="95" t="s">
        <v>1082</v>
      </c>
      <c r="F37" s="95" t="s">
        <v>7617</v>
      </c>
      <c r="G37" s="95"/>
    </row>
    <row r="38" spans="1:7" ht="15.6" x14ac:dyDescent="0.25">
      <c r="A38" s="81" t="s">
        <v>1651</v>
      </c>
      <c r="B38" s="81" t="s">
        <v>1657</v>
      </c>
      <c r="C38" s="95" t="s">
        <v>7720</v>
      </c>
      <c r="D38" s="95" t="s">
        <v>1266</v>
      </c>
      <c r="E38" s="95" t="s">
        <v>4000</v>
      </c>
      <c r="F38" s="95" t="s">
        <v>7617</v>
      </c>
      <c r="G38" s="95"/>
    </row>
    <row r="39" spans="1:7" ht="15.6" x14ac:dyDescent="0.25">
      <c r="A39" s="81" t="s">
        <v>2324</v>
      </c>
      <c r="B39" s="81" t="s">
        <v>2330</v>
      </c>
      <c r="C39" s="95">
        <v>1</v>
      </c>
      <c r="D39" s="95" t="s">
        <v>514</v>
      </c>
      <c r="E39" s="95" t="s">
        <v>7536</v>
      </c>
      <c r="F39" s="95" t="s">
        <v>7617</v>
      </c>
      <c r="G39" s="95"/>
    </row>
    <row r="40" spans="1:7" ht="15.6" x14ac:dyDescent="0.25">
      <c r="A40" s="81" t="s">
        <v>2324</v>
      </c>
      <c r="B40" s="81" t="s">
        <v>2330</v>
      </c>
      <c r="C40" s="95" t="s">
        <v>7720</v>
      </c>
      <c r="D40" s="95" t="s">
        <v>879</v>
      </c>
      <c r="E40" s="95" t="s">
        <v>1229</v>
      </c>
      <c r="F40" s="95" t="s">
        <v>7617</v>
      </c>
      <c r="G40" s="95"/>
    </row>
    <row r="41" spans="1:7" ht="15.6" x14ac:dyDescent="0.25">
      <c r="A41" s="81" t="s">
        <v>2181</v>
      </c>
      <c r="B41" s="81" t="s">
        <v>2187</v>
      </c>
      <c r="C41" s="95">
        <v>1</v>
      </c>
      <c r="D41" s="95" t="s">
        <v>578</v>
      </c>
      <c r="E41" s="95" t="s">
        <v>4000</v>
      </c>
      <c r="F41" s="95" t="s">
        <v>7617</v>
      </c>
      <c r="G41" s="95"/>
    </row>
    <row r="42" spans="1:7" ht="15.6" x14ac:dyDescent="0.25">
      <c r="A42" s="81" t="s">
        <v>1583</v>
      </c>
      <c r="B42" s="81" t="s">
        <v>1591</v>
      </c>
      <c r="C42" s="95">
        <v>1</v>
      </c>
      <c r="D42" s="95" t="s">
        <v>1589</v>
      </c>
      <c r="E42" s="95" t="s">
        <v>7537</v>
      </c>
      <c r="F42" s="95" t="s">
        <v>7617</v>
      </c>
      <c r="G42" s="95"/>
    </row>
    <row r="43" spans="1:7" ht="15.6" x14ac:dyDescent="0.25">
      <c r="A43" s="81" t="s">
        <v>1583</v>
      </c>
      <c r="B43" s="81" t="s">
        <v>1591</v>
      </c>
      <c r="C43" s="95" t="s">
        <v>7720</v>
      </c>
      <c r="D43" s="95" t="s">
        <v>7626</v>
      </c>
      <c r="E43" s="95" t="s">
        <v>7536</v>
      </c>
      <c r="F43" s="95" t="s">
        <v>7617</v>
      </c>
      <c r="G43" s="95"/>
    </row>
    <row r="44" spans="1:7" ht="15.6" x14ac:dyDescent="0.25">
      <c r="A44" s="81" t="s">
        <v>1583</v>
      </c>
      <c r="B44" s="81" t="s">
        <v>1591</v>
      </c>
      <c r="C44" s="95" t="s">
        <v>7750</v>
      </c>
      <c r="D44" s="95" t="s">
        <v>879</v>
      </c>
      <c r="E44" s="95" t="s">
        <v>1281</v>
      </c>
      <c r="F44" s="95" t="s">
        <v>7617</v>
      </c>
      <c r="G44" s="95"/>
    </row>
    <row r="45" spans="1:7" ht="15.6" x14ac:dyDescent="0.25">
      <c r="A45" s="81" t="s">
        <v>2267</v>
      </c>
      <c r="B45" s="81" t="s">
        <v>2273</v>
      </c>
      <c r="C45" s="95">
        <v>1</v>
      </c>
      <c r="D45" s="95" t="s">
        <v>1844</v>
      </c>
      <c r="E45" s="95" t="s">
        <v>7538</v>
      </c>
      <c r="F45" s="95" t="s">
        <v>7617</v>
      </c>
      <c r="G45" s="95"/>
    </row>
    <row r="46" spans="1:7" ht="15.6" x14ac:dyDescent="0.25">
      <c r="A46" s="81" t="s">
        <v>2267</v>
      </c>
      <c r="B46" s="81" t="s">
        <v>2273</v>
      </c>
      <c r="C46" s="95" t="s">
        <v>7720</v>
      </c>
      <c r="D46" s="95" t="s">
        <v>7251</v>
      </c>
      <c r="E46" s="95" t="s">
        <v>7690</v>
      </c>
      <c r="F46" s="95" t="s">
        <v>7617</v>
      </c>
      <c r="G46" s="95"/>
    </row>
    <row r="47" spans="1:7" ht="15.6" x14ac:dyDescent="0.25">
      <c r="A47" s="81" t="s">
        <v>2267</v>
      </c>
      <c r="B47" s="81" t="s">
        <v>2273</v>
      </c>
      <c r="C47" s="95" t="s">
        <v>7750</v>
      </c>
      <c r="D47" s="95" t="s">
        <v>7707</v>
      </c>
      <c r="E47" s="95" t="s">
        <v>4000</v>
      </c>
      <c r="F47" s="95" t="s">
        <v>7617</v>
      </c>
      <c r="G47" s="95"/>
    </row>
    <row r="48" spans="1:7" ht="15.6" x14ac:dyDescent="0.25">
      <c r="A48" s="81" t="s">
        <v>3462</v>
      </c>
      <c r="B48" s="81" t="s">
        <v>3467</v>
      </c>
      <c r="C48" s="95">
        <v>1</v>
      </c>
      <c r="D48" s="95" t="s">
        <v>7523</v>
      </c>
      <c r="E48" s="95" t="s">
        <v>4000</v>
      </c>
      <c r="F48" s="95" t="s">
        <v>4110</v>
      </c>
      <c r="G48" s="95"/>
    </row>
    <row r="49" spans="1:7" ht="15.6" x14ac:dyDescent="0.25">
      <c r="A49" s="81" t="s">
        <v>2517</v>
      </c>
      <c r="B49" s="81" t="s">
        <v>2524</v>
      </c>
      <c r="C49" s="95">
        <v>1</v>
      </c>
      <c r="D49" s="95" t="s">
        <v>2522</v>
      </c>
      <c r="E49" s="95" t="s">
        <v>7539</v>
      </c>
      <c r="F49" s="95" t="s">
        <v>7617</v>
      </c>
      <c r="G49" s="95"/>
    </row>
    <row r="50" spans="1:7" ht="15.6" x14ac:dyDescent="0.25">
      <c r="A50" s="81" t="s">
        <v>2517</v>
      </c>
      <c r="B50" s="81" t="s">
        <v>2524</v>
      </c>
      <c r="C50" s="95" t="s">
        <v>7720</v>
      </c>
      <c r="D50" s="95" t="s">
        <v>7627</v>
      </c>
      <c r="E50" s="95" t="s">
        <v>7691</v>
      </c>
      <c r="F50" s="95" t="s">
        <v>7617</v>
      </c>
      <c r="G50" s="95"/>
    </row>
    <row r="51" spans="1:7" ht="15.6" x14ac:dyDescent="0.25">
      <c r="A51" s="81" t="s">
        <v>2517</v>
      </c>
      <c r="B51" s="81" t="s">
        <v>2524</v>
      </c>
      <c r="C51" s="95" t="s">
        <v>7750</v>
      </c>
      <c r="D51" s="95" t="s">
        <v>1621</v>
      </c>
      <c r="E51" s="95" t="s">
        <v>4000</v>
      </c>
      <c r="F51" s="95" t="s">
        <v>7617</v>
      </c>
      <c r="G51" s="95"/>
    </row>
    <row r="52" spans="1:7" ht="15.6" x14ac:dyDescent="0.25">
      <c r="A52" s="81" t="s">
        <v>3245</v>
      </c>
      <c r="B52" s="81" t="s">
        <v>3249</v>
      </c>
      <c r="C52" s="95">
        <v>1</v>
      </c>
      <c r="D52" s="95" t="s">
        <v>3255</v>
      </c>
      <c r="E52" s="95" t="s">
        <v>7540</v>
      </c>
      <c r="F52" s="95" t="s">
        <v>7617</v>
      </c>
      <c r="G52" s="95"/>
    </row>
    <row r="53" spans="1:7" ht="15.6" x14ac:dyDescent="0.25">
      <c r="A53" s="81" t="s">
        <v>3245</v>
      </c>
      <c r="B53" s="81" t="s">
        <v>3249</v>
      </c>
      <c r="C53" s="95" t="s">
        <v>7720</v>
      </c>
      <c r="D53" s="95" t="s">
        <v>7628</v>
      </c>
      <c r="E53" s="95" t="s">
        <v>7692</v>
      </c>
      <c r="F53" s="95" t="s">
        <v>7617</v>
      </c>
      <c r="G53" s="95"/>
    </row>
    <row r="54" spans="1:7" ht="15.6" x14ac:dyDescent="0.25">
      <c r="A54" s="81" t="s">
        <v>3245</v>
      </c>
      <c r="B54" s="81" t="s">
        <v>3249</v>
      </c>
      <c r="C54" s="95" t="s">
        <v>7750</v>
      </c>
      <c r="D54" s="95" t="s">
        <v>7724</v>
      </c>
      <c r="E54" s="95" t="s">
        <v>4000</v>
      </c>
      <c r="F54" s="95" t="s">
        <v>7617</v>
      </c>
      <c r="G54" s="95"/>
    </row>
    <row r="55" spans="1:7" ht="15.6" x14ac:dyDescent="0.25">
      <c r="A55" s="81" t="s">
        <v>2816</v>
      </c>
      <c r="B55" s="81" t="s">
        <v>2822</v>
      </c>
      <c r="C55" s="95">
        <v>1</v>
      </c>
      <c r="D55" s="95" t="s">
        <v>2820</v>
      </c>
      <c r="E55" s="95" t="s">
        <v>7541</v>
      </c>
      <c r="F55" s="95" t="s">
        <v>7617</v>
      </c>
      <c r="G55" s="95"/>
    </row>
    <row r="56" spans="1:7" ht="15.6" x14ac:dyDescent="0.25">
      <c r="A56" s="81" t="s">
        <v>2816</v>
      </c>
      <c r="B56" s="81" t="s">
        <v>2822</v>
      </c>
      <c r="C56" s="95" t="s">
        <v>7720</v>
      </c>
      <c r="D56" s="95" t="s">
        <v>7629</v>
      </c>
      <c r="E56" s="95" t="s">
        <v>7693</v>
      </c>
      <c r="F56" s="95" t="s">
        <v>7617</v>
      </c>
      <c r="G56" s="95"/>
    </row>
    <row r="57" spans="1:7" ht="15.6" x14ac:dyDescent="0.25">
      <c r="A57" s="81" t="s">
        <v>2816</v>
      </c>
      <c r="B57" s="81" t="s">
        <v>2822</v>
      </c>
      <c r="C57" s="95" t="s">
        <v>7750</v>
      </c>
      <c r="D57" s="95" t="s">
        <v>7738</v>
      </c>
      <c r="E57" s="95" t="s">
        <v>1298</v>
      </c>
      <c r="F57" s="95" t="s">
        <v>7617</v>
      </c>
      <c r="G57" s="95"/>
    </row>
    <row r="58" spans="1:7" ht="15.6" x14ac:dyDescent="0.25">
      <c r="A58" s="81" t="s">
        <v>2816</v>
      </c>
      <c r="B58" s="81" t="s">
        <v>2822</v>
      </c>
      <c r="C58" s="95" t="s">
        <v>7751</v>
      </c>
      <c r="D58" s="95" t="s">
        <v>7744</v>
      </c>
      <c r="E58" s="95" t="s">
        <v>450</v>
      </c>
      <c r="F58" s="95" t="s">
        <v>7617</v>
      </c>
      <c r="G58" s="95"/>
    </row>
    <row r="59" spans="1:7" ht="15.6" x14ac:dyDescent="0.25">
      <c r="A59" s="81" t="s">
        <v>2816</v>
      </c>
      <c r="B59" s="81" t="s">
        <v>2822</v>
      </c>
      <c r="C59" s="95" t="s">
        <v>7755</v>
      </c>
      <c r="D59" s="95" t="s">
        <v>578</v>
      </c>
      <c r="E59" s="95" t="s">
        <v>4000</v>
      </c>
      <c r="F59" s="95" t="s">
        <v>7617</v>
      </c>
      <c r="G59" s="95"/>
    </row>
    <row r="60" spans="1:7" ht="15.6" x14ac:dyDescent="0.25">
      <c r="A60" s="81" t="s">
        <v>1987</v>
      </c>
      <c r="B60" s="81" t="s">
        <v>1992</v>
      </c>
      <c r="C60" s="95">
        <v>1</v>
      </c>
      <c r="D60" s="95" t="s">
        <v>1990</v>
      </c>
      <c r="E60" s="95" t="s">
        <v>7542</v>
      </c>
      <c r="F60" s="95" t="s">
        <v>7617</v>
      </c>
      <c r="G60" s="95"/>
    </row>
    <row r="61" spans="1:7" ht="15.6" x14ac:dyDescent="0.25">
      <c r="A61" s="81" t="s">
        <v>1987</v>
      </c>
      <c r="B61" s="81" t="s">
        <v>1992</v>
      </c>
      <c r="C61" s="95" t="s">
        <v>7720</v>
      </c>
      <c r="D61" s="95" t="s">
        <v>7630</v>
      </c>
      <c r="E61" s="95" t="s">
        <v>1281</v>
      </c>
      <c r="F61" s="95" t="s">
        <v>7617</v>
      </c>
      <c r="G61" s="95"/>
    </row>
    <row r="62" spans="1:7" ht="15.6" x14ac:dyDescent="0.25">
      <c r="A62" s="81" t="s">
        <v>2106</v>
      </c>
      <c r="B62" s="81" t="s">
        <v>2113</v>
      </c>
      <c r="C62" s="95">
        <v>1</v>
      </c>
      <c r="D62" s="95" t="s">
        <v>2111</v>
      </c>
      <c r="E62" s="95" t="s">
        <v>7142</v>
      </c>
      <c r="F62" s="95" t="s">
        <v>7617</v>
      </c>
      <c r="G62" s="95" t="s">
        <v>10013</v>
      </c>
    </row>
    <row r="63" spans="1:7" ht="15.6" x14ac:dyDescent="0.25">
      <c r="A63" s="81" t="s">
        <v>2106</v>
      </c>
      <c r="B63" s="81" t="s">
        <v>2113</v>
      </c>
      <c r="C63" s="95" t="s">
        <v>7720</v>
      </c>
      <c r="D63" s="95" t="s">
        <v>7631</v>
      </c>
      <c r="E63" s="95" t="s">
        <v>7691</v>
      </c>
      <c r="F63" s="95" t="s">
        <v>7617</v>
      </c>
      <c r="G63" s="95"/>
    </row>
    <row r="64" spans="1:7" ht="15.6" x14ac:dyDescent="0.25">
      <c r="A64" s="81" t="s">
        <v>2106</v>
      </c>
      <c r="B64" s="81" t="s">
        <v>2113</v>
      </c>
      <c r="C64" s="95" t="s">
        <v>7750</v>
      </c>
      <c r="D64" s="95" t="s">
        <v>1621</v>
      </c>
      <c r="E64" s="95" t="s">
        <v>7700</v>
      </c>
      <c r="F64" s="95" t="s">
        <v>7617</v>
      </c>
      <c r="G64" s="95"/>
    </row>
    <row r="65" spans="1:7" ht="15.6" x14ac:dyDescent="0.25">
      <c r="A65" s="81" t="s">
        <v>2106</v>
      </c>
      <c r="B65" s="81" t="s">
        <v>2113</v>
      </c>
      <c r="C65" s="95" t="s">
        <v>7751</v>
      </c>
      <c r="D65" s="95" t="s">
        <v>1274</v>
      </c>
      <c r="E65" s="95" t="s">
        <v>4000</v>
      </c>
      <c r="F65" s="95" t="s">
        <v>7617</v>
      </c>
      <c r="G65" s="95"/>
    </row>
    <row r="66" spans="1:7" ht="15.6" x14ac:dyDescent="0.25">
      <c r="A66" s="81" t="s">
        <v>3015</v>
      </c>
      <c r="B66" s="81" t="s">
        <v>3021</v>
      </c>
      <c r="C66" s="95">
        <v>1</v>
      </c>
      <c r="D66" s="95" t="s">
        <v>3019</v>
      </c>
      <c r="E66" s="95" t="s">
        <v>7543</v>
      </c>
      <c r="F66" s="95" t="s">
        <v>7617</v>
      </c>
      <c r="G66" s="95"/>
    </row>
    <row r="67" spans="1:7" ht="15.6" x14ac:dyDescent="0.25">
      <c r="A67" s="81" t="s">
        <v>3015</v>
      </c>
      <c r="B67" s="81" t="s">
        <v>3021</v>
      </c>
      <c r="C67" s="95" t="s">
        <v>7720</v>
      </c>
      <c r="D67" s="95" t="s">
        <v>7632</v>
      </c>
      <c r="E67" s="95" t="s">
        <v>7173</v>
      </c>
      <c r="F67" s="95" t="s">
        <v>7617</v>
      </c>
      <c r="G67" s="95"/>
    </row>
    <row r="68" spans="1:7" ht="15.6" x14ac:dyDescent="0.25">
      <c r="A68" s="81" t="s">
        <v>3015</v>
      </c>
      <c r="B68" s="81" t="s">
        <v>3021</v>
      </c>
      <c r="C68" s="95" t="s">
        <v>7750</v>
      </c>
      <c r="D68" s="95" t="s">
        <v>7733</v>
      </c>
      <c r="E68" s="95" t="s">
        <v>7691</v>
      </c>
      <c r="F68" s="95" t="s">
        <v>7617</v>
      </c>
      <c r="G68" s="95"/>
    </row>
    <row r="69" spans="1:7" ht="15.6" x14ac:dyDescent="0.25">
      <c r="A69" s="81" t="s">
        <v>3015</v>
      </c>
      <c r="B69" s="81" t="s">
        <v>3021</v>
      </c>
      <c r="C69" s="95" t="s">
        <v>7751</v>
      </c>
      <c r="D69" s="95" t="s">
        <v>1621</v>
      </c>
      <c r="E69" s="95" t="s">
        <v>7700</v>
      </c>
      <c r="F69" s="95" t="s">
        <v>7617</v>
      </c>
      <c r="G69" s="95"/>
    </row>
    <row r="70" spans="1:7" ht="15.6" x14ac:dyDescent="0.25">
      <c r="A70" s="81" t="s">
        <v>3015</v>
      </c>
      <c r="B70" s="81" t="s">
        <v>3021</v>
      </c>
      <c r="C70" s="95" t="s">
        <v>7755</v>
      </c>
      <c r="D70" s="95" t="s">
        <v>1274</v>
      </c>
      <c r="E70" s="95" t="s">
        <v>4000</v>
      </c>
      <c r="F70" s="95" t="s">
        <v>7617</v>
      </c>
      <c r="G70" s="95"/>
    </row>
    <row r="71" spans="1:7" ht="15.6" x14ac:dyDescent="0.25">
      <c r="A71" s="81" t="s">
        <v>1845</v>
      </c>
      <c r="B71" s="81" t="s">
        <v>1850</v>
      </c>
      <c r="C71" s="95">
        <v>1</v>
      </c>
      <c r="D71" s="95" t="s">
        <v>1680</v>
      </c>
      <c r="E71" s="95" t="s">
        <v>3014</v>
      </c>
      <c r="F71" s="95" t="s">
        <v>7617</v>
      </c>
      <c r="G71" s="95"/>
    </row>
    <row r="72" spans="1:7" ht="15.6" x14ac:dyDescent="0.25">
      <c r="A72" s="81" t="s">
        <v>1845</v>
      </c>
      <c r="B72" s="81" t="s">
        <v>1850</v>
      </c>
      <c r="C72" s="95" t="s">
        <v>7720</v>
      </c>
      <c r="D72" s="95" t="s">
        <v>1857</v>
      </c>
      <c r="E72" s="95" t="s">
        <v>1166</v>
      </c>
      <c r="F72" s="95" t="s">
        <v>7617</v>
      </c>
      <c r="G72" s="95"/>
    </row>
    <row r="73" spans="1:7" ht="15.6" x14ac:dyDescent="0.25">
      <c r="A73" s="81" t="s">
        <v>3582</v>
      </c>
      <c r="B73" s="81" t="s">
        <v>3589</v>
      </c>
      <c r="C73" s="95">
        <v>1</v>
      </c>
      <c r="D73" s="95" t="s">
        <v>2238</v>
      </c>
      <c r="E73" s="95" t="s">
        <v>4000</v>
      </c>
      <c r="F73" s="95" t="s">
        <v>4110</v>
      </c>
      <c r="G73" s="95"/>
    </row>
    <row r="74" spans="1:7" ht="15.6" x14ac:dyDescent="0.25">
      <c r="A74" s="81" t="s">
        <v>3552</v>
      </c>
      <c r="B74" s="81" t="s">
        <v>3557</v>
      </c>
      <c r="C74" s="95">
        <v>1</v>
      </c>
      <c r="D74" s="95" t="s">
        <v>3535</v>
      </c>
      <c r="E74" s="95" t="s">
        <v>4000</v>
      </c>
      <c r="F74" s="95" t="s">
        <v>4110</v>
      </c>
      <c r="G74" s="95"/>
    </row>
    <row r="75" spans="1:7" ht="15.6" x14ac:dyDescent="0.25">
      <c r="A75" s="81" t="s">
        <v>2663</v>
      </c>
      <c r="B75" s="81" t="s">
        <v>2667</v>
      </c>
      <c r="C75" s="95">
        <v>1</v>
      </c>
      <c r="D75" s="95" t="s">
        <v>1680</v>
      </c>
      <c r="E75" s="95" t="s">
        <v>4000</v>
      </c>
      <c r="F75" s="95" t="s">
        <v>7617</v>
      </c>
      <c r="G75" s="95"/>
    </row>
    <row r="76" spans="1:7" ht="15.6" x14ac:dyDescent="0.25">
      <c r="A76" s="81" t="s">
        <v>3202</v>
      </c>
      <c r="B76" s="81" t="s">
        <v>3205</v>
      </c>
      <c r="C76" s="95">
        <v>1</v>
      </c>
      <c r="D76" s="95" t="s">
        <v>578</v>
      </c>
      <c r="E76" s="95" t="s">
        <v>4000</v>
      </c>
      <c r="F76" s="95" t="s">
        <v>7617</v>
      </c>
      <c r="G76" s="95"/>
    </row>
    <row r="77" spans="1:7" ht="15.6" x14ac:dyDescent="0.25">
      <c r="A77" s="81" t="s">
        <v>3606</v>
      </c>
      <c r="B77" s="81" t="s">
        <v>3612</v>
      </c>
      <c r="C77" s="95">
        <v>1</v>
      </c>
      <c r="D77" s="95" t="s">
        <v>1818</v>
      </c>
      <c r="E77" s="95" t="s">
        <v>4000</v>
      </c>
      <c r="F77" s="95" t="s">
        <v>7617</v>
      </c>
      <c r="G77" s="95"/>
    </row>
    <row r="78" spans="1:7" ht="15.6" x14ac:dyDescent="0.25">
      <c r="A78" s="81" t="s">
        <v>1312</v>
      </c>
      <c r="B78" s="81" t="s">
        <v>1320</v>
      </c>
      <c r="C78" s="95">
        <v>1</v>
      </c>
      <c r="D78" s="95" t="s">
        <v>1318</v>
      </c>
      <c r="E78" s="95" t="s">
        <v>7544</v>
      </c>
      <c r="F78" s="95" t="s">
        <v>4110</v>
      </c>
      <c r="G78" s="95"/>
    </row>
    <row r="79" spans="1:7" ht="15.6" x14ac:dyDescent="0.25">
      <c r="A79" s="81" t="s">
        <v>902</v>
      </c>
      <c r="B79" s="81" t="s">
        <v>907</v>
      </c>
      <c r="C79" s="95">
        <v>1</v>
      </c>
      <c r="D79" s="95" t="s">
        <v>355</v>
      </c>
      <c r="E79" s="95" t="s">
        <v>912</v>
      </c>
      <c r="F79" s="95" t="s">
        <v>7617</v>
      </c>
      <c r="G79" s="95"/>
    </row>
    <row r="80" spans="1:7" ht="15.6" x14ac:dyDescent="0.25">
      <c r="A80" s="81" t="s">
        <v>412</v>
      </c>
      <c r="B80" s="81" t="s">
        <v>424</v>
      </c>
      <c r="C80" s="95">
        <v>1</v>
      </c>
      <c r="D80" s="95" t="s">
        <v>421</v>
      </c>
      <c r="E80" s="95" t="s">
        <v>431</v>
      </c>
      <c r="F80" s="95" t="s">
        <v>7617</v>
      </c>
      <c r="G80" s="95"/>
    </row>
    <row r="81" spans="1:7" ht="15.6" x14ac:dyDescent="0.25">
      <c r="A81" s="81" t="s">
        <v>2020</v>
      </c>
      <c r="B81" s="81" t="s">
        <v>2027</v>
      </c>
      <c r="C81" s="95">
        <v>1</v>
      </c>
      <c r="D81" s="95" t="s">
        <v>2025</v>
      </c>
      <c r="E81" s="95" t="s">
        <v>7545</v>
      </c>
      <c r="F81" s="95" t="s">
        <v>4110</v>
      </c>
      <c r="G81" s="95"/>
    </row>
    <row r="82" spans="1:7" ht="15.6" x14ac:dyDescent="0.25">
      <c r="A82" s="81" t="s">
        <v>2020</v>
      </c>
      <c r="B82" s="81" t="s">
        <v>2027</v>
      </c>
      <c r="C82" s="95" t="s">
        <v>7770</v>
      </c>
      <c r="D82" s="95" t="s">
        <v>7771</v>
      </c>
      <c r="E82" s="95" t="s">
        <v>7772</v>
      </c>
      <c r="F82" s="95" t="s">
        <v>4110</v>
      </c>
      <c r="G82" s="95"/>
    </row>
    <row r="83" spans="1:7" ht="15.6" x14ac:dyDescent="0.25">
      <c r="A83" s="81" t="s">
        <v>2020</v>
      </c>
      <c r="B83" s="81" t="s">
        <v>2027</v>
      </c>
      <c r="C83" s="95" t="s">
        <v>7720</v>
      </c>
      <c r="D83" s="95" t="s">
        <v>7633</v>
      </c>
      <c r="E83" s="95" t="s">
        <v>7571</v>
      </c>
      <c r="F83" s="95" t="s">
        <v>4110</v>
      </c>
      <c r="G83" s="95"/>
    </row>
    <row r="84" spans="1:7" ht="15.6" x14ac:dyDescent="0.25">
      <c r="A84" s="81" t="s">
        <v>2020</v>
      </c>
      <c r="B84" s="81" t="s">
        <v>2027</v>
      </c>
      <c r="C84" s="95" t="s">
        <v>7750</v>
      </c>
      <c r="D84" s="95" t="s">
        <v>682</v>
      </c>
      <c r="E84" s="95" t="s">
        <v>7596</v>
      </c>
      <c r="F84" s="95" t="s">
        <v>4110</v>
      </c>
      <c r="G84" s="95"/>
    </row>
    <row r="85" spans="1:7" ht="15.6" x14ac:dyDescent="0.25">
      <c r="A85" s="81" t="s">
        <v>2020</v>
      </c>
      <c r="B85" s="81" t="s">
        <v>2027</v>
      </c>
      <c r="C85" s="95" t="s">
        <v>7751</v>
      </c>
      <c r="D85" s="95" t="s">
        <v>7565</v>
      </c>
      <c r="E85" s="95" t="s">
        <v>7691</v>
      </c>
      <c r="F85" s="95" t="s">
        <v>4110</v>
      </c>
      <c r="G85" s="95"/>
    </row>
    <row r="86" spans="1:7" ht="15.6" x14ac:dyDescent="0.25">
      <c r="A86" s="81" t="s">
        <v>2020</v>
      </c>
      <c r="B86" s="81" t="s">
        <v>2027</v>
      </c>
      <c r="C86" s="95" t="s">
        <v>7755</v>
      </c>
      <c r="D86" s="95" t="s">
        <v>1621</v>
      </c>
      <c r="E86" s="95" t="s">
        <v>7707</v>
      </c>
      <c r="F86" s="95" t="s">
        <v>4110</v>
      </c>
      <c r="G86" s="95"/>
    </row>
    <row r="87" spans="1:7" ht="15.6" x14ac:dyDescent="0.25">
      <c r="A87" s="81" t="s">
        <v>2020</v>
      </c>
      <c r="B87" s="81" t="s">
        <v>2027</v>
      </c>
      <c r="C87" s="95" t="s">
        <v>7758</v>
      </c>
      <c r="D87" s="95" t="s">
        <v>1094</v>
      </c>
      <c r="E87" s="95" t="s">
        <v>1298</v>
      </c>
      <c r="F87" s="95" t="s">
        <v>4110</v>
      </c>
      <c r="G87" s="95"/>
    </row>
    <row r="88" spans="1:7" ht="15.6" x14ac:dyDescent="0.25">
      <c r="A88" s="81" t="s">
        <v>2020</v>
      </c>
      <c r="B88" s="81" t="s">
        <v>2027</v>
      </c>
      <c r="C88" s="95" t="s">
        <v>7762</v>
      </c>
      <c r="D88" s="95" t="s">
        <v>7744</v>
      </c>
      <c r="E88" s="95" t="s">
        <v>7700</v>
      </c>
      <c r="F88" s="95" t="s">
        <v>4110</v>
      </c>
      <c r="G88" s="95"/>
    </row>
    <row r="89" spans="1:7" ht="15.6" x14ac:dyDescent="0.25">
      <c r="A89" s="81" t="s">
        <v>2020</v>
      </c>
      <c r="B89" s="81" t="s">
        <v>2027</v>
      </c>
      <c r="C89" s="95" t="s">
        <v>7764</v>
      </c>
      <c r="D89" s="95" t="s">
        <v>7765</v>
      </c>
      <c r="E89" s="95" t="s">
        <v>7766</v>
      </c>
      <c r="F89" s="95" t="s">
        <v>4110</v>
      </c>
      <c r="G89" s="95"/>
    </row>
    <row r="90" spans="1:7" ht="15.6" x14ac:dyDescent="0.25">
      <c r="A90" s="81" t="s">
        <v>2020</v>
      </c>
      <c r="B90" s="81" t="s">
        <v>2027</v>
      </c>
      <c r="C90" s="95" t="s">
        <v>7767</v>
      </c>
      <c r="D90" s="95" t="s">
        <v>7768</v>
      </c>
      <c r="E90" s="95" t="s">
        <v>7769</v>
      </c>
      <c r="F90" s="95" t="s">
        <v>4110</v>
      </c>
      <c r="G90" s="95"/>
    </row>
    <row r="91" spans="1:7" ht="15.6" x14ac:dyDescent="0.25">
      <c r="A91" s="81" t="s">
        <v>3473</v>
      </c>
      <c r="B91" s="81" t="s">
        <v>3477</v>
      </c>
      <c r="C91" s="95">
        <v>1</v>
      </c>
      <c r="D91" s="95" t="s">
        <v>1680</v>
      </c>
      <c r="E91" s="95" t="s">
        <v>4000</v>
      </c>
      <c r="F91" s="95" t="s">
        <v>7617</v>
      </c>
      <c r="G91" s="95"/>
    </row>
    <row r="92" spans="1:7" ht="15.6" x14ac:dyDescent="0.25">
      <c r="A92" s="81" t="s">
        <v>3404</v>
      </c>
      <c r="B92" s="81" t="s">
        <v>3409</v>
      </c>
      <c r="C92" s="95">
        <v>1</v>
      </c>
      <c r="D92" s="95" t="s">
        <v>578</v>
      </c>
      <c r="E92" s="95" t="s">
        <v>4000</v>
      </c>
      <c r="F92" s="95" t="s">
        <v>7617</v>
      </c>
      <c r="G92" s="95"/>
    </row>
    <row r="93" spans="1:7" ht="15.6" x14ac:dyDescent="0.25">
      <c r="A93" s="81" t="s">
        <v>3513</v>
      </c>
      <c r="B93" s="81" t="s">
        <v>3518</v>
      </c>
      <c r="C93" s="95">
        <v>1</v>
      </c>
      <c r="D93" s="95" t="s">
        <v>1680</v>
      </c>
      <c r="E93" s="95" t="s">
        <v>4000</v>
      </c>
      <c r="F93" s="95" t="s">
        <v>7617</v>
      </c>
      <c r="G93" s="95"/>
    </row>
    <row r="94" spans="1:7" ht="15.6" x14ac:dyDescent="0.25">
      <c r="A94" s="81" t="s">
        <v>3452</v>
      </c>
      <c r="B94" s="81" t="s">
        <v>3456</v>
      </c>
      <c r="C94" s="95">
        <v>1</v>
      </c>
      <c r="D94" s="95" t="s">
        <v>2644</v>
      </c>
      <c r="E94" s="95" t="s">
        <v>4000</v>
      </c>
      <c r="F94" s="95" t="s">
        <v>7617</v>
      </c>
      <c r="G94" s="95"/>
    </row>
    <row r="95" spans="1:7" ht="15.6" x14ac:dyDescent="0.25">
      <c r="A95" s="81" t="s">
        <v>3433</v>
      </c>
      <c r="B95" s="81" t="s">
        <v>3438</v>
      </c>
      <c r="C95" s="95">
        <v>1</v>
      </c>
      <c r="D95" s="95" t="s">
        <v>2644</v>
      </c>
      <c r="E95" s="95" t="s">
        <v>663</v>
      </c>
      <c r="F95" s="95" t="s">
        <v>7617</v>
      </c>
      <c r="G95" s="95"/>
    </row>
    <row r="96" spans="1:7" ht="15.6" x14ac:dyDescent="0.25">
      <c r="A96" s="81" t="s">
        <v>2852</v>
      </c>
      <c r="B96" s="81" t="s">
        <v>2856</v>
      </c>
      <c r="C96" s="95">
        <v>1</v>
      </c>
      <c r="D96" s="95" t="s">
        <v>578</v>
      </c>
      <c r="E96" s="95" t="s">
        <v>4000</v>
      </c>
      <c r="F96" s="95" t="s">
        <v>7617</v>
      </c>
      <c r="G96" s="95"/>
    </row>
    <row r="97" spans="1:7" ht="15.6" x14ac:dyDescent="0.25">
      <c r="A97" s="81" t="s">
        <v>2142</v>
      </c>
      <c r="B97" s="81" t="s">
        <v>2147</v>
      </c>
      <c r="C97" s="95">
        <v>1</v>
      </c>
      <c r="D97" s="95" t="s">
        <v>2145</v>
      </c>
      <c r="E97" s="95" t="s">
        <v>7546</v>
      </c>
      <c r="F97" s="95" t="s">
        <v>7617</v>
      </c>
      <c r="G97" s="95"/>
    </row>
    <row r="98" spans="1:7" ht="15.6" x14ac:dyDescent="0.25">
      <c r="A98" s="81" t="s">
        <v>2142</v>
      </c>
      <c r="B98" s="81" t="s">
        <v>2147</v>
      </c>
      <c r="C98" s="95" t="s">
        <v>7720</v>
      </c>
      <c r="D98" s="95" t="s">
        <v>7634</v>
      </c>
      <c r="E98" s="95" t="s">
        <v>7694</v>
      </c>
      <c r="F98" s="95" t="s">
        <v>7617</v>
      </c>
      <c r="G98" s="95"/>
    </row>
    <row r="99" spans="1:7" ht="15.6" x14ac:dyDescent="0.25">
      <c r="A99" s="81" t="s">
        <v>2142</v>
      </c>
      <c r="B99" s="81" t="s">
        <v>2147</v>
      </c>
      <c r="C99" s="95" t="s">
        <v>7750</v>
      </c>
      <c r="D99" s="95" t="s">
        <v>7734</v>
      </c>
      <c r="E99" s="95" t="s">
        <v>7749</v>
      </c>
      <c r="F99" s="95" t="s">
        <v>7617</v>
      </c>
      <c r="G99" s="95"/>
    </row>
    <row r="100" spans="1:7" ht="15.6" x14ac:dyDescent="0.25">
      <c r="A100" s="81" t="s">
        <v>2142</v>
      </c>
      <c r="B100" s="81" t="s">
        <v>2147</v>
      </c>
      <c r="C100" s="95" t="s">
        <v>7751</v>
      </c>
      <c r="D100" s="95" t="s">
        <v>1552</v>
      </c>
      <c r="E100" s="95" t="s">
        <v>133</v>
      </c>
      <c r="F100" s="95" t="s">
        <v>7617</v>
      </c>
      <c r="G100" s="95"/>
    </row>
    <row r="101" spans="1:7" ht="15.6" x14ac:dyDescent="0.25">
      <c r="A101" s="81" t="s">
        <v>2142</v>
      </c>
      <c r="B101" s="81" t="s">
        <v>2147</v>
      </c>
      <c r="C101" s="95" t="s">
        <v>7755</v>
      </c>
      <c r="D101" s="95" t="s">
        <v>7756</v>
      </c>
      <c r="E101" s="95" t="s">
        <v>6962</v>
      </c>
      <c r="F101" s="95" t="s">
        <v>7617</v>
      </c>
      <c r="G101" s="95"/>
    </row>
    <row r="102" spans="1:7" ht="15.6" x14ac:dyDescent="0.25">
      <c r="A102" s="81" t="s">
        <v>7760</v>
      </c>
      <c r="B102" s="81" t="s">
        <v>2147</v>
      </c>
      <c r="C102" s="95" t="s">
        <v>7758</v>
      </c>
      <c r="D102" s="95" t="s">
        <v>7759</v>
      </c>
      <c r="E102" s="95" t="s">
        <v>7761</v>
      </c>
      <c r="F102" s="95" t="s">
        <v>7617</v>
      </c>
      <c r="G102" s="95"/>
    </row>
    <row r="103" spans="1:7" ht="15.6" x14ac:dyDescent="0.25">
      <c r="A103" s="81" t="s">
        <v>7760</v>
      </c>
      <c r="B103" s="81" t="s">
        <v>2147</v>
      </c>
      <c r="C103" s="95" t="s">
        <v>7762</v>
      </c>
      <c r="D103" s="95" t="s">
        <v>7763</v>
      </c>
      <c r="E103" s="95" t="s">
        <v>2151</v>
      </c>
      <c r="F103" s="95" t="s">
        <v>7617</v>
      </c>
      <c r="G103" s="95"/>
    </row>
    <row r="104" spans="1:7" ht="15.6" x14ac:dyDescent="0.25">
      <c r="A104" s="81" t="s">
        <v>664</v>
      </c>
      <c r="B104" s="81" t="s">
        <v>679</v>
      </c>
      <c r="C104" s="95">
        <v>1</v>
      </c>
      <c r="D104" s="95" t="s">
        <v>673</v>
      </c>
      <c r="E104" s="95" t="s">
        <v>687</v>
      </c>
      <c r="F104" s="95" t="s">
        <v>7617</v>
      </c>
      <c r="G104" s="95"/>
    </row>
    <row r="105" spans="1:7" ht="15.6" x14ac:dyDescent="0.25">
      <c r="A105" s="81" t="s">
        <v>664</v>
      </c>
      <c r="B105" s="81" t="s">
        <v>679</v>
      </c>
      <c r="C105" s="95" t="s">
        <v>7720</v>
      </c>
      <c r="D105" s="95" t="s">
        <v>7635</v>
      </c>
      <c r="E105" s="95" t="s">
        <v>1311</v>
      </c>
      <c r="F105" s="95" t="s">
        <v>7617</v>
      </c>
      <c r="G105" s="95"/>
    </row>
    <row r="106" spans="1:7" ht="15.6" x14ac:dyDescent="0.25">
      <c r="A106" s="81" t="s">
        <v>1616</v>
      </c>
      <c r="B106" s="81" t="s">
        <v>1623</v>
      </c>
      <c r="C106" s="95">
        <v>1</v>
      </c>
      <c r="D106" s="95" t="s">
        <v>1626</v>
      </c>
      <c r="E106" s="95" t="s">
        <v>4000</v>
      </c>
      <c r="F106" s="95" t="s">
        <v>4110</v>
      </c>
      <c r="G106" s="95"/>
    </row>
    <row r="107" spans="1:7" ht="15.6" x14ac:dyDescent="0.25">
      <c r="A107" s="81" t="s">
        <v>3572</v>
      </c>
      <c r="B107" s="81" t="s">
        <v>3577</v>
      </c>
      <c r="C107" s="95">
        <v>1</v>
      </c>
      <c r="D107" s="95" t="s">
        <v>3581</v>
      </c>
      <c r="E107" s="95" t="s">
        <v>4000</v>
      </c>
      <c r="F107" s="95" t="s">
        <v>7617</v>
      </c>
      <c r="G107" s="95"/>
    </row>
    <row r="108" spans="1:7" ht="15.6" x14ac:dyDescent="0.25">
      <c r="A108" s="81" t="s">
        <v>3005</v>
      </c>
      <c r="B108" s="81" t="s">
        <v>3009</v>
      </c>
      <c r="C108" s="95">
        <v>1</v>
      </c>
      <c r="D108" s="95" t="s">
        <v>1680</v>
      </c>
      <c r="E108" s="95" t="s">
        <v>3014</v>
      </c>
      <c r="F108" s="95" t="s">
        <v>7617</v>
      </c>
      <c r="G108" s="95"/>
    </row>
    <row r="109" spans="1:7" ht="15.6" x14ac:dyDescent="0.25">
      <c r="A109" s="81" t="s">
        <v>3005</v>
      </c>
      <c r="B109" s="81" t="s">
        <v>3009</v>
      </c>
      <c r="C109" s="95" t="s">
        <v>7720</v>
      </c>
      <c r="D109" s="95" t="s">
        <v>1857</v>
      </c>
      <c r="E109" s="95" t="s">
        <v>4000</v>
      </c>
      <c r="F109" s="95" t="s">
        <v>7617</v>
      </c>
      <c r="G109" s="95"/>
    </row>
    <row r="110" spans="1:7" ht="15.6" x14ac:dyDescent="0.25">
      <c r="A110" s="81" t="s">
        <v>2846</v>
      </c>
      <c r="B110" s="81" t="s">
        <v>2850</v>
      </c>
      <c r="C110" s="95">
        <v>1</v>
      </c>
      <c r="D110" s="95" t="s">
        <v>2848</v>
      </c>
      <c r="E110" s="95" t="s">
        <v>7547</v>
      </c>
      <c r="F110" s="95" t="s">
        <v>7617</v>
      </c>
      <c r="G110" s="95"/>
    </row>
    <row r="111" spans="1:7" ht="15.6" x14ac:dyDescent="0.25">
      <c r="A111" s="81" t="s">
        <v>2846</v>
      </c>
      <c r="B111" s="81" t="s">
        <v>2850</v>
      </c>
      <c r="C111" s="95" t="s">
        <v>7720</v>
      </c>
      <c r="D111" s="95" t="s">
        <v>7636</v>
      </c>
      <c r="E111" s="95" t="s">
        <v>7695</v>
      </c>
      <c r="F111" s="95" t="s">
        <v>7617</v>
      </c>
      <c r="G111" s="95"/>
    </row>
    <row r="112" spans="1:7" ht="15.6" x14ac:dyDescent="0.25">
      <c r="A112" s="81" t="s">
        <v>2846</v>
      </c>
      <c r="B112" s="81" t="s">
        <v>2850</v>
      </c>
      <c r="C112" s="95" t="s">
        <v>7750</v>
      </c>
      <c r="D112" s="95" t="s">
        <v>7729</v>
      </c>
      <c r="E112" s="95" t="s">
        <v>7707</v>
      </c>
      <c r="F112" s="95" t="s">
        <v>7617</v>
      </c>
      <c r="G112" s="95"/>
    </row>
    <row r="113" spans="1:7" ht="15.6" x14ac:dyDescent="0.25">
      <c r="A113" s="81" t="s">
        <v>2846</v>
      </c>
      <c r="B113" s="81" t="s">
        <v>2850</v>
      </c>
      <c r="C113" s="95" t="s">
        <v>7751</v>
      </c>
      <c r="D113" s="95" t="s">
        <v>1094</v>
      </c>
      <c r="E113" s="95" t="s">
        <v>1478</v>
      </c>
      <c r="F113" s="95" t="s">
        <v>7617</v>
      </c>
      <c r="G113" s="95"/>
    </row>
    <row r="114" spans="1:7" ht="15.6" x14ac:dyDescent="0.25">
      <c r="A114" s="81" t="s">
        <v>527</v>
      </c>
      <c r="B114" s="81" t="s">
        <v>538</v>
      </c>
      <c r="C114" s="95">
        <v>1</v>
      </c>
      <c r="D114" s="95" t="s">
        <v>534</v>
      </c>
      <c r="E114" s="95" t="s">
        <v>547</v>
      </c>
      <c r="F114" s="95" t="s">
        <v>7617</v>
      </c>
      <c r="G114" s="95"/>
    </row>
    <row r="115" spans="1:7" ht="15.6" x14ac:dyDescent="0.25">
      <c r="A115" s="81" t="s">
        <v>3256</v>
      </c>
      <c r="B115" s="81" t="s">
        <v>3262</v>
      </c>
      <c r="C115" s="95">
        <v>1</v>
      </c>
      <c r="D115" s="95" t="s">
        <v>578</v>
      </c>
      <c r="E115" s="95" t="s">
        <v>663</v>
      </c>
      <c r="F115" s="95" t="s">
        <v>7617</v>
      </c>
      <c r="G115" s="95"/>
    </row>
    <row r="116" spans="1:7" ht="15.6" x14ac:dyDescent="0.25">
      <c r="A116" s="81" t="s">
        <v>7618</v>
      </c>
      <c r="B116" s="81" t="s">
        <v>1905</v>
      </c>
      <c r="C116" s="95">
        <v>1</v>
      </c>
      <c r="D116" s="95" t="s">
        <v>7619</v>
      </c>
      <c r="E116" s="95" t="s">
        <v>4000</v>
      </c>
      <c r="F116" s="95" t="s">
        <v>7617</v>
      </c>
      <c r="G116" s="95" t="s">
        <v>10021</v>
      </c>
    </row>
    <row r="117" spans="1:7" ht="15.6" x14ac:dyDescent="0.25">
      <c r="A117" s="81" t="s">
        <v>1230</v>
      </c>
      <c r="B117" s="81" t="s">
        <v>1235</v>
      </c>
      <c r="C117" s="95">
        <v>1</v>
      </c>
      <c r="D117" s="95" t="s">
        <v>1233</v>
      </c>
      <c r="E117" s="95" t="s">
        <v>7548</v>
      </c>
      <c r="F117" s="95" t="s">
        <v>7617</v>
      </c>
      <c r="G117" s="95"/>
    </row>
    <row r="118" spans="1:7" ht="15.6" x14ac:dyDescent="0.25">
      <c r="A118" s="81" t="s">
        <v>1230</v>
      </c>
      <c r="B118" s="81" t="s">
        <v>1235</v>
      </c>
      <c r="C118" s="95" t="s">
        <v>7720</v>
      </c>
      <c r="D118" s="95" t="s">
        <v>1242</v>
      </c>
      <c r="E118" s="95" t="s">
        <v>1243</v>
      </c>
      <c r="F118" s="95" t="s">
        <v>7617</v>
      </c>
      <c r="G118" s="95"/>
    </row>
    <row r="119" spans="1:7" ht="15.6" x14ac:dyDescent="0.25">
      <c r="A119" s="81" t="s">
        <v>3128</v>
      </c>
      <c r="B119" s="81" t="s">
        <v>3133</v>
      </c>
      <c r="C119" s="95">
        <v>1</v>
      </c>
      <c r="D119" s="95" t="s">
        <v>3131</v>
      </c>
      <c r="E119" s="95" t="s">
        <v>7549</v>
      </c>
      <c r="F119" s="95" t="s">
        <v>7617</v>
      </c>
      <c r="G119" s="95"/>
    </row>
    <row r="120" spans="1:7" ht="15.6" x14ac:dyDescent="0.25">
      <c r="A120" s="81" t="s">
        <v>3128</v>
      </c>
      <c r="B120" s="81" t="s">
        <v>3133</v>
      </c>
      <c r="C120" s="95" t="s">
        <v>7720</v>
      </c>
      <c r="D120" s="95" t="s">
        <v>2237</v>
      </c>
      <c r="E120" s="95" t="s">
        <v>7696</v>
      </c>
      <c r="F120" s="95" t="s">
        <v>7617</v>
      </c>
      <c r="G120" s="95"/>
    </row>
    <row r="121" spans="1:7" ht="15.6" x14ac:dyDescent="0.25">
      <c r="A121" s="81" t="s">
        <v>3128</v>
      </c>
      <c r="B121" s="81" t="s">
        <v>3133</v>
      </c>
      <c r="C121" s="95" t="s">
        <v>7750</v>
      </c>
      <c r="D121" s="95" t="s">
        <v>6903</v>
      </c>
      <c r="E121" s="95" t="s">
        <v>7747</v>
      </c>
      <c r="F121" s="95" t="s">
        <v>7617</v>
      </c>
      <c r="G121" s="95"/>
    </row>
    <row r="122" spans="1:7" ht="15.6" x14ac:dyDescent="0.25">
      <c r="A122" s="81" t="s">
        <v>3128</v>
      </c>
      <c r="B122" s="81" t="s">
        <v>3133</v>
      </c>
      <c r="C122" s="95" t="s">
        <v>7751</v>
      </c>
      <c r="D122" s="95" t="s">
        <v>133</v>
      </c>
      <c r="E122" s="95" t="s">
        <v>7536</v>
      </c>
      <c r="F122" s="95" t="s">
        <v>7617</v>
      </c>
      <c r="G122" s="95"/>
    </row>
    <row r="123" spans="1:7" ht="15.6" x14ac:dyDescent="0.25">
      <c r="A123" s="81" t="s">
        <v>3128</v>
      </c>
      <c r="B123" s="81" t="s">
        <v>3133</v>
      </c>
      <c r="C123" s="95" t="s">
        <v>7755</v>
      </c>
      <c r="D123" s="95" t="s">
        <v>879</v>
      </c>
      <c r="E123" s="95" t="s">
        <v>450</v>
      </c>
      <c r="F123" s="95" t="s">
        <v>7617</v>
      </c>
      <c r="G123" s="95"/>
    </row>
    <row r="124" spans="1:7" ht="15.6" x14ac:dyDescent="0.25">
      <c r="A124" s="81" t="s">
        <v>3128</v>
      </c>
      <c r="B124" s="81" t="s">
        <v>3133</v>
      </c>
      <c r="C124" s="95" t="s">
        <v>7758</v>
      </c>
      <c r="D124" s="95" t="s">
        <v>578</v>
      </c>
      <c r="E124" s="95" t="s">
        <v>894</v>
      </c>
      <c r="F124" s="95" t="s">
        <v>7617</v>
      </c>
      <c r="G124" s="95"/>
    </row>
    <row r="125" spans="1:7" ht="15.6" x14ac:dyDescent="0.25">
      <c r="A125" s="81" t="s">
        <v>3081</v>
      </c>
      <c r="B125" s="81" t="s">
        <v>3085</v>
      </c>
      <c r="C125" s="95">
        <v>1</v>
      </c>
      <c r="D125" s="95" t="s">
        <v>578</v>
      </c>
      <c r="E125" s="95" t="s">
        <v>1166</v>
      </c>
      <c r="F125" s="95" t="s">
        <v>7617</v>
      </c>
      <c r="G125" s="95"/>
    </row>
    <row r="126" spans="1:7" ht="15.6" x14ac:dyDescent="0.25">
      <c r="A126" s="81" t="s">
        <v>2582</v>
      </c>
      <c r="B126" s="81" t="s">
        <v>2586</v>
      </c>
      <c r="C126" s="95">
        <v>1</v>
      </c>
      <c r="D126" s="95" t="s">
        <v>578</v>
      </c>
      <c r="E126" s="95" t="s">
        <v>4000</v>
      </c>
      <c r="F126" s="95" t="s">
        <v>7617</v>
      </c>
      <c r="G126" s="95"/>
    </row>
    <row r="127" spans="1:7" ht="15.6" x14ac:dyDescent="0.25">
      <c r="A127" s="81" t="s">
        <v>3312</v>
      </c>
      <c r="B127" s="81" t="s">
        <v>3316</v>
      </c>
      <c r="C127" s="95">
        <v>1</v>
      </c>
      <c r="D127" s="95" t="s">
        <v>578</v>
      </c>
      <c r="E127" s="95" t="s">
        <v>4000</v>
      </c>
      <c r="F127" s="95" t="s">
        <v>7617</v>
      </c>
      <c r="G127" s="95"/>
    </row>
    <row r="128" spans="1:7" ht="15.6" x14ac:dyDescent="0.25">
      <c r="A128" s="81" t="s">
        <v>2790</v>
      </c>
      <c r="B128" s="81" t="s">
        <v>2795</v>
      </c>
      <c r="C128" s="95">
        <v>1</v>
      </c>
      <c r="D128" s="95" t="s">
        <v>578</v>
      </c>
      <c r="E128" s="95" t="s">
        <v>4000</v>
      </c>
      <c r="F128" s="95" t="s">
        <v>7617</v>
      </c>
      <c r="G128" s="95"/>
    </row>
    <row r="129" spans="1:7" ht="15.6" x14ac:dyDescent="0.25">
      <c r="A129" s="81" t="s">
        <v>2799</v>
      </c>
      <c r="B129" s="81" t="s">
        <v>2803</v>
      </c>
      <c r="C129" s="95">
        <v>1</v>
      </c>
      <c r="D129" s="95" t="s">
        <v>2801</v>
      </c>
      <c r="E129" s="95" t="s">
        <v>7550</v>
      </c>
      <c r="F129" s="95" t="s">
        <v>7617</v>
      </c>
      <c r="G129" s="95"/>
    </row>
    <row r="130" spans="1:7" ht="15.6" x14ac:dyDescent="0.25">
      <c r="A130" s="81" t="s">
        <v>2799</v>
      </c>
      <c r="B130" s="81" t="s">
        <v>2803</v>
      </c>
      <c r="C130" s="95" t="s">
        <v>7720</v>
      </c>
      <c r="D130" s="95" t="s">
        <v>7637</v>
      </c>
      <c r="E130" s="95" t="s">
        <v>7338</v>
      </c>
      <c r="F130" s="95" t="s">
        <v>7617</v>
      </c>
      <c r="G130" s="95"/>
    </row>
    <row r="131" spans="1:7" ht="15.6" x14ac:dyDescent="0.25">
      <c r="A131" s="81" t="s">
        <v>2799</v>
      </c>
      <c r="B131" s="81" t="s">
        <v>2803</v>
      </c>
      <c r="C131" s="95" t="s">
        <v>7750</v>
      </c>
      <c r="D131" s="95" t="s">
        <v>7642</v>
      </c>
      <c r="E131" s="95" t="s">
        <v>1298</v>
      </c>
      <c r="F131" s="95" t="s">
        <v>7617</v>
      </c>
      <c r="G131" s="95"/>
    </row>
    <row r="132" spans="1:7" ht="15.6" x14ac:dyDescent="0.25">
      <c r="A132" s="81" t="s">
        <v>2799</v>
      </c>
      <c r="B132" s="81" t="s">
        <v>2803</v>
      </c>
      <c r="C132" s="95" t="s">
        <v>7751</v>
      </c>
      <c r="D132" s="95" t="s">
        <v>7744</v>
      </c>
      <c r="E132" s="95" t="s">
        <v>1281</v>
      </c>
      <c r="F132" s="95" t="s">
        <v>7617</v>
      </c>
      <c r="G132" s="95"/>
    </row>
    <row r="133" spans="1:7" ht="15.6" x14ac:dyDescent="0.25">
      <c r="A133" s="81" t="s">
        <v>2632</v>
      </c>
      <c r="B133" s="81" t="s">
        <v>2637</v>
      </c>
      <c r="C133" s="95">
        <v>1</v>
      </c>
      <c r="D133" s="95" t="s">
        <v>2644</v>
      </c>
      <c r="E133" s="95" t="s">
        <v>4000</v>
      </c>
      <c r="F133" s="95" t="s">
        <v>7617</v>
      </c>
      <c r="G133" s="95"/>
    </row>
    <row r="134" spans="1:7" ht="15.6" x14ac:dyDescent="0.25">
      <c r="A134" s="81" t="s">
        <v>1521</v>
      </c>
      <c r="B134" s="81" t="s">
        <v>3270</v>
      </c>
      <c r="C134" s="95">
        <v>1</v>
      </c>
      <c r="D134" s="95" t="s">
        <v>578</v>
      </c>
      <c r="E134" s="95" t="s">
        <v>4000</v>
      </c>
      <c r="F134" s="95" t="s">
        <v>7617</v>
      </c>
      <c r="G134" s="95"/>
    </row>
    <row r="135" spans="1:7" ht="15.6" x14ac:dyDescent="0.25">
      <c r="A135" s="81" t="s">
        <v>3294</v>
      </c>
      <c r="B135" s="81" t="s">
        <v>3298</v>
      </c>
      <c r="C135" s="95">
        <v>1</v>
      </c>
      <c r="D135" s="95" t="s">
        <v>578</v>
      </c>
      <c r="E135" s="95" t="s">
        <v>1166</v>
      </c>
      <c r="F135" s="95" t="s">
        <v>7617</v>
      </c>
      <c r="G135" s="95"/>
    </row>
    <row r="136" spans="1:7" ht="15.6" x14ac:dyDescent="0.25">
      <c r="A136" s="81" t="s">
        <v>3169</v>
      </c>
      <c r="B136" s="81" t="s">
        <v>3173</v>
      </c>
      <c r="C136" s="95">
        <v>1</v>
      </c>
      <c r="D136" s="95" t="s">
        <v>3171</v>
      </c>
      <c r="E136" s="95" t="s">
        <v>7551</v>
      </c>
      <c r="F136" s="95" t="s">
        <v>7617</v>
      </c>
      <c r="G136" s="95"/>
    </row>
    <row r="137" spans="1:7" ht="15.6" x14ac:dyDescent="0.25">
      <c r="A137" s="81" t="s">
        <v>3169</v>
      </c>
      <c r="B137" s="81" t="s">
        <v>3173</v>
      </c>
      <c r="C137" s="95" t="s">
        <v>7720</v>
      </c>
      <c r="D137" s="95" t="s">
        <v>7638</v>
      </c>
      <c r="E137" s="95" t="s">
        <v>1839</v>
      </c>
      <c r="F137" s="95" t="s">
        <v>7617</v>
      </c>
      <c r="G137" s="95"/>
    </row>
    <row r="138" spans="1:7" ht="15.6" x14ac:dyDescent="0.25">
      <c r="A138" s="81" t="s">
        <v>3169</v>
      </c>
      <c r="B138" s="81" t="s">
        <v>3173</v>
      </c>
      <c r="C138" s="95" t="s">
        <v>7750</v>
      </c>
      <c r="D138" s="95" t="s">
        <v>7737</v>
      </c>
      <c r="E138" s="95" t="s">
        <v>7700</v>
      </c>
      <c r="F138" s="95" t="s">
        <v>7617</v>
      </c>
      <c r="G138" s="95"/>
    </row>
    <row r="139" spans="1:7" ht="15.6" x14ac:dyDescent="0.25">
      <c r="A139" s="81" t="s">
        <v>3169</v>
      </c>
      <c r="B139" s="81" t="s">
        <v>3173</v>
      </c>
      <c r="C139" s="95" t="s">
        <v>7751</v>
      </c>
      <c r="D139" s="95" t="s">
        <v>1274</v>
      </c>
      <c r="E139" s="95" t="s">
        <v>7536</v>
      </c>
      <c r="F139" s="95" t="s">
        <v>7617</v>
      </c>
      <c r="G139" s="95"/>
    </row>
    <row r="140" spans="1:7" ht="15.6" x14ac:dyDescent="0.25">
      <c r="A140" s="81" t="s">
        <v>3169</v>
      </c>
      <c r="B140" s="81" t="s">
        <v>3173</v>
      </c>
      <c r="C140" s="95" t="s">
        <v>7755</v>
      </c>
      <c r="D140" s="95" t="s">
        <v>879</v>
      </c>
      <c r="E140" s="95" t="s">
        <v>1281</v>
      </c>
      <c r="F140" s="95" t="s">
        <v>7617</v>
      </c>
      <c r="G140" s="95"/>
    </row>
    <row r="141" spans="1:7" ht="15.6" x14ac:dyDescent="0.25">
      <c r="A141" s="81" t="s">
        <v>3209</v>
      </c>
      <c r="B141" s="81" t="s">
        <v>3213</v>
      </c>
      <c r="C141" s="95">
        <v>1</v>
      </c>
      <c r="D141" s="95" t="s">
        <v>1680</v>
      </c>
      <c r="E141" s="95" t="s">
        <v>7528</v>
      </c>
      <c r="F141" s="95" t="s">
        <v>7617</v>
      </c>
      <c r="G141" s="95"/>
    </row>
    <row r="142" spans="1:7" ht="15.6" x14ac:dyDescent="0.25">
      <c r="A142" s="81" t="s">
        <v>3209</v>
      </c>
      <c r="B142" s="81" t="s">
        <v>3213</v>
      </c>
      <c r="C142" s="95" t="s">
        <v>7720</v>
      </c>
      <c r="D142" s="95" t="s">
        <v>1430</v>
      </c>
      <c r="E142" s="95" t="s">
        <v>4000</v>
      </c>
      <c r="F142" s="95" t="s">
        <v>7617</v>
      </c>
      <c r="G142" s="95"/>
    </row>
    <row r="143" spans="1:7" ht="15.6" x14ac:dyDescent="0.25">
      <c r="A143" s="81" t="s">
        <v>2153</v>
      </c>
      <c r="B143" s="81" t="s">
        <v>2158</v>
      </c>
      <c r="C143" s="95">
        <v>1</v>
      </c>
      <c r="D143" s="95" t="s">
        <v>2156</v>
      </c>
      <c r="E143" s="95" t="s">
        <v>7552</v>
      </c>
      <c r="F143" s="95" t="s">
        <v>7617</v>
      </c>
      <c r="G143" s="95"/>
    </row>
    <row r="144" spans="1:7" ht="15.6" x14ac:dyDescent="0.25">
      <c r="A144" s="81" t="s">
        <v>2153</v>
      </c>
      <c r="B144" s="81" t="s">
        <v>2158</v>
      </c>
      <c r="C144" s="95" t="s">
        <v>7720</v>
      </c>
      <c r="D144" s="95" t="s">
        <v>7639</v>
      </c>
      <c r="E144" s="95" t="s">
        <v>7691</v>
      </c>
      <c r="F144" s="95" t="s">
        <v>7617</v>
      </c>
      <c r="G144" s="95"/>
    </row>
    <row r="145" spans="1:7" ht="15.6" x14ac:dyDescent="0.25">
      <c r="A145" s="81" t="s">
        <v>2153</v>
      </c>
      <c r="B145" s="81" t="s">
        <v>2158</v>
      </c>
      <c r="C145" s="95" t="s">
        <v>7750</v>
      </c>
      <c r="D145" s="95" t="s">
        <v>1621</v>
      </c>
      <c r="E145" s="95" t="s">
        <v>450</v>
      </c>
      <c r="F145" s="95" t="s">
        <v>7617</v>
      </c>
      <c r="G145" s="95"/>
    </row>
    <row r="146" spans="1:7" ht="15.6" x14ac:dyDescent="0.25">
      <c r="A146" s="81" t="s">
        <v>2153</v>
      </c>
      <c r="B146" s="81" t="s">
        <v>2158</v>
      </c>
      <c r="C146" s="95" t="s">
        <v>7751</v>
      </c>
      <c r="D146" s="95" t="s">
        <v>578</v>
      </c>
      <c r="E146" s="95" t="s">
        <v>872</v>
      </c>
      <c r="F146" s="95" t="s">
        <v>7617</v>
      </c>
      <c r="G146" s="95"/>
    </row>
    <row r="147" spans="1:7" ht="15.6" x14ac:dyDescent="0.25">
      <c r="A147" s="81" t="s">
        <v>3185</v>
      </c>
      <c r="B147" s="81" t="s">
        <v>3188</v>
      </c>
      <c r="C147" s="95">
        <v>1</v>
      </c>
      <c r="D147" s="95" t="s">
        <v>578</v>
      </c>
      <c r="E147" s="95" t="s">
        <v>1166</v>
      </c>
      <c r="F147" s="95" t="s">
        <v>7617</v>
      </c>
      <c r="G147" s="95"/>
    </row>
    <row r="148" spans="1:7" ht="15.6" x14ac:dyDescent="0.25">
      <c r="A148" s="81" t="s">
        <v>2554</v>
      </c>
      <c r="B148" s="81" t="s">
        <v>2560</v>
      </c>
      <c r="C148" s="95">
        <v>1</v>
      </c>
      <c r="D148" s="95" t="s">
        <v>2558</v>
      </c>
      <c r="E148" s="95" t="s">
        <v>7553</v>
      </c>
      <c r="F148" s="95" t="s">
        <v>7617</v>
      </c>
      <c r="G148" s="95"/>
    </row>
    <row r="149" spans="1:7" ht="15.6" x14ac:dyDescent="0.25">
      <c r="A149" s="81" t="s">
        <v>2554</v>
      </c>
      <c r="B149" s="81" t="s">
        <v>2560</v>
      </c>
      <c r="C149" s="95" t="s">
        <v>7720</v>
      </c>
      <c r="D149" s="95" t="s">
        <v>7640</v>
      </c>
      <c r="E149" s="95" t="s">
        <v>7538</v>
      </c>
      <c r="F149" s="95" t="s">
        <v>7617</v>
      </c>
      <c r="G149" s="95"/>
    </row>
    <row r="150" spans="1:7" ht="15.6" x14ac:dyDescent="0.25">
      <c r="A150" s="81" t="s">
        <v>2554</v>
      </c>
      <c r="B150" s="81" t="s">
        <v>2560</v>
      </c>
      <c r="C150" s="95" t="s">
        <v>7750</v>
      </c>
      <c r="D150" s="95" t="s">
        <v>7251</v>
      </c>
      <c r="E150" s="95" t="s">
        <v>7596</v>
      </c>
      <c r="F150" s="95" t="s">
        <v>7617</v>
      </c>
      <c r="G150" s="95"/>
    </row>
    <row r="151" spans="1:7" ht="15.6" x14ac:dyDescent="0.25">
      <c r="A151" s="81" t="s">
        <v>2554</v>
      </c>
      <c r="B151" s="81" t="s">
        <v>2560</v>
      </c>
      <c r="C151" s="95" t="s">
        <v>7751</v>
      </c>
      <c r="D151" s="95" t="s">
        <v>7565</v>
      </c>
      <c r="E151" s="95" t="s">
        <v>7536</v>
      </c>
      <c r="F151" s="95" t="s">
        <v>7617</v>
      </c>
      <c r="G151" s="95"/>
    </row>
    <row r="152" spans="1:7" ht="15.6" x14ac:dyDescent="0.25">
      <c r="A152" s="81" t="s">
        <v>2554</v>
      </c>
      <c r="B152" s="81" t="s">
        <v>2560</v>
      </c>
      <c r="C152" s="95" t="s">
        <v>7755</v>
      </c>
      <c r="D152" s="95" t="s">
        <v>879</v>
      </c>
      <c r="E152" s="95" t="s">
        <v>1615</v>
      </c>
      <c r="F152" s="95" t="s">
        <v>7617</v>
      </c>
      <c r="G152" s="95"/>
    </row>
    <row r="153" spans="1:7" ht="15.6" x14ac:dyDescent="0.25">
      <c r="A153" s="81" t="s">
        <v>2332</v>
      </c>
      <c r="B153" s="81" t="s">
        <v>2336</v>
      </c>
      <c r="C153" s="95">
        <v>1</v>
      </c>
      <c r="D153" s="95" t="s">
        <v>2328</v>
      </c>
      <c r="E153" s="95" t="s">
        <v>7554</v>
      </c>
      <c r="F153" s="95" t="s">
        <v>7617</v>
      </c>
      <c r="G153" s="95"/>
    </row>
    <row r="154" spans="1:7" ht="15.6" x14ac:dyDescent="0.25">
      <c r="A154" s="81" t="s">
        <v>2332</v>
      </c>
      <c r="B154" s="81" t="s">
        <v>2336</v>
      </c>
      <c r="C154" s="95" t="s">
        <v>7720</v>
      </c>
      <c r="D154" s="95" t="s">
        <v>7641</v>
      </c>
      <c r="E154" s="95" t="s">
        <v>7697</v>
      </c>
      <c r="F154" s="95" t="s">
        <v>7617</v>
      </c>
      <c r="G154" s="95"/>
    </row>
    <row r="155" spans="1:7" ht="15.6" x14ac:dyDescent="0.25">
      <c r="A155" s="81" t="s">
        <v>2332</v>
      </c>
      <c r="B155" s="81" t="s">
        <v>2336</v>
      </c>
      <c r="C155" s="95" t="s">
        <v>7750</v>
      </c>
      <c r="D155" s="95" t="s">
        <v>7739</v>
      </c>
      <c r="E155" s="95" t="s">
        <v>4000</v>
      </c>
      <c r="F155" s="95" t="s">
        <v>7617</v>
      </c>
      <c r="G155" s="95"/>
    </row>
    <row r="156" spans="1:7" ht="15.6" x14ac:dyDescent="0.25">
      <c r="A156" s="81" t="s">
        <v>2080</v>
      </c>
      <c r="B156" s="81" t="s">
        <v>2085</v>
      </c>
      <c r="C156" s="95">
        <v>1</v>
      </c>
      <c r="D156" s="95" t="s">
        <v>716</v>
      </c>
      <c r="E156" s="95" t="s">
        <v>7338</v>
      </c>
      <c r="F156" s="95" t="s">
        <v>7617</v>
      </c>
      <c r="G156" s="95"/>
    </row>
    <row r="157" spans="1:7" ht="15.6" x14ac:dyDescent="0.25">
      <c r="A157" s="81" t="s">
        <v>2080</v>
      </c>
      <c r="B157" s="81" t="s">
        <v>2085</v>
      </c>
      <c r="C157" s="95" t="s">
        <v>7720</v>
      </c>
      <c r="D157" s="95" t="s">
        <v>7642</v>
      </c>
      <c r="E157" s="95" t="s">
        <v>7571</v>
      </c>
      <c r="F157" s="95" t="s">
        <v>7617</v>
      </c>
      <c r="G157" s="95"/>
    </row>
    <row r="158" spans="1:7" ht="15.6" x14ac:dyDescent="0.25">
      <c r="A158" s="81" t="s">
        <v>2080</v>
      </c>
      <c r="B158" s="81" t="s">
        <v>2085</v>
      </c>
      <c r="C158" s="95" t="s">
        <v>7750</v>
      </c>
      <c r="D158" s="95" t="s">
        <v>682</v>
      </c>
      <c r="E158" s="95" t="s">
        <v>7700</v>
      </c>
      <c r="F158" s="95" t="s">
        <v>7617</v>
      </c>
      <c r="G158" s="95"/>
    </row>
    <row r="159" spans="1:7" ht="15.6" x14ac:dyDescent="0.25">
      <c r="A159" s="81" t="s">
        <v>2080</v>
      </c>
      <c r="B159" s="81" t="s">
        <v>2085</v>
      </c>
      <c r="C159" s="95" t="s">
        <v>7751</v>
      </c>
      <c r="D159" s="95" t="s">
        <v>1274</v>
      </c>
      <c r="E159" s="95" t="s">
        <v>872</v>
      </c>
      <c r="F159" s="95" t="s">
        <v>7617</v>
      </c>
      <c r="G159" s="95"/>
    </row>
    <row r="160" spans="1:7" ht="15.6" x14ac:dyDescent="0.25">
      <c r="A160" s="81" t="s">
        <v>3445</v>
      </c>
      <c r="B160" s="81" t="s">
        <v>3448</v>
      </c>
      <c r="C160" s="95">
        <v>1</v>
      </c>
      <c r="D160" s="95" t="s">
        <v>3293</v>
      </c>
      <c r="E160" s="95" t="s">
        <v>7555</v>
      </c>
      <c r="F160" s="95" t="s">
        <v>7617</v>
      </c>
      <c r="G160" s="95"/>
    </row>
    <row r="161" spans="1:7" ht="15.6" x14ac:dyDescent="0.25">
      <c r="A161" s="81" t="s">
        <v>3445</v>
      </c>
      <c r="B161" s="81" t="s">
        <v>3448</v>
      </c>
      <c r="C161" s="95" t="s">
        <v>7720</v>
      </c>
      <c r="D161" s="95" t="s">
        <v>7643</v>
      </c>
      <c r="E161" s="95" t="s">
        <v>7698</v>
      </c>
      <c r="F161" s="95" t="s">
        <v>7617</v>
      </c>
      <c r="G161" s="95"/>
    </row>
    <row r="162" spans="1:7" ht="15.6" x14ac:dyDescent="0.25">
      <c r="A162" s="81" t="s">
        <v>3445</v>
      </c>
      <c r="B162" s="81" t="s">
        <v>3448</v>
      </c>
      <c r="C162" s="95" t="s">
        <v>7750</v>
      </c>
      <c r="D162" s="95" t="s">
        <v>7731</v>
      </c>
      <c r="E162" s="95" t="s">
        <v>1298</v>
      </c>
      <c r="F162" s="95" t="s">
        <v>7617</v>
      </c>
      <c r="G162" s="95"/>
    </row>
    <row r="163" spans="1:7" ht="15.6" x14ac:dyDescent="0.25">
      <c r="A163" s="81" t="s">
        <v>3445</v>
      </c>
      <c r="B163" s="81" t="s">
        <v>3448</v>
      </c>
      <c r="C163" s="95" t="s">
        <v>7751</v>
      </c>
      <c r="D163" s="95" t="s">
        <v>7744</v>
      </c>
      <c r="E163" s="95" t="s">
        <v>1281</v>
      </c>
      <c r="F163" s="95" t="s">
        <v>7617</v>
      </c>
      <c r="G163" s="95"/>
    </row>
    <row r="164" spans="1:7" ht="15.6" x14ac:dyDescent="0.25">
      <c r="A164" s="81" t="s">
        <v>2808</v>
      </c>
      <c r="B164" s="81" t="s">
        <v>2812</v>
      </c>
      <c r="C164" s="95">
        <v>1</v>
      </c>
      <c r="D164" s="95" t="s">
        <v>2810</v>
      </c>
      <c r="E164" s="95" t="s">
        <v>7556</v>
      </c>
      <c r="F164" s="95" t="s">
        <v>7617</v>
      </c>
      <c r="G164" s="95"/>
    </row>
    <row r="165" spans="1:7" ht="15.6" x14ac:dyDescent="0.25">
      <c r="A165" s="81" t="s">
        <v>2808</v>
      </c>
      <c r="B165" s="81" t="s">
        <v>2812</v>
      </c>
      <c r="C165" s="95" t="s">
        <v>7720</v>
      </c>
      <c r="D165" s="95" t="s">
        <v>7114</v>
      </c>
      <c r="E165" s="95" t="s">
        <v>7699</v>
      </c>
      <c r="F165" s="95" t="s">
        <v>7617</v>
      </c>
      <c r="G165" s="95"/>
    </row>
    <row r="166" spans="1:7" ht="15.6" x14ac:dyDescent="0.25">
      <c r="A166" s="81" t="s">
        <v>2808</v>
      </c>
      <c r="B166" s="81" t="s">
        <v>2812</v>
      </c>
      <c r="C166" s="95" t="s">
        <v>7750</v>
      </c>
      <c r="D166" s="95" t="s">
        <v>7730</v>
      </c>
      <c r="E166" s="95" t="s">
        <v>1298</v>
      </c>
      <c r="F166" s="95" t="s">
        <v>7617</v>
      </c>
      <c r="G166" s="95"/>
    </row>
    <row r="167" spans="1:7" ht="15.6" x14ac:dyDescent="0.25">
      <c r="A167" s="81" t="s">
        <v>2808</v>
      </c>
      <c r="B167" s="81" t="s">
        <v>2812</v>
      </c>
      <c r="C167" s="95" t="s">
        <v>7751</v>
      </c>
      <c r="D167" s="95" t="s">
        <v>7744</v>
      </c>
      <c r="E167" s="95" t="s">
        <v>1281</v>
      </c>
      <c r="F167" s="95" t="s">
        <v>7617</v>
      </c>
      <c r="G167" s="95"/>
    </row>
    <row r="168" spans="1:7" ht="15.6" x14ac:dyDescent="0.25">
      <c r="A168" s="81" t="s">
        <v>3088</v>
      </c>
      <c r="B168" s="81" t="s">
        <v>3091</v>
      </c>
      <c r="C168" s="95">
        <v>1</v>
      </c>
      <c r="D168" s="95" t="s">
        <v>578</v>
      </c>
      <c r="E168" s="95" t="s">
        <v>1166</v>
      </c>
      <c r="F168" s="95" t="s">
        <v>7617</v>
      </c>
      <c r="G168" s="95"/>
    </row>
    <row r="169" spans="1:7" ht="15.6" x14ac:dyDescent="0.25">
      <c r="A169" s="81" t="s">
        <v>3238</v>
      </c>
      <c r="B169" s="81" t="s">
        <v>3241</v>
      </c>
      <c r="C169" s="95">
        <v>1</v>
      </c>
      <c r="D169" s="95" t="s">
        <v>578</v>
      </c>
      <c r="E169" s="95" t="s">
        <v>1166</v>
      </c>
      <c r="F169" s="95" t="s">
        <v>7617</v>
      </c>
      <c r="G169" s="95"/>
    </row>
    <row r="170" spans="1:7" ht="15.6" x14ac:dyDescent="0.25">
      <c r="A170" s="81" t="s">
        <v>3145</v>
      </c>
      <c r="B170" s="81" t="s">
        <v>3148</v>
      </c>
      <c r="C170" s="95">
        <v>1</v>
      </c>
      <c r="D170" s="95" t="s">
        <v>3139</v>
      </c>
      <c r="E170" s="95" t="s">
        <v>7557</v>
      </c>
      <c r="F170" s="95" t="s">
        <v>7617</v>
      </c>
      <c r="G170" s="95"/>
    </row>
    <row r="171" spans="1:7" ht="15.6" x14ac:dyDescent="0.25">
      <c r="A171" s="81" t="s">
        <v>3145</v>
      </c>
      <c r="B171" s="81" t="s">
        <v>3148</v>
      </c>
      <c r="C171" s="95" t="s">
        <v>7720</v>
      </c>
      <c r="D171" s="95" t="s">
        <v>7644</v>
      </c>
      <c r="E171" s="95" t="s">
        <v>7114</v>
      </c>
      <c r="F171" s="95" t="s">
        <v>7617</v>
      </c>
      <c r="G171" s="95"/>
    </row>
    <row r="172" spans="1:7" ht="15.6" x14ac:dyDescent="0.25">
      <c r="A172" s="81" t="s">
        <v>3145</v>
      </c>
      <c r="B172" s="81" t="s">
        <v>3148</v>
      </c>
      <c r="C172" s="95" t="s">
        <v>7750</v>
      </c>
      <c r="D172" s="95" t="s">
        <v>3159</v>
      </c>
      <c r="E172" s="95" t="s">
        <v>7730</v>
      </c>
      <c r="F172" s="95" t="s">
        <v>7617</v>
      </c>
      <c r="G172" s="95"/>
    </row>
    <row r="173" spans="1:7" ht="15.6" x14ac:dyDescent="0.25">
      <c r="A173" s="81" t="s">
        <v>3145</v>
      </c>
      <c r="B173" s="81" t="s">
        <v>3148</v>
      </c>
      <c r="C173" s="95" t="s">
        <v>7751</v>
      </c>
      <c r="D173" s="95" t="s">
        <v>7211</v>
      </c>
      <c r="E173" s="95" t="s">
        <v>1298</v>
      </c>
      <c r="F173" s="95" t="s">
        <v>7617</v>
      </c>
      <c r="G173" s="95"/>
    </row>
    <row r="174" spans="1:7" ht="15.6" x14ac:dyDescent="0.25">
      <c r="A174" s="81" t="s">
        <v>3145</v>
      </c>
      <c r="B174" s="81" t="s">
        <v>3148</v>
      </c>
      <c r="C174" s="95" t="s">
        <v>7755</v>
      </c>
      <c r="D174" s="95" t="s">
        <v>7744</v>
      </c>
      <c r="E174" s="95" t="s">
        <v>1281</v>
      </c>
      <c r="F174" s="95" t="s">
        <v>7617</v>
      </c>
      <c r="G174" s="95"/>
    </row>
    <row r="175" spans="1:7" ht="15.6" x14ac:dyDescent="0.25">
      <c r="A175" s="81" t="s">
        <v>1244</v>
      </c>
      <c r="B175" s="81" t="s">
        <v>1250</v>
      </c>
      <c r="C175" s="95">
        <v>1</v>
      </c>
      <c r="D175" s="95" t="s">
        <v>578</v>
      </c>
      <c r="E175" s="95" t="s">
        <v>1229</v>
      </c>
      <c r="F175" s="95" t="s">
        <v>7617</v>
      </c>
      <c r="G175" s="95"/>
    </row>
    <row r="176" spans="1:7" ht="15.6" x14ac:dyDescent="0.25">
      <c r="A176" s="81" t="s">
        <v>3304</v>
      </c>
      <c r="B176" s="81" t="s">
        <v>3308</v>
      </c>
      <c r="C176" s="95">
        <v>1</v>
      </c>
      <c r="D176" s="95" t="s">
        <v>578</v>
      </c>
      <c r="E176" s="95" t="s">
        <v>4000</v>
      </c>
      <c r="F176" s="95" t="s">
        <v>7617</v>
      </c>
      <c r="G176" s="95"/>
    </row>
    <row r="177" spans="1:7" ht="15.6" x14ac:dyDescent="0.25">
      <c r="A177" s="81" t="s">
        <v>3137</v>
      </c>
      <c r="B177" s="81" t="s">
        <v>3141</v>
      </c>
      <c r="C177" s="95">
        <v>1</v>
      </c>
      <c r="D177" s="95" t="s">
        <v>578</v>
      </c>
      <c r="E177" s="95" t="s">
        <v>1166</v>
      </c>
      <c r="F177" s="95" t="s">
        <v>7617</v>
      </c>
      <c r="G177" s="95"/>
    </row>
    <row r="178" spans="1:7" ht="15.6" x14ac:dyDescent="0.25">
      <c r="A178" s="81" t="s">
        <v>2302</v>
      </c>
      <c r="B178" s="81" t="s">
        <v>2308</v>
      </c>
      <c r="C178" s="95">
        <v>1</v>
      </c>
      <c r="D178" s="95" t="s">
        <v>2306</v>
      </c>
      <c r="E178" s="95" t="s">
        <v>7538</v>
      </c>
      <c r="F178" s="95" t="s">
        <v>7617</v>
      </c>
      <c r="G178" s="95"/>
    </row>
    <row r="179" spans="1:7" ht="15.6" x14ac:dyDescent="0.25">
      <c r="A179" s="81" t="s">
        <v>2302</v>
      </c>
      <c r="B179" s="81" t="s">
        <v>2308</v>
      </c>
      <c r="C179" s="95" t="s">
        <v>7720</v>
      </c>
      <c r="D179" s="95" t="s">
        <v>7251</v>
      </c>
      <c r="E179" s="95" t="s">
        <v>7596</v>
      </c>
      <c r="F179" s="95" t="s">
        <v>7617</v>
      </c>
      <c r="G179" s="95"/>
    </row>
    <row r="180" spans="1:7" ht="15.6" x14ac:dyDescent="0.25">
      <c r="A180" s="81" t="s">
        <v>2302</v>
      </c>
      <c r="B180" s="81" t="s">
        <v>2308</v>
      </c>
      <c r="C180" s="95" t="s">
        <v>7750</v>
      </c>
      <c r="D180" s="95" t="s">
        <v>7565</v>
      </c>
      <c r="E180" s="95" t="s">
        <v>7536</v>
      </c>
      <c r="F180" s="95" t="s">
        <v>7617</v>
      </c>
      <c r="G180" s="95"/>
    </row>
    <row r="181" spans="1:7" ht="15.6" x14ac:dyDescent="0.25">
      <c r="A181" s="81" t="s">
        <v>2302</v>
      </c>
      <c r="B181" s="81" t="s">
        <v>2308</v>
      </c>
      <c r="C181" s="95" t="s">
        <v>7751</v>
      </c>
      <c r="D181" s="95" t="s">
        <v>879</v>
      </c>
      <c r="E181" s="95" t="s">
        <v>1615</v>
      </c>
      <c r="F181" s="95" t="s">
        <v>7617</v>
      </c>
      <c r="G181" s="95"/>
    </row>
    <row r="182" spans="1:7" ht="15.6" x14ac:dyDescent="0.25">
      <c r="A182" s="81" t="s">
        <v>3152</v>
      </c>
      <c r="B182" s="81" t="s">
        <v>3157</v>
      </c>
      <c r="C182" s="95">
        <v>1</v>
      </c>
      <c r="D182" s="95" t="s">
        <v>578</v>
      </c>
      <c r="E182" s="95" t="s">
        <v>4000</v>
      </c>
      <c r="F182" s="95" t="s">
        <v>7617</v>
      </c>
      <c r="G182" s="95"/>
    </row>
    <row r="183" spans="1:7" ht="15.6" x14ac:dyDescent="0.25">
      <c r="A183" s="81" t="s">
        <v>2601</v>
      </c>
      <c r="B183" s="81" t="s">
        <v>2605</v>
      </c>
      <c r="C183" s="95">
        <v>1</v>
      </c>
      <c r="D183" s="95" t="s">
        <v>2105</v>
      </c>
      <c r="E183" s="95" t="s">
        <v>4000</v>
      </c>
      <c r="F183" s="95" t="s">
        <v>7617</v>
      </c>
      <c r="G183" s="95"/>
    </row>
    <row r="184" spans="1:7" ht="15.6" x14ac:dyDescent="0.25">
      <c r="A184" s="81" t="s">
        <v>2826</v>
      </c>
      <c r="B184" s="81" t="s">
        <v>2830</v>
      </c>
      <c r="C184" s="95">
        <v>1</v>
      </c>
      <c r="D184" s="95" t="s">
        <v>2644</v>
      </c>
      <c r="E184" s="95" t="s">
        <v>663</v>
      </c>
      <c r="F184" s="95" t="s">
        <v>7617</v>
      </c>
      <c r="G184" s="95"/>
    </row>
    <row r="185" spans="1:7" ht="15.6" x14ac:dyDescent="0.25">
      <c r="A185" s="81" t="s">
        <v>1664</v>
      </c>
      <c r="B185" s="81" t="s">
        <v>1669</v>
      </c>
      <c r="C185" s="95">
        <v>1</v>
      </c>
      <c r="D185" s="95" t="s">
        <v>1667</v>
      </c>
      <c r="E185" s="95" t="s">
        <v>1561</v>
      </c>
      <c r="F185" s="95" t="s">
        <v>7617</v>
      </c>
      <c r="G185" s="95"/>
    </row>
    <row r="186" spans="1:7" ht="15.6" x14ac:dyDescent="0.25">
      <c r="A186" s="81" t="s">
        <v>1664</v>
      </c>
      <c r="B186" s="81" t="s">
        <v>1669</v>
      </c>
      <c r="C186" s="95" t="s">
        <v>7720</v>
      </c>
      <c r="D186" s="95" t="s">
        <v>7645</v>
      </c>
      <c r="E186" s="95" t="s">
        <v>7663</v>
      </c>
      <c r="F186" s="95" t="s">
        <v>7617</v>
      </c>
      <c r="G186" s="95"/>
    </row>
    <row r="187" spans="1:7" ht="15.6" x14ac:dyDescent="0.25">
      <c r="A187" s="81" t="s">
        <v>1664</v>
      </c>
      <c r="B187" s="81" t="s">
        <v>1669</v>
      </c>
      <c r="C187" s="95" t="s">
        <v>7750</v>
      </c>
      <c r="D187" s="95" t="s">
        <v>7742</v>
      </c>
      <c r="E187" s="95" t="s">
        <v>1281</v>
      </c>
      <c r="F187" s="95" t="s">
        <v>7617</v>
      </c>
      <c r="G187" s="95"/>
    </row>
    <row r="188" spans="1:7" ht="15.6" x14ac:dyDescent="0.25">
      <c r="A188" s="81" t="s">
        <v>3318</v>
      </c>
      <c r="B188" s="81" t="s">
        <v>3321</v>
      </c>
      <c r="C188" s="95">
        <v>1</v>
      </c>
      <c r="D188" s="95" t="s">
        <v>578</v>
      </c>
      <c r="E188" s="95" t="s">
        <v>4000</v>
      </c>
      <c r="F188" s="95" t="s">
        <v>7617</v>
      </c>
      <c r="G188" s="95"/>
    </row>
    <row r="189" spans="1:7" ht="15.6" x14ac:dyDescent="0.25">
      <c r="A189" s="81" t="s">
        <v>1910</v>
      </c>
      <c r="B189" s="81" t="s">
        <v>1914</v>
      </c>
      <c r="C189" s="95">
        <v>1</v>
      </c>
      <c r="D189" s="95" t="s">
        <v>1912</v>
      </c>
      <c r="E189" s="95" t="s">
        <v>7558</v>
      </c>
      <c r="F189" s="95" t="s">
        <v>7617</v>
      </c>
      <c r="G189" s="95"/>
    </row>
    <row r="190" spans="1:7" ht="15.6" x14ac:dyDescent="0.25">
      <c r="A190" s="81" t="s">
        <v>1910</v>
      </c>
      <c r="B190" s="81" t="s">
        <v>1914</v>
      </c>
      <c r="C190" s="95" t="s">
        <v>7720</v>
      </c>
      <c r="D190" s="95" t="s">
        <v>7646</v>
      </c>
      <c r="E190" s="95" t="s">
        <v>7536</v>
      </c>
      <c r="F190" s="95" t="s">
        <v>7617</v>
      </c>
      <c r="G190" s="95"/>
    </row>
    <row r="191" spans="1:7" ht="15.6" x14ac:dyDescent="0.25">
      <c r="A191" s="81" t="s">
        <v>1910</v>
      </c>
      <c r="B191" s="81" t="s">
        <v>1914</v>
      </c>
      <c r="C191" s="95" t="s">
        <v>7750</v>
      </c>
      <c r="D191" s="95" t="s">
        <v>879</v>
      </c>
      <c r="E191" s="95" t="s">
        <v>1615</v>
      </c>
      <c r="F191" s="95" t="s">
        <v>7617</v>
      </c>
      <c r="G191" s="95"/>
    </row>
    <row r="192" spans="1:7" ht="15.6" x14ac:dyDescent="0.25">
      <c r="A192" s="81" t="s">
        <v>1809</v>
      </c>
      <c r="B192" s="81" t="s">
        <v>1816</v>
      </c>
      <c r="C192" s="95">
        <v>1</v>
      </c>
      <c r="D192" s="95" t="s">
        <v>1814</v>
      </c>
      <c r="E192" s="95" t="s">
        <v>7559</v>
      </c>
      <c r="F192" s="95" t="s">
        <v>7617</v>
      </c>
      <c r="G192" s="95"/>
    </row>
    <row r="193" spans="1:7" ht="15.6" x14ac:dyDescent="0.25">
      <c r="A193" s="81" t="s">
        <v>1809</v>
      </c>
      <c r="B193" s="81" t="s">
        <v>1816</v>
      </c>
      <c r="C193" s="95" t="s">
        <v>7720</v>
      </c>
      <c r="D193" s="95" t="s">
        <v>7647</v>
      </c>
      <c r="E193" s="95" t="s">
        <v>7700</v>
      </c>
      <c r="F193" s="95" t="s">
        <v>7617</v>
      </c>
      <c r="G193" s="95"/>
    </row>
    <row r="194" spans="1:7" ht="15.6" x14ac:dyDescent="0.25">
      <c r="A194" s="81" t="s">
        <v>1809</v>
      </c>
      <c r="B194" s="81" t="s">
        <v>1816</v>
      </c>
      <c r="C194" s="95" t="s">
        <v>7750</v>
      </c>
      <c r="D194" s="95" t="s">
        <v>1274</v>
      </c>
      <c r="E194" s="95" t="s">
        <v>872</v>
      </c>
      <c r="F194" s="95" t="s">
        <v>7617</v>
      </c>
      <c r="G194" s="95"/>
    </row>
    <row r="195" spans="1:7" ht="15.6" x14ac:dyDescent="0.25">
      <c r="A195" s="81" t="s">
        <v>2466</v>
      </c>
      <c r="B195" s="81" t="s">
        <v>2471</v>
      </c>
      <c r="C195" s="95">
        <v>1</v>
      </c>
      <c r="D195" s="95" t="s">
        <v>2469</v>
      </c>
      <c r="E195" s="95" t="s">
        <v>7338</v>
      </c>
      <c r="F195" s="95" t="s">
        <v>7617</v>
      </c>
      <c r="G195" s="95"/>
    </row>
    <row r="196" spans="1:7" ht="15.6" x14ac:dyDescent="0.25">
      <c r="A196" s="81" t="s">
        <v>2466</v>
      </c>
      <c r="B196" s="81" t="s">
        <v>2471</v>
      </c>
      <c r="C196" s="95" t="s">
        <v>7720</v>
      </c>
      <c r="D196" s="95" t="s">
        <v>7642</v>
      </c>
      <c r="E196" s="95" t="s">
        <v>1298</v>
      </c>
      <c r="F196" s="95" t="s">
        <v>7617</v>
      </c>
      <c r="G196" s="95"/>
    </row>
    <row r="197" spans="1:7" ht="15.6" x14ac:dyDescent="0.25">
      <c r="A197" s="81" t="s">
        <v>2466</v>
      </c>
      <c r="B197" s="81" t="s">
        <v>2471</v>
      </c>
      <c r="C197" s="95" t="s">
        <v>7750</v>
      </c>
      <c r="D197" s="95" t="s">
        <v>7744</v>
      </c>
      <c r="E197" s="95" t="s">
        <v>4000</v>
      </c>
      <c r="F197" s="95" t="s">
        <v>7617</v>
      </c>
      <c r="G197" s="95"/>
    </row>
    <row r="198" spans="1:7" ht="15.6" x14ac:dyDescent="0.25">
      <c r="A198" s="81" t="s">
        <v>3365</v>
      </c>
      <c r="B198" s="81" t="s">
        <v>3368</v>
      </c>
      <c r="C198" s="95">
        <v>1</v>
      </c>
      <c r="D198" s="95" t="s">
        <v>578</v>
      </c>
      <c r="E198" s="95" t="s">
        <v>4000</v>
      </c>
      <c r="F198" s="95" t="s">
        <v>7617</v>
      </c>
      <c r="G198" s="95"/>
    </row>
    <row r="199" spans="1:7" ht="15.6" x14ac:dyDescent="0.25">
      <c r="A199" s="81" t="s">
        <v>3370</v>
      </c>
      <c r="B199" s="81" t="s">
        <v>3374</v>
      </c>
      <c r="C199" s="95">
        <v>1</v>
      </c>
      <c r="D199" s="95" t="s">
        <v>578</v>
      </c>
      <c r="E199" s="95" t="s">
        <v>663</v>
      </c>
      <c r="F199" s="95" t="s">
        <v>7617</v>
      </c>
      <c r="G199" s="95"/>
    </row>
    <row r="200" spans="1:7" ht="15.6" x14ac:dyDescent="0.25">
      <c r="A200" s="81" t="s">
        <v>2286</v>
      </c>
      <c r="B200" s="81" t="s">
        <v>2292</v>
      </c>
      <c r="C200" s="95">
        <v>1</v>
      </c>
      <c r="D200" s="95" t="s">
        <v>2290</v>
      </c>
      <c r="E200" s="95" t="s">
        <v>7554</v>
      </c>
      <c r="F200" s="95" t="s">
        <v>7617</v>
      </c>
      <c r="G200" s="95"/>
    </row>
    <row r="201" spans="1:7" ht="15.6" x14ac:dyDescent="0.25">
      <c r="A201" s="81" t="s">
        <v>2286</v>
      </c>
      <c r="B201" s="81" t="s">
        <v>2292</v>
      </c>
      <c r="C201" s="95" t="s">
        <v>7720</v>
      </c>
      <c r="D201" s="95" t="s">
        <v>7641</v>
      </c>
      <c r="E201" s="95" t="s">
        <v>7697</v>
      </c>
      <c r="F201" s="95" t="s">
        <v>7617</v>
      </c>
      <c r="G201" s="95"/>
    </row>
    <row r="202" spans="1:7" ht="15.6" x14ac:dyDescent="0.25">
      <c r="A202" s="81" t="s">
        <v>2286</v>
      </c>
      <c r="B202" s="81" t="s">
        <v>2292</v>
      </c>
      <c r="C202" s="95" t="s">
        <v>7750</v>
      </c>
      <c r="D202" s="95" t="s">
        <v>7739</v>
      </c>
      <c r="E202" s="95" t="s">
        <v>7536</v>
      </c>
      <c r="F202" s="95" t="s">
        <v>7617</v>
      </c>
      <c r="G202" s="95"/>
    </row>
    <row r="203" spans="1:7" ht="15.6" x14ac:dyDescent="0.25">
      <c r="A203" s="81" t="s">
        <v>2286</v>
      </c>
      <c r="B203" s="81" t="s">
        <v>2292</v>
      </c>
      <c r="C203" s="95" t="s">
        <v>7751</v>
      </c>
      <c r="D203" s="95" t="s">
        <v>879</v>
      </c>
      <c r="E203" s="95" t="s">
        <v>1615</v>
      </c>
      <c r="F203" s="95" t="s">
        <v>7617</v>
      </c>
      <c r="G203" s="95"/>
    </row>
    <row r="204" spans="1:7" ht="15.6" x14ac:dyDescent="0.25">
      <c r="A204" s="81" t="s">
        <v>3093</v>
      </c>
      <c r="B204" s="81" t="s">
        <v>3097</v>
      </c>
      <c r="C204" s="95">
        <v>1</v>
      </c>
      <c r="D204" s="95" t="s">
        <v>3104</v>
      </c>
      <c r="E204" s="95" t="s">
        <v>7560</v>
      </c>
      <c r="F204" s="95" t="s">
        <v>7617</v>
      </c>
      <c r="G204" s="95"/>
    </row>
    <row r="205" spans="1:7" ht="15.6" x14ac:dyDescent="0.25">
      <c r="A205" s="81" t="s">
        <v>3093</v>
      </c>
      <c r="B205" s="81" t="s">
        <v>3097</v>
      </c>
      <c r="C205" s="95" t="s">
        <v>7720</v>
      </c>
      <c r="D205" s="95" t="s">
        <v>7648</v>
      </c>
      <c r="E205" s="95" t="s">
        <v>7701</v>
      </c>
      <c r="F205" s="95" t="s">
        <v>7617</v>
      </c>
      <c r="G205" s="95"/>
    </row>
    <row r="206" spans="1:7" ht="15.6" x14ac:dyDescent="0.25">
      <c r="A206" s="81" t="s">
        <v>3093</v>
      </c>
      <c r="B206" s="81" t="s">
        <v>3097</v>
      </c>
      <c r="C206" s="95" t="s">
        <v>7750</v>
      </c>
      <c r="D206" s="95" t="s">
        <v>7725</v>
      </c>
      <c r="E206" s="95" t="s">
        <v>7707</v>
      </c>
      <c r="F206" s="95" t="s">
        <v>7617</v>
      </c>
      <c r="G206" s="95"/>
    </row>
    <row r="207" spans="1:7" ht="15.6" x14ac:dyDescent="0.25">
      <c r="A207" s="81" t="s">
        <v>3093</v>
      </c>
      <c r="B207" s="81" t="s">
        <v>3097</v>
      </c>
      <c r="C207" s="95" t="s">
        <v>7751</v>
      </c>
      <c r="D207" s="95" t="s">
        <v>1094</v>
      </c>
      <c r="E207" s="95" t="s">
        <v>4000</v>
      </c>
      <c r="F207" s="95" t="s">
        <v>7617</v>
      </c>
      <c r="G207" s="95"/>
    </row>
    <row r="208" spans="1:7" ht="15.6" x14ac:dyDescent="0.25">
      <c r="A208" s="81" t="s">
        <v>2347</v>
      </c>
      <c r="B208" s="81" t="s">
        <v>2352</v>
      </c>
      <c r="C208" s="95">
        <v>1</v>
      </c>
      <c r="D208" s="95" t="s">
        <v>2358</v>
      </c>
      <c r="E208" s="95" t="s">
        <v>7561</v>
      </c>
      <c r="F208" s="95" t="s">
        <v>7617</v>
      </c>
      <c r="G208" s="95"/>
    </row>
    <row r="209" spans="1:7" ht="15.6" x14ac:dyDescent="0.25">
      <c r="A209" s="81" t="s">
        <v>2347</v>
      </c>
      <c r="B209" s="81" t="s">
        <v>2352</v>
      </c>
      <c r="C209" s="95" t="s">
        <v>7720</v>
      </c>
      <c r="D209" s="95" t="s">
        <v>7649</v>
      </c>
      <c r="E209" s="95" t="s">
        <v>7691</v>
      </c>
      <c r="F209" s="95" t="s">
        <v>7617</v>
      </c>
      <c r="G209" s="95"/>
    </row>
    <row r="210" spans="1:7" ht="15.6" x14ac:dyDescent="0.25">
      <c r="A210" s="81" t="s">
        <v>2347</v>
      </c>
      <c r="B210" s="81" t="s">
        <v>2352</v>
      </c>
      <c r="C210" s="95" t="s">
        <v>7750</v>
      </c>
      <c r="D210" s="95" t="s">
        <v>1621</v>
      </c>
      <c r="E210" s="95" t="s">
        <v>7700</v>
      </c>
      <c r="F210" s="95" t="s">
        <v>7617</v>
      </c>
      <c r="G210" s="95"/>
    </row>
    <row r="211" spans="1:7" ht="15.6" x14ac:dyDescent="0.25">
      <c r="A211" s="81" t="s">
        <v>2347</v>
      </c>
      <c r="B211" s="81" t="s">
        <v>2352</v>
      </c>
      <c r="C211" s="95" t="s">
        <v>7751</v>
      </c>
      <c r="D211" s="95" t="s">
        <v>1274</v>
      </c>
      <c r="E211" s="95" t="s">
        <v>4000</v>
      </c>
      <c r="F211" s="95" t="s">
        <v>7617</v>
      </c>
      <c r="G211" s="95"/>
    </row>
    <row r="212" spans="1:7" ht="15.6" x14ac:dyDescent="0.25">
      <c r="A212" s="81" t="s">
        <v>291</v>
      </c>
      <c r="B212" s="81" t="s">
        <v>303</v>
      </c>
      <c r="C212" s="95">
        <v>1</v>
      </c>
      <c r="D212" s="95" t="s">
        <v>299</v>
      </c>
      <c r="E212" s="95" t="s">
        <v>7562</v>
      </c>
      <c r="F212" s="95" t="s">
        <v>7617</v>
      </c>
      <c r="G212" s="95"/>
    </row>
    <row r="213" spans="1:7" ht="15.6" x14ac:dyDescent="0.25">
      <c r="A213" s="81" t="s">
        <v>373</v>
      </c>
      <c r="B213" s="81" t="s">
        <v>381</v>
      </c>
      <c r="C213" s="95">
        <v>1</v>
      </c>
      <c r="D213" s="95" t="s">
        <v>377</v>
      </c>
      <c r="E213" s="95" t="s">
        <v>390</v>
      </c>
      <c r="F213" s="95" t="s">
        <v>7617</v>
      </c>
      <c r="G213" s="95"/>
    </row>
    <row r="214" spans="1:7" ht="15.6" x14ac:dyDescent="0.25">
      <c r="A214" s="81" t="s">
        <v>1999</v>
      </c>
      <c r="B214" s="81" t="s">
        <v>2004</v>
      </c>
      <c r="C214" s="95">
        <v>1</v>
      </c>
      <c r="D214" s="95" t="s">
        <v>1680</v>
      </c>
      <c r="E214" s="95" t="s">
        <v>7528</v>
      </c>
      <c r="F214" s="95" t="s">
        <v>7617</v>
      </c>
      <c r="G214" s="95"/>
    </row>
    <row r="215" spans="1:7" ht="15.6" x14ac:dyDescent="0.25">
      <c r="A215" s="81" t="s">
        <v>1999</v>
      </c>
      <c r="B215" s="81" t="s">
        <v>2004</v>
      </c>
      <c r="C215" s="95" t="s">
        <v>7720</v>
      </c>
      <c r="D215" s="95" t="s">
        <v>1430</v>
      </c>
      <c r="E215" s="95" t="s">
        <v>1090</v>
      </c>
      <c r="F215" s="95" t="s">
        <v>7617</v>
      </c>
      <c r="G215" s="95"/>
    </row>
    <row r="216" spans="1:7" ht="15.6" x14ac:dyDescent="0.25">
      <c r="A216" s="81" t="s">
        <v>2170</v>
      </c>
      <c r="B216" s="81" t="s">
        <v>2175</v>
      </c>
      <c r="C216" s="95">
        <v>1</v>
      </c>
      <c r="D216" s="95" t="s">
        <v>2173</v>
      </c>
      <c r="E216" s="95" t="s">
        <v>7563</v>
      </c>
      <c r="F216" s="95" t="s">
        <v>7617</v>
      </c>
      <c r="G216" s="95"/>
    </row>
    <row r="217" spans="1:7" ht="15.6" x14ac:dyDescent="0.25">
      <c r="A217" s="81" t="s">
        <v>2170</v>
      </c>
      <c r="B217" s="81" t="s">
        <v>2175</v>
      </c>
      <c r="C217" s="95" t="s">
        <v>7720</v>
      </c>
      <c r="D217" s="95" t="s">
        <v>7650</v>
      </c>
      <c r="E217" s="95" t="s">
        <v>7700</v>
      </c>
      <c r="F217" s="95" t="s">
        <v>7617</v>
      </c>
      <c r="G217" s="95"/>
    </row>
    <row r="218" spans="1:7" ht="15.6" x14ac:dyDescent="0.25">
      <c r="A218" s="81" t="s">
        <v>2170</v>
      </c>
      <c r="B218" s="81" t="s">
        <v>2175</v>
      </c>
      <c r="C218" s="95" t="s">
        <v>7750</v>
      </c>
      <c r="D218" s="95" t="s">
        <v>1274</v>
      </c>
      <c r="E218" s="95" t="s">
        <v>4000</v>
      </c>
      <c r="F218" s="95" t="s">
        <v>7617</v>
      </c>
      <c r="G218" s="95"/>
    </row>
    <row r="219" spans="1:7" ht="15.6" x14ac:dyDescent="0.25">
      <c r="A219" s="81" t="s">
        <v>2589</v>
      </c>
      <c r="B219" s="81" t="s">
        <v>2596</v>
      </c>
      <c r="C219" s="95">
        <v>1</v>
      </c>
      <c r="D219" s="95" t="s">
        <v>2594</v>
      </c>
      <c r="E219" s="95" t="s">
        <v>7564</v>
      </c>
      <c r="F219" s="95" t="s">
        <v>7617</v>
      </c>
      <c r="G219" s="95"/>
    </row>
    <row r="220" spans="1:7" ht="15.6" x14ac:dyDescent="0.25">
      <c r="A220" s="81" t="s">
        <v>2589</v>
      </c>
      <c r="B220" s="81" t="s">
        <v>2596</v>
      </c>
      <c r="C220" s="95" t="s">
        <v>7720</v>
      </c>
      <c r="D220" s="95" t="s">
        <v>7651</v>
      </c>
      <c r="E220" s="95" t="s">
        <v>7338</v>
      </c>
      <c r="F220" s="95" t="s">
        <v>7617</v>
      </c>
      <c r="G220" s="95"/>
    </row>
    <row r="221" spans="1:7" ht="15.6" x14ac:dyDescent="0.25">
      <c r="A221" s="81" t="s">
        <v>2589</v>
      </c>
      <c r="B221" s="81" t="s">
        <v>2596</v>
      </c>
      <c r="C221" s="95" t="s">
        <v>7750</v>
      </c>
      <c r="D221" s="95" t="s">
        <v>7642</v>
      </c>
      <c r="E221" s="95" t="s">
        <v>7571</v>
      </c>
      <c r="F221" s="95" t="s">
        <v>7617</v>
      </c>
      <c r="G221" s="95"/>
    </row>
    <row r="222" spans="1:7" ht="15.6" x14ac:dyDescent="0.25">
      <c r="A222" s="81" t="s">
        <v>2589</v>
      </c>
      <c r="B222" s="81" t="s">
        <v>2596</v>
      </c>
      <c r="C222" s="95" t="s">
        <v>7751</v>
      </c>
      <c r="D222" s="95" t="s">
        <v>682</v>
      </c>
      <c r="E222" s="95" t="s">
        <v>7700</v>
      </c>
      <c r="F222" s="95" t="s">
        <v>7617</v>
      </c>
      <c r="G222" s="95"/>
    </row>
    <row r="223" spans="1:7" ht="15.6" x14ac:dyDescent="0.25">
      <c r="A223" s="81" t="s">
        <v>2589</v>
      </c>
      <c r="B223" s="81" t="s">
        <v>2596</v>
      </c>
      <c r="C223" s="95" t="s">
        <v>7755</v>
      </c>
      <c r="D223" s="95" t="s">
        <v>1274</v>
      </c>
      <c r="E223" s="95" t="s">
        <v>7757</v>
      </c>
      <c r="F223" s="95" t="s">
        <v>7617</v>
      </c>
      <c r="G223" s="95"/>
    </row>
    <row r="224" spans="1:7" ht="15.6" x14ac:dyDescent="0.25">
      <c r="A224" s="81" t="s">
        <v>2589</v>
      </c>
      <c r="B224" s="81" t="s">
        <v>2596</v>
      </c>
      <c r="C224" s="95" t="s">
        <v>7758</v>
      </c>
      <c r="D224" s="95" t="s">
        <v>2600</v>
      </c>
      <c r="E224" s="95" t="s">
        <v>4000</v>
      </c>
      <c r="F224" s="95" t="s">
        <v>7617</v>
      </c>
      <c r="G224" s="95"/>
    </row>
    <row r="225" spans="1:7" ht="15.6" x14ac:dyDescent="0.25">
      <c r="A225" s="81" t="s">
        <v>2340</v>
      </c>
      <c r="B225" s="81" t="s">
        <v>2344</v>
      </c>
      <c r="C225" s="95">
        <v>1</v>
      </c>
      <c r="D225" s="95" t="s">
        <v>578</v>
      </c>
      <c r="E225" s="95" t="s">
        <v>1166</v>
      </c>
      <c r="F225" s="95" t="s">
        <v>7617</v>
      </c>
      <c r="G225" s="95"/>
    </row>
    <row r="226" spans="1:7" ht="15.6" x14ac:dyDescent="0.25">
      <c r="A226" s="81" t="s">
        <v>1390</v>
      </c>
      <c r="B226" s="81" t="s">
        <v>1396</v>
      </c>
      <c r="C226" s="95">
        <v>1</v>
      </c>
      <c r="D226" s="95" t="s">
        <v>578</v>
      </c>
      <c r="E226" s="95" t="s">
        <v>1229</v>
      </c>
      <c r="F226" s="95" t="s">
        <v>7617</v>
      </c>
      <c r="G226" s="95"/>
    </row>
    <row r="227" spans="1:7" ht="15.6" x14ac:dyDescent="0.25">
      <c r="A227" s="81" t="s">
        <v>2610</v>
      </c>
      <c r="B227" s="81" t="s">
        <v>2615</v>
      </c>
      <c r="C227" s="95">
        <v>1</v>
      </c>
      <c r="D227" s="95" t="s">
        <v>578</v>
      </c>
      <c r="E227" s="95" t="s">
        <v>4000</v>
      </c>
      <c r="F227" s="95" t="s">
        <v>7617</v>
      </c>
      <c r="G227" s="95"/>
    </row>
    <row r="228" spans="1:7" ht="15.6" x14ac:dyDescent="0.25">
      <c r="A228" s="81" t="s">
        <v>2040</v>
      </c>
      <c r="B228" s="81" t="s">
        <v>2044</v>
      </c>
      <c r="C228" s="95">
        <v>1</v>
      </c>
      <c r="D228" s="95" t="s">
        <v>2042</v>
      </c>
      <c r="E228" s="95" t="s">
        <v>7565</v>
      </c>
      <c r="F228" s="95" t="s">
        <v>7617</v>
      </c>
      <c r="G228" s="95"/>
    </row>
    <row r="229" spans="1:7" ht="15.6" x14ac:dyDescent="0.25">
      <c r="A229" s="81" t="s">
        <v>2040</v>
      </c>
      <c r="B229" s="81" t="s">
        <v>2044</v>
      </c>
      <c r="C229" s="95" t="s">
        <v>7720</v>
      </c>
      <c r="D229" s="95" t="s">
        <v>7240</v>
      </c>
      <c r="E229" s="95" t="s">
        <v>1298</v>
      </c>
      <c r="F229" s="95" t="s">
        <v>7617</v>
      </c>
      <c r="G229" s="95"/>
    </row>
    <row r="230" spans="1:7" ht="15.6" x14ac:dyDescent="0.25">
      <c r="A230" s="81" t="s">
        <v>2040</v>
      </c>
      <c r="B230" s="81" t="s">
        <v>2044</v>
      </c>
      <c r="C230" s="95" t="s">
        <v>7750</v>
      </c>
      <c r="D230" s="95" t="s">
        <v>7744</v>
      </c>
      <c r="E230" s="95" t="s">
        <v>450</v>
      </c>
      <c r="F230" s="95" t="s">
        <v>7617</v>
      </c>
      <c r="G230" s="95"/>
    </row>
    <row r="231" spans="1:7" ht="15.6" x14ac:dyDescent="0.25">
      <c r="A231" s="81" t="s">
        <v>2040</v>
      </c>
      <c r="B231" s="81" t="s">
        <v>2044</v>
      </c>
      <c r="C231" s="95" t="s">
        <v>7751</v>
      </c>
      <c r="D231" s="95" t="s">
        <v>578</v>
      </c>
      <c r="E231" s="95" t="s">
        <v>894</v>
      </c>
      <c r="F231" s="95" t="s">
        <v>7617</v>
      </c>
      <c r="G231" s="95"/>
    </row>
    <row r="232" spans="1:7" ht="15.6" x14ac:dyDescent="0.25">
      <c r="A232" s="81" t="s">
        <v>2031</v>
      </c>
      <c r="B232" s="81" t="s">
        <v>2035</v>
      </c>
      <c r="C232" s="95">
        <v>1</v>
      </c>
      <c r="D232" s="95" t="s">
        <v>2033</v>
      </c>
      <c r="E232" s="95" t="s">
        <v>7566</v>
      </c>
      <c r="F232" s="95" t="s">
        <v>7617</v>
      </c>
      <c r="G232" s="95"/>
    </row>
    <row r="233" spans="1:7" ht="15.6" x14ac:dyDescent="0.25">
      <c r="A233" s="81" t="s">
        <v>2031</v>
      </c>
      <c r="B233" s="81" t="s">
        <v>2035</v>
      </c>
      <c r="C233" s="95" t="s">
        <v>7720</v>
      </c>
      <c r="D233" s="95" t="s">
        <v>7652</v>
      </c>
      <c r="E233" s="95" t="s">
        <v>7536</v>
      </c>
      <c r="F233" s="95" t="s">
        <v>7617</v>
      </c>
      <c r="G233" s="95"/>
    </row>
    <row r="234" spans="1:7" ht="15.6" x14ac:dyDescent="0.25">
      <c r="A234" s="81" t="s">
        <v>2031</v>
      </c>
      <c r="B234" s="81" t="s">
        <v>2035</v>
      </c>
      <c r="C234" s="95" t="s">
        <v>7750</v>
      </c>
      <c r="D234" s="95" t="s">
        <v>879</v>
      </c>
      <c r="E234" s="95" t="s">
        <v>4000</v>
      </c>
      <c r="F234" s="95" t="s">
        <v>7617</v>
      </c>
      <c r="G234" s="95"/>
    </row>
    <row r="235" spans="1:7" ht="15.6" x14ac:dyDescent="0.25">
      <c r="A235" s="81" t="s">
        <v>2504</v>
      </c>
      <c r="B235" s="81" t="s">
        <v>2511</v>
      </c>
      <c r="C235" s="95">
        <v>1</v>
      </c>
      <c r="D235" s="95" t="s">
        <v>2509</v>
      </c>
      <c r="E235" s="95" t="s">
        <v>7567</v>
      </c>
      <c r="F235" s="95" t="s">
        <v>7617</v>
      </c>
      <c r="G235" s="95"/>
    </row>
    <row r="236" spans="1:7" ht="15.6" x14ac:dyDescent="0.25">
      <c r="A236" s="81" t="s">
        <v>2504</v>
      </c>
      <c r="B236" s="81" t="s">
        <v>2511</v>
      </c>
      <c r="C236" s="95" t="s">
        <v>7720</v>
      </c>
      <c r="D236" s="95" t="s">
        <v>7653</v>
      </c>
      <c r="E236" s="95" t="s">
        <v>7571</v>
      </c>
      <c r="F236" s="95" t="s">
        <v>7617</v>
      </c>
      <c r="G236" s="95"/>
    </row>
    <row r="237" spans="1:7" ht="15.6" x14ac:dyDescent="0.25">
      <c r="A237" s="81" t="s">
        <v>2504</v>
      </c>
      <c r="B237" s="81" t="s">
        <v>2511</v>
      </c>
      <c r="C237" s="95" t="s">
        <v>7750</v>
      </c>
      <c r="D237" s="95" t="s">
        <v>682</v>
      </c>
      <c r="E237" s="95" t="s">
        <v>7707</v>
      </c>
      <c r="F237" s="95" t="s">
        <v>7617</v>
      </c>
      <c r="G237" s="95"/>
    </row>
    <row r="238" spans="1:7" ht="15.6" x14ac:dyDescent="0.25">
      <c r="A238" s="81" t="s">
        <v>2504</v>
      </c>
      <c r="B238" s="81" t="s">
        <v>2511</v>
      </c>
      <c r="C238" s="95" t="s">
        <v>7751</v>
      </c>
      <c r="D238" s="95" t="s">
        <v>1094</v>
      </c>
      <c r="E238" s="95" t="s">
        <v>1478</v>
      </c>
      <c r="F238" s="95" t="s">
        <v>7617</v>
      </c>
      <c r="G238" s="95"/>
    </row>
    <row r="239" spans="1:7" ht="15.6" x14ac:dyDescent="0.25">
      <c r="A239" s="81" t="s">
        <v>2899</v>
      </c>
      <c r="B239" s="81" t="s">
        <v>2903</v>
      </c>
      <c r="C239" s="95">
        <v>1</v>
      </c>
      <c r="D239" s="95" t="s">
        <v>1680</v>
      </c>
      <c r="E239" s="95" t="s">
        <v>3014</v>
      </c>
      <c r="F239" s="95" t="s">
        <v>7617</v>
      </c>
      <c r="G239" s="95"/>
    </row>
    <row r="240" spans="1:7" ht="15.6" x14ac:dyDescent="0.25">
      <c r="A240" s="81" t="s">
        <v>2899</v>
      </c>
      <c r="B240" s="81" t="s">
        <v>2903</v>
      </c>
      <c r="C240" s="95" t="s">
        <v>7720</v>
      </c>
      <c r="D240" s="95" t="s">
        <v>1857</v>
      </c>
      <c r="E240" s="95" t="s">
        <v>1166</v>
      </c>
      <c r="F240" s="95" t="s">
        <v>7617</v>
      </c>
      <c r="G240" s="95"/>
    </row>
    <row r="241" spans="1:7" ht="15.6" x14ac:dyDescent="0.25">
      <c r="A241" s="81" t="s">
        <v>2718</v>
      </c>
      <c r="B241" s="81" t="s">
        <v>2722</v>
      </c>
      <c r="C241" s="95">
        <v>1</v>
      </c>
      <c r="D241" s="95" t="s">
        <v>2140</v>
      </c>
      <c r="E241" s="95" t="s">
        <v>716</v>
      </c>
      <c r="F241" s="95" t="s">
        <v>7617</v>
      </c>
      <c r="G241" s="95"/>
    </row>
    <row r="242" spans="1:7" ht="15.6" x14ac:dyDescent="0.25">
      <c r="A242" s="81" t="s">
        <v>2718</v>
      </c>
      <c r="B242" s="81" t="s">
        <v>2722</v>
      </c>
      <c r="C242" s="95" t="s">
        <v>7720</v>
      </c>
      <c r="D242" s="95" t="s">
        <v>7654</v>
      </c>
      <c r="E242" s="95" t="s">
        <v>7702</v>
      </c>
      <c r="F242" s="95" t="s">
        <v>7617</v>
      </c>
      <c r="G242" s="95"/>
    </row>
    <row r="243" spans="1:7" ht="15.6" x14ac:dyDescent="0.25">
      <c r="A243" s="81" t="s">
        <v>2718</v>
      </c>
      <c r="B243" s="81" t="s">
        <v>2722</v>
      </c>
      <c r="C243" s="95" t="s">
        <v>7750</v>
      </c>
      <c r="D243" s="95" t="s">
        <v>7596</v>
      </c>
      <c r="E243" s="95" t="s">
        <v>7536</v>
      </c>
      <c r="F243" s="95" t="s">
        <v>7617</v>
      </c>
      <c r="G243" s="95"/>
    </row>
    <row r="244" spans="1:7" ht="15.6" x14ac:dyDescent="0.25">
      <c r="A244" s="81" t="s">
        <v>2718</v>
      </c>
      <c r="B244" s="81" t="s">
        <v>2722</v>
      </c>
      <c r="C244" s="95" t="s">
        <v>7751</v>
      </c>
      <c r="D244" s="95" t="s">
        <v>879</v>
      </c>
      <c r="E244" s="95" t="s">
        <v>1615</v>
      </c>
      <c r="F244" s="95" t="s">
        <v>7617</v>
      </c>
      <c r="G244" s="95"/>
    </row>
    <row r="245" spans="1:7" ht="15.6" x14ac:dyDescent="0.25">
      <c r="A245" s="81" t="s">
        <v>2656</v>
      </c>
      <c r="B245" s="81" t="s">
        <v>2659</v>
      </c>
      <c r="C245" s="95">
        <v>1</v>
      </c>
      <c r="D245" s="95" t="s">
        <v>578</v>
      </c>
      <c r="E245" s="95" t="s">
        <v>1090</v>
      </c>
      <c r="F245" s="95" t="s">
        <v>7617</v>
      </c>
      <c r="G245" s="95"/>
    </row>
    <row r="246" spans="1:7" ht="15.6" x14ac:dyDescent="0.25">
      <c r="A246" s="81" t="s">
        <v>2706</v>
      </c>
      <c r="B246" s="81" t="s">
        <v>2709</v>
      </c>
      <c r="C246" s="95">
        <v>1</v>
      </c>
      <c r="D246" s="95" t="s">
        <v>1680</v>
      </c>
      <c r="E246" s="95" t="s">
        <v>7528</v>
      </c>
      <c r="F246" s="95" t="s">
        <v>7617</v>
      </c>
      <c r="G246" s="95"/>
    </row>
    <row r="247" spans="1:7" ht="15.6" x14ac:dyDescent="0.25">
      <c r="A247" s="81" t="s">
        <v>2706</v>
      </c>
      <c r="B247" s="81" t="s">
        <v>2709</v>
      </c>
      <c r="C247" s="95" t="s">
        <v>7720</v>
      </c>
      <c r="D247" s="95" t="s">
        <v>1430</v>
      </c>
      <c r="E247" s="95" t="s">
        <v>1090</v>
      </c>
      <c r="F247" s="95" t="s">
        <v>7617</v>
      </c>
      <c r="G247" s="95"/>
    </row>
    <row r="248" spans="1:7" ht="15.6" x14ac:dyDescent="0.25">
      <c r="A248" s="81" t="s">
        <v>1820</v>
      </c>
      <c r="B248" s="81" t="s">
        <v>1824</v>
      </c>
      <c r="C248" s="95">
        <v>1</v>
      </c>
      <c r="D248" s="95" t="s">
        <v>1822</v>
      </c>
      <c r="E248" s="95" t="s">
        <v>7568</v>
      </c>
      <c r="F248" s="95" t="s">
        <v>7617</v>
      </c>
      <c r="G248" s="95" t="s">
        <v>10012</v>
      </c>
    </row>
    <row r="249" spans="1:7" ht="15.6" x14ac:dyDescent="0.25">
      <c r="A249" s="81" t="s">
        <v>1820</v>
      </c>
      <c r="B249" s="81" t="s">
        <v>1824</v>
      </c>
      <c r="C249" s="95" t="s">
        <v>7720</v>
      </c>
      <c r="D249" s="95" t="s">
        <v>7655</v>
      </c>
      <c r="E249" s="95" t="s">
        <v>1298</v>
      </c>
      <c r="F249" s="95" t="s">
        <v>7617</v>
      </c>
      <c r="G249" s="95"/>
    </row>
    <row r="250" spans="1:7" ht="15.6" x14ac:dyDescent="0.25">
      <c r="A250" s="81" t="s">
        <v>1820</v>
      </c>
      <c r="B250" s="81" t="s">
        <v>1824</v>
      </c>
      <c r="C250" s="95" t="s">
        <v>7750</v>
      </c>
      <c r="D250" s="95" t="s">
        <v>7744</v>
      </c>
      <c r="E250" s="95" t="s">
        <v>450</v>
      </c>
      <c r="F250" s="95" t="s">
        <v>7617</v>
      </c>
      <c r="G250" s="95"/>
    </row>
    <row r="251" spans="1:7" ht="15.6" x14ac:dyDescent="0.25">
      <c r="A251" s="81" t="s">
        <v>1820</v>
      </c>
      <c r="B251" s="81" t="s">
        <v>1824</v>
      </c>
      <c r="C251" s="95" t="s">
        <v>7751</v>
      </c>
      <c r="D251" s="95" t="s">
        <v>578</v>
      </c>
      <c r="E251" s="95" t="s">
        <v>4000</v>
      </c>
      <c r="F251" s="95" t="s">
        <v>7617</v>
      </c>
      <c r="G251" s="95"/>
    </row>
    <row r="252" spans="1:7" ht="15.6" x14ac:dyDescent="0.25">
      <c r="A252" s="81" t="s">
        <v>1863</v>
      </c>
      <c r="B252" s="81" t="s">
        <v>1867</v>
      </c>
      <c r="C252" s="95">
        <v>1</v>
      </c>
      <c r="D252" s="95" t="s">
        <v>578</v>
      </c>
      <c r="E252" s="95" t="s">
        <v>1090</v>
      </c>
      <c r="F252" s="95" t="s">
        <v>7617</v>
      </c>
      <c r="G252" s="95"/>
    </row>
    <row r="253" spans="1:7" ht="15.6" x14ac:dyDescent="0.25">
      <c r="A253" s="81" t="s">
        <v>1403</v>
      </c>
      <c r="B253" s="81" t="s">
        <v>1408</v>
      </c>
      <c r="C253" s="95">
        <v>1</v>
      </c>
      <c r="D253" s="95" t="s">
        <v>578</v>
      </c>
      <c r="E253" s="95" t="s">
        <v>1229</v>
      </c>
      <c r="F253" s="95" t="s">
        <v>7617</v>
      </c>
      <c r="G253" s="95"/>
    </row>
    <row r="254" spans="1:7" ht="15.6" x14ac:dyDescent="0.25">
      <c r="A254" s="81" t="s">
        <v>1376</v>
      </c>
      <c r="B254" s="81" t="s">
        <v>1383</v>
      </c>
      <c r="C254" s="95">
        <v>1</v>
      </c>
      <c r="D254" s="95" t="s">
        <v>1381</v>
      </c>
      <c r="E254" s="95" t="s">
        <v>1161</v>
      </c>
      <c r="F254" s="95" t="s">
        <v>7617</v>
      </c>
      <c r="G254" s="95"/>
    </row>
    <row r="255" spans="1:7" ht="15.6" x14ac:dyDescent="0.25">
      <c r="A255" s="81" t="s">
        <v>1376</v>
      </c>
      <c r="B255" s="81" t="s">
        <v>1383</v>
      </c>
      <c r="C255" s="95" t="s">
        <v>7720</v>
      </c>
      <c r="D255" s="95" t="s">
        <v>926</v>
      </c>
      <c r="E255" s="95" t="s">
        <v>1281</v>
      </c>
      <c r="F255" s="95" t="s">
        <v>7617</v>
      </c>
      <c r="G255" s="95"/>
    </row>
    <row r="256" spans="1:7" ht="15.6" x14ac:dyDescent="0.25">
      <c r="A256" s="81" t="s">
        <v>1880</v>
      </c>
      <c r="B256" s="81" t="s">
        <v>1883</v>
      </c>
      <c r="C256" s="95">
        <v>1</v>
      </c>
      <c r="D256" s="95" t="s">
        <v>578</v>
      </c>
      <c r="E256" s="95" t="s">
        <v>1090</v>
      </c>
      <c r="F256" s="95" t="s">
        <v>7617</v>
      </c>
      <c r="G256" s="95"/>
    </row>
    <row r="257" spans="1:7" ht="15.6" x14ac:dyDescent="0.25">
      <c r="A257" s="81" t="s">
        <v>2223</v>
      </c>
      <c r="B257" s="81" t="s">
        <v>2227</v>
      </c>
      <c r="C257" s="95">
        <v>1</v>
      </c>
      <c r="D257" s="95" t="s">
        <v>578</v>
      </c>
      <c r="E257" s="95" t="s">
        <v>1166</v>
      </c>
      <c r="F257" s="95" t="s">
        <v>7617</v>
      </c>
      <c r="G257" s="95"/>
    </row>
    <row r="258" spans="1:7" ht="15.6" x14ac:dyDescent="0.25">
      <c r="A258" s="81" t="s">
        <v>705</v>
      </c>
      <c r="B258" s="81" t="s">
        <v>712</v>
      </c>
      <c r="C258" s="95">
        <v>1</v>
      </c>
      <c r="D258" s="95" t="s">
        <v>710</v>
      </c>
      <c r="E258" s="95" t="s">
        <v>718</v>
      </c>
      <c r="F258" s="95" t="s">
        <v>7617</v>
      </c>
      <c r="G258" s="95"/>
    </row>
    <row r="259" spans="1:7" ht="15.6" x14ac:dyDescent="0.25">
      <c r="A259" s="81" t="s">
        <v>705</v>
      </c>
      <c r="B259" s="81" t="s">
        <v>712</v>
      </c>
      <c r="C259" s="95" t="s">
        <v>7720</v>
      </c>
      <c r="D259" s="95" t="s">
        <v>7656</v>
      </c>
      <c r="E259" s="95" t="s">
        <v>7703</v>
      </c>
      <c r="F259" s="95" t="s">
        <v>7617</v>
      </c>
      <c r="G259" s="95"/>
    </row>
    <row r="260" spans="1:7" ht="15.6" x14ac:dyDescent="0.25">
      <c r="A260" s="81" t="s">
        <v>1071</v>
      </c>
      <c r="B260" s="81" t="s">
        <v>1079</v>
      </c>
      <c r="C260" s="95">
        <v>1</v>
      </c>
      <c r="D260" s="95" t="s">
        <v>1075</v>
      </c>
      <c r="E260" s="95" t="s">
        <v>7569</v>
      </c>
      <c r="F260" s="95" t="s">
        <v>7617</v>
      </c>
      <c r="G260" s="95"/>
    </row>
    <row r="261" spans="1:7" ht="15.6" x14ac:dyDescent="0.25">
      <c r="A261" s="81" t="s">
        <v>1071</v>
      </c>
      <c r="B261" s="81" t="s">
        <v>1079</v>
      </c>
      <c r="C261" s="95" t="s">
        <v>7720</v>
      </c>
      <c r="D261" s="95" t="s">
        <v>1089</v>
      </c>
      <c r="E261" s="95" t="s">
        <v>1090</v>
      </c>
      <c r="F261" s="95" t="s">
        <v>7617</v>
      </c>
      <c r="G261" s="95"/>
    </row>
    <row r="262" spans="1:7" ht="15.6" x14ac:dyDescent="0.25">
      <c r="A262" s="81" t="s">
        <v>1772</v>
      </c>
      <c r="B262" s="81" t="s">
        <v>1775</v>
      </c>
      <c r="C262" s="95">
        <v>1</v>
      </c>
      <c r="D262" s="95" t="s">
        <v>1680</v>
      </c>
      <c r="E262" s="95" t="s">
        <v>7528</v>
      </c>
      <c r="F262" s="95" t="s">
        <v>7617</v>
      </c>
      <c r="G262" s="95"/>
    </row>
    <row r="263" spans="1:7" ht="15.6" x14ac:dyDescent="0.25">
      <c r="A263" s="81" t="s">
        <v>1772</v>
      </c>
      <c r="B263" s="81" t="s">
        <v>1775</v>
      </c>
      <c r="C263" s="95" t="s">
        <v>7720</v>
      </c>
      <c r="D263" s="95" t="s">
        <v>1430</v>
      </c>
      <c r="E263" s="95" t="s">
        <v>663</v>
      </c>
      <c r="F263" s="95" t="s">
        <v>7617</v>
      </c>
      <c r="G263" s="95"/>
    </row>
    <row r="264" spans="1:7" ht="15.6" x14ac:dyDescent="0.25">
      <c r="A264" s="81" t="s">
        <v>2098</v>
      </c>
      <c r="B264" s="81" t="s">
        <v>2103</v>
      </c>
      <c r="C264" s="95">
        <v>1</v>
      </c>
      <c r="D264" s="95" t="s">
        <v>2105</v>
      </c>
      <c r="E264" s="95" t="s">
        <v>872</v>
      </c>
      <c r="F264" s="95" t="s">
        <v>7617</v>
      </c>
      <c r="G264" s="95"/>
    </row>
    <row r="265" spans="1:7" ht="15.6" x14ac:dyDescent="0.25">
      <c r="A265" s="81" t="s">
        <v>1534</v>
      </c>
      <c r="B265" s="81" t="s">
        <v>1539</v>
      </c>
      <c r="C265" s="95">
        <v>1</v>
      </c>
      <c r="D265" s="95" t="s">
        <v>1073</v>
      </c>
      <c r="E265" s="95" t="s">
        <v>7570</v>
      </c>
      <c r="F265" s="95" t="s">
        <v>7617</v>
      </c>
      <c r="G265" s="95"/>
    </row>
    <row r="266" spans="1:7" ht="15.6" x14ac:dyDescent="0.25">
      <c r="A266" s="81" t="s">
        <v>1534</v>
      </c>
      <c r="B266" s="81" t="s">
        <v>1539</v>
      </c>
      <c r="C266" s="95" t="s">
        <v>7720</v>
      </c>
      <c r="D266" s="95" t="s">
        <v>7657</v>
      </c>
      <c r="E266" s="95" t="s">
        <v>1281</v>
      </c>
      <c r="F266" s="95" t="s">
        <v>7617</v>
      </c>
      <c r="G266" s="95"/>
    </row>
    <row r="267" spans="1:7" ht="15.6" x14ac:dyDescent="0.25">
      <c r="A267" s="81" t="s">
        <v>1972</v>
      </c>
      <c r="B267" s="81" t="s">
        <v>1976</v>
      </c>
      <c r="C267" s="95">
        <v>1</v>
      </c>
      <c r="D267" s="95" t="s">
        <v>110</v>
      </c>
      <c r="E267" s="95" t="s">
        <v>7571</v>
      </c>
      <c r="F267" s="95" t="s">
        <v>7617</v>
      </c>
      <c r="G267" s="95"/>
    </row>
    <row r="268" spans="1:7" ht="15.6" x14ac:dyDescent="0.25">
      <c r="A268" s="81" t="s">
        <v>1972</v>
      </c>
      <c r="B268" s="81" t="s">
        <v>1976</v>
      </c>
      <c r="C268" s="95" t="s">
        <v>7720</v>
      </c>
      <c r="D268" s="95" t="s">
        <v>682</v>
      </c>
      <c r="E268" s="95" t="s">
        <v>7690</v>
      </c>
      <c r="F268" s="95" t="s">
        <v>7617</v>
      </c>
      <c r="G268" s="95"/>
    </row>
    <row r="269" spans="1:7" ht="15.6" x14ac:dyDescent="0.25">
      <c r="A269" s="81" t="s">
        <v>1972</v>
      </c>
      <c r="B269" s="81" t="s">
        <v>1976</v>
      </c>
      <c r="C269" s="95" t="s">
        <v>7750</v>
      </c>
      <c r="D269" s="95" t="s">
        <v>7707</v>
      </c>
      <c r="E269" s="95" t="s">
        <v>4000</v>
      </c>
      <c r="F269" s="95" t="s">
        <v>7617</v>
      </c>
      <c r="G269" s="95"/>
    </row>
    <row r="270" spans="1:7" ht="15.6" x14ac:dyDescent="0.25">
      <c r="A270" s="81" t="s">
        <v>2070</v>
      </c>
      <c r="B270" s="81" t="s">
        <v>2074</v>
      </c>
      <c r="C270" s="95">
        <v>1</v>
      </c>
      <c r="D270" s="95" t="s">
        <v>1680</v>
      </c>
      <c r="E270" s="95" t="s">
        <v>3014</v>
      </c>
      <c r="F270" s="95" t="s">
        <v>7617</v>
      </c>
      <c r="G270" s="95"/>
    </row>
    <row r="271" spans="1:7" ht="15.6" x14ac:dyDescent="0.25">
      <c r="A271" s="81" t="s">
        <v>2070</v>
      </c>
      <c r="B271" s="81" t="s">
        <v>2074</v>
      </c>
      <c r="C271" s="95" t="s">
        <v>7720</v>
      </c>
      <c r="D271" s="95" t="s">
        <v>1857</v>
      </c>
      <c r="E271" s="95" t="s">
        <v>1166</v>
      </c>
      <c r="F271" s="95" t="s">
        <v>7617</v>
      </c>
      <c r="G271" s="95"/>
    </row>
    <row r="272" spans="1:7" ht="15.6" x14ac:dyDescent="0.25">
      <c r="A272" s="81" t="s">
        <v>1511</v>
      </c>
      <c r="B272" s="81" t="s">
        <v>1518</v>
      </c>
      <c r="C272" s="95">
        <v>1</v>
      </c>
      <c r="D272" s="95" t="s">
        <v>1516</v>
      </c>
      <c r="E272" s="95" t="s">
        <v>1366</v>
      </c>
      <c r="F272" s="95" t="s">
        <v>7617</v>
      </c>
      <c r="G272" s="95"/>
    </row>
    <row r="273" spans="1:7" ht="15.6" x14ac:dyDescent="0.25">
      <c r="A273" s="81" t="s">
        <v>1511</v>
      </c>
      <c r="B273" s="81" t="s">
        <v>1518</v>
      </c>
      <c r="C273" s="95" t="s">
        <v>7720</v>
      </c>
      <c r="D273" s="95" t="s">
        <v>7658</v>
      </c>
      <c r="E273" s="95" t="s">
        <v>1478</v>
      </c>
      <c r="F273" s="95" t="s">
        <v>7617</v>
      </c>
      <c r="G273" s="95"/>
    </row>
    <row r="274" spans="1:7" ht="15.6" x14ac:dyDescent="0.25">
      <c r="A274" s="81" t="s">
        <v>1363</v>
      </c>
      <c r="B274" s="81" t="s">
        <v>1369</v>
      </c>
      <c r="C274" s="95">
        <v>1</v>
      </c>
      <c r="D274" s="95" t="s">
        <v>1366</v>
      </c>
      <c r="E274" s="95" t="s">
        <v>1049</v>
      </c>
      <c r="F274" s="95" t="s">
        <v>7617</v>
      </c>
      <c r="G274" s="95"/>
    </row>
    <row r="275" spans="1:7" ht="15.6" x14ac:dyDescent="0.25">
      <c r="A275" s="81" t="s">
        <v>1363</v>
      </c>
      <c r="B275" s="81" t="s">
        <v>1369</v>
      </c>
      <c r="C275" s="95" t="s">
        <v>7720</v>
      </c>
      <c r="D275" s="95" t="s">
        <v>1375</v>
      </c>
      <c r="E275" s="95" t="s">
        <v>1229</v>
      </c>
      <c r="F275" s="95" t="s">
        <v>7617</v>
      </c>
      <c r="G275" s="95"/>
    </row>
    <row r="276" spans="1:7" ht="15.6" x14ac:dyDescent="0.25">
      <c r="A276" s="81" t="s">
        <v>1633</v>
      </c>
      <c r="B276" s="81" t="s">
        <v>1637</v>
      </c>
      <c r="C276" s="95">
        <v>1</v>
      </c>
      <c r="D276" s="95" t="s">
        <v>661</v>
      </c>
      <c r="E276" s="95" t="s">
        <v>1082</v>
      </c>
      <c r="F276" s="95" t="s">
        <v>7617</v>
      </c>
      <c r="G276" s="95"/>
    </row>
    <row r="277" spans="1:7" ht="15.6" x14ac:dyDescent="0.25">
      <c r="A277" s="81" t="s">
        <v>1633</v>
      </c>
      <c r="B277" s="81" t="s">
        <v>1637</v>
      </c>
      <c r="C277" s="95" t="s">
        <v>7720</v>
      </c>
      <c r="D277" s="95" t="s">
        <v>1266</v>
      </c>
      <c r="E277" s="95" t="s">
        <v>7704</v>
      </c>
      <c r="F277" s="95" t="s">
        <v>7617</v>
      </c>
      <c r="G277" s="95"/>
    </row>
    <row r="278" spans="1:7" ht="15.6" x14ac:dyDescent="0.25">
      <c r="A278" s="81" t="s">
        <v>1633</v>
      </c>
      <c r="B278" s="81" t="s">
        <v>1637</v>
      </c>
      <c r="C278" s="95" t="s">
        <v>7750</v>
      </c>
      <c r="D278" s="95" t="s">
        <v>7745</v>
      </c>
      <c r="E278" s="95" t="s">
        <v>1090</v>
      </c>
      <c r="F278" s="95" t="s">
        <v>7617</v>
      </c>
      <c r="G278" s="95"/>
    </row>
    <row r="279" spans="1:7" ht="15.6" x14ac:dyDescent="0.25">
      <c r="A279" s="81" t="s">
        <v>1301</v>
      </c>
      <c r="B279" s="81" t="s">
        <v>1307</v>
      </c>
      <c r="C279" s="95">
        <v>1</v>
      </c>
      <c r="D279" s="95" t="s">
        <v>1293</v>
      </c>
      <c r="E279" s="95" t="s">
        <v>7572</v>
      </c>
      <c r="F279" s="95" t="s">
        <v>7617</v>
      </c>
      <c r="G279" s="95"/>
    </row>
    <row r="280" spans="1:7" ht="15.6" x14ac:dyDescent="0.25">
      <c r="A280" s="81" t="s">
        <v>1301</v>
      </c>
      <c r="B280" s="81" t="s">
        <v>1307</v>
      </c>
      <c r="C280" s="95" t="s">
        <v>7720</v>
      </c>
      <c r="D280" s="95" t="s">
        <v>1300</v>
      </c>
      <c r="E280" s="95" t="s">
        <v>1615</v>
      </c>
      <c r="F280" s="95" t="s">
        <v>7617</v>
      </c>
      <c r="G280" s="95"/>
    </row>
    <row r="281" spans="1:7" ht="15.6" x14ac:dyDescent="0.25">
      <c r="A281" s="81" t="s">
        <v>1801</v>
      </c>
      <c r="B281" s="81" t="s">
        <v>1805</v>
      </c>
      <c r="C281" s="95">
        <v>1</v>
      </c>
      <c r="D281" s="95" t="s">
        <v>1803</v>
      </c>
      <c r="E281" s="95" t="s">
        <v>7573</v>
      </c>
      <c r="F281" s="95" t="s">
        <v>7617</v>
      </c>
      <c r="G281" s="95"/>
    </row>
    <row r="282" spans="1:7" ht="15.6" x14ac:dyDescent="0.25">
      <c r="A282" s="81" t="s">
        <v>1801</v>
      </c>
      <c r="B282" s="81" t="s">
        <v>1805</v>
      </c>
      <c r="C282" s="95" t="s">
        <v>7720</v>
      </c>
      <c r="D282" s="95" t="s">
        <v>7659</v>
      </c>
      <c r="E282" s="95" t="s">
        <v>7700</v>
      </c>
      <c r="F282" s="95" t="s">
        <v>7617</v>
      </c>
      <c r="G282" s="95"/>
    </row>
    <row r="283" spans="1:7" ht="15.6" x14ac:dyDescent="0.25">
      <c r="A283" s="81" t="s">
        <v>1801</v>
      </c>
      <c r="B283" s="81" t="s">
        <v>1805</v>
      </c>
      <c r="C283" s="95" t="s">
        <v>7750</v>
      </c>
      <c r="D283" s="95" t="s">
        <v>1274</v>
      </c>
      <c r="E283" s="95" t="s">
        <v>872</v>
      </c>
      <c r="F283" s="95" t="s">
        <v>7617</v>
      </c>
      <c r="G283" s="95"/>
    </row>
    <row r="284" spans="1:7" ht="15.6" x14ac:dyDescent="0.25">
      <c r="A284" s="81" t="s">
        <v>1627</v>
      </c>
      <c r="B284" s="81" t="s">
        <v>1630</v>
      </c>
      <c r="C284" s="95">
        <v>1</v>
      </c>
      <c r="D284" s="95" t="s">
        <v>578</v>
      </c>
      <c r="E284" s="95" t="s">
        <v>1229</v>
      </c>
      <c r="F284" s="95" t="s">
        <v>7617</v>
      </c>
      <c r="G284" s="95"/>
    </row>
    <row r="285" spans="1:7" ht="15.6" x14ac:dyDescent="0.25">
      <c r="A285" s="81" t="s">
        <v>1259</v>
      </c>
      <c r="B285" s="81" t="s">
        <v>1263</v>
      </c>
      <c r="C285" s="95">
        <v>1</v>
      </c>
      <c r="D285" s="95" t="s">
        <v>1261</v>
      </c>
      <c r="E285" s="95" t="s">
        <v>7574</v>
      </c>
      <c r="F285" s="95" t="s">
        <v>7617</v>
      </c>
      <c r="G285" s="95"/>
    </row>
    <row r="286" spans="1:7" ht="15.6" x14ac:dyDescent="0.25">
      <c r="A286" s="81" t="s">
        <v>1259</v>
      </c>
      <c r="B286" s="81" t="s">
        <v>1263</v>
      </c>
      <c r="C286" s="95" t="s">
        <v>7720</v>
      </c>
      <c r="D286" s="95" t="s">
        <v>1270</v>
      </c>
      <c r="E286" s="95" t="s">
        <v>1271</v>
      </c>
      <c r="F286" s="95" t="s">
        <v>7617</v>
      </c>
      <c r="G286" s="95"/>
    </row>
    <row r="287" spans="1:7" ht="15.6" x14ac:dyDescent="0.25">
      <c r="A287" s="81" t="s">
        <v>1025</v>
      </c>
      <c r="B287" s="81" t="s">
        <v>1030</v>
      </c>
      <c r="C287" s="95">
        <v>1</v>
      </c>
      <c r="D287" s="95" t="s">
        <v>1028</v>
      </c>
      <c r="E287" s="95" t="s">
        <v>7575</v>
      </c>
      <c r="F287" s="95" t="s">
        <v>7617</v>
      </c>
      <c r="G287" s="95"/>
    </row>
    <row r="288" spans="1:7" ht="15.6" x14ac:dyDescent="0.25">
      <c r="A288" s="81" t="s">
        <v>1025</v>
      </c>
      <c r="B288" s="81" t="s">
        <v>1030</v>
      </c>
      <c r="C288" s="95" t="s">
        <v>7720</v>
      </c>
      <c r="D288" s="95" t="s">
        <v>1034</v>
      </c>
      <c r="E288" s="95" t="s">
        <v>1035</v>
      </c>
      <c r="F288" s="95" t="s">
        <v>7617</v>
      </c>
      <c r="G288" s="95"/>
    </row>
    <row r="289" spans="1:7" ht="15.6" x14ac:dyDescent="0.25">
      <c r="A289" s="81" t="s">
        <v>1218</v>
      </c>
      <c r="B289" s="81" t="s">
        <v>7042</v>
      </c>
      <c r="C289" s="95">
        <v>1</v>
      </c>
      <c r="D289" s="95" t="s">
        <v>1220</v>
      </c>
      <c r="E289" s="95" t="s">
        <v>7576</v>
      </c>
      <c r="F289" s="95" t="s">
        <v>7617</v>
      </c>
      <c r="G289" s="95"/>
    </row>
    <row r="290" spans="1:7" ht="15.6" x14ac:dyDescent="0.25">
      <c r="A290" s="81" t="s">
        <v>1218</v>
      </c>
      <c r="B290" s="81" t="s">
        <v>7042</v>
      </c>
      <c r="C290" s="95" t="s">
        <v>7720</v>
      </c>
      <c r="D290" s="95" t="s">
        <v>1228</v>
      </c>
      <c r="E290" s="95" t="s">
        <v>1229</v>
      </c>
      <c r="F290" s="95" t="s">
        <v>7617</v>
      </c>
      <c r="G290" s="95"/>
    </row>
    <row r="291" spans="1:7" ht="15.6" x14ac:dyDescent="0.25">
      <c r="A291" s="81" t="s">
        <v>1755</v>
      </c>
      <c r="B291" s="81" t="s">
        <v>1759</v>
      </c>
      <c r="C291" s="95">
        <v>1</v>
      </c>
      <c r="D291" s="95" t="s">
        <v>1680</v>
      </c>
      <c r="E291" s="95" t="s">
        <v>7528</v>
      </c>
      <c r="F291" s="95" t="s">
        <v>7617</v>
      </c>
      <c r="G291" s="95"/>
    </row>
    <row r="292" spans="1:7" ht="15.6" x14ac:dyDescent="0.25">
      <c r="A292" s="81" t="s">
        <v>1755</v>
      </c>
      <c r="B292" s="81" t="s">
        <v>1759</v>
      </c>
      <c r="C292" s="95" t="s">
        <v>7720</v>
      </c>
      <c r="D292" s="95" t="s">
        <v>1430</v>
      </c>
      <c r="E292" s="95" t="s">
        <v>663</v>
      </c>
      <c r="F292" s="95" t="s">
        <v>7617</v>
      </c>
      <c r="G292" s="95"/>
    </row>
    <row r="293" spans="1:7" ht="15.6" x14ac:dyDescent="0.25">
      <c r="A293" s="81" t="s">
        <v>1282</v>
      </c>
      <c r="B293" s="81" t="s">
        <v>1288</v>
      </c>
      <c r="C293" s="95">
        <v>1</v>
      </c>
      <c r="D293" s="95" t="s">
        <v>578</v>
      </c>
      <c r="E293" s="95" t="s">
        <v>1229</v>
      </c>
      <c r="F293" s="95" t="s">
        <v>7617</v>
      </c>
      <c r="G293" s="95"/>
    </row>
    <row r="294" spans="1:7" ht="15.6" x14ac:dyDescent="0.25">
      <c r="A294" s="81" t="s">
        <v>1291</v>
      </c>
      <c r="B294" s="81" t="s">
        <v>1295</v>
      </c>
      <c r="C294" s="95">
        <v>1</v>
      </c>
      <c r="D294" s="95" t="s">
        <v>1293</v>
      </c>
      <c r="E294" s="95" t="s">
        <v>7572</v>
      </c>
      <c r="F294" s="95" t="s">
        <v>7617</v>
      </c>
      <c r="G294" s="95"/>
    </row>
    <row r="295" spans="1:7" ht="15.6" x14ac:dyDescent="0.25">
      <c r="A295" s="81" t="s">
        <v>1291</v>
      </c>
      <c r="B295" s="81" t="s">
        <v>1295</v>
      </c>
      <c r="C295" s="95" t="s">
        <v>7720</v>
      </c>
      <c r="D295" s="95" t="s">
        <v>1300</v>
      </c>
      <c r="E295" s="95" t="s">
        <v>1229</v>
      </c>
      <c r="F295" s="95" t="s">
        <v>7617</v>
      </c>
      <c r="G295" s="95"/>
    </row>
    <row r="296" spans="1:7" ht="15.6" x14ac:dyDescent="0.25">
      <c r="A296" s="81" t="s">
        <v>895</v>
      </c>
      <c r="B296" s="81" t="s">
        <v>899</v>
      </c>
      <c r="C296" s="95">
        <v>1</v>
      </c>
      <c r="D296" s="95" t="s">
        <v>461</v>
      </c>
      <c r="E296" s="95" t="s">
        <v>872</v>
      </c>
      <c r="F296" s="95" t="s">
        <v>7617</v>
      </c>
      <c r="G296" s="95"/>
    </row>
    <row r="297" spans="1:7" ht="15.6" x14ac:dyDescent="0.25">
      <c r="A297" s="81" t="s">
        <v>614</v>
      </c>
      <c r="B297" s="81" t="s">
        <v>618</v>
      </c>
      <c r="C297" s="95">
        <v>1</v>
      </c>
      <c r="D297" s="95" t="s">
        <v>461</v>
      </c>
      <c r="E297" s="95" t="s">
        <v>561</v>
      </c>
      <c r="F297" s="95" t="s">
        <v>7617</v>
      </c>
      <c r="G297" s="95"/>
    </row>
    <row r="298" spans="1:7" ht="15.6" x14ac:dyDescent="0.25">
      <c r="A298" s="81" t="s">
        <v>591</v>
      </c>
      <c r="B298" s="81" t="s">
        <v>595</v>
      </c>
      <c r="C298" s="95">
        <v>1</v>
      </c>
      <c r="D298" s="95" t="s">
        <v>461</v>
      </c>
      <c r="E298" s="95" t="s">
        <v>561</v>
      </c>
      <c r="F298" s="95" t="s">
        <v>7617</v>
      </c>
      <c r="G298" s="95"/>
    </row>
    <row r="299" spans="1:7" ht="15.6" x14ac:dyDescent="0.25">
      <c r="A299" s="81" t="s">
        <v>3162</v>
      </c>
      <c r="B299" s="81" t="s">
        <v>3166</v>
      </c>
      <c r="C299" s="95">
        <v>1</v>
      </c>
      <c r="D299" s="95" t="s">
        <v>578</v>
      </c>
      <c r="E299" s="95" t="s">
        <v>4000</v>
      </c>
      <c r="F299" s="95" t="s">
        <v>7617</v>
      </c>
      <c r="G299" s="95"/>
    </row>
    <row r="300" spans="1:7" ht="15.6" x14ac:dyDescent="0.25">
      <c r="A300" s="81" t="s">
        <v>3195</v>
      </c>
      <c r="B300" s="81" t="s">
        <v>3198</v>
      </c>
      <c r="C300" s="95">
        <v>1</v>
      </c>
      <c r="D300" s="95" t="s">
        <v>578</v>
      </c>
      <c r="E300" s="95" t="s">
        <v>4000</v>
      </c>
      <c r="F300" s="95" t="s">
        <v>7617</v>
      </c>
      <c r="G300" s="95"/>
    </row>
    <row r="301" spans="1:7" ht="15.6" x14ac:dyDescent="0.25">
      <c r="A301" s="81" t="s">
        <v>924</v>
      </c>
      <c r="B301" s="81" t="s">
        <v>931</v>
      </c>
      <c r="C301" s="95">
        <v>1</v>
      </c>
      <c r="D301" s="95" t="s">
        <v>461</v>
      </c>
      <c r="E301" s="95" t="s">
        <v>939</v>
      </c>
      <c r="F301" s="95" t="s">
        <v>7617</v>
      </c>
      <c r="G301" s="95"/>
    </row>
    <row r="302" spans="1:7" ht="15.6" x14ac:dyDescent="0.25">
      <c r="A302" s="81" t="s">
        <v>2608</v>
      </c>
      <c r="B302" s="81" t="s">
        <v>3427</v>
      </c>
      <c r="C302" s="95">
        <v>1</v>
      </c>
      <c r="D302" s="95" t="s">
        <v>3390</v>
      </c>
      <c r="E302" s="95" t="s">
        <v>2535</v>
      </c>
      <c r="F302" s="95" t="s">
        <v>7617</v>
      </c>
      <c r="G302" s="95"/>
    </row>
    <row r="303" spans="1:7" ht="15.6" x14ac:dyDescent="0.25">
      <c r="A303" s="81" t="s">
        <v>2608</v>
      </c>
      <c r="B303" s="81" t="s">
        <v>3427</v>
      </c>
      <c r="C303" s="95" t="s">
        <v>7720</v>
      </c>
      <c r="D303" s="95" t="s">
        <v>7660</v>
      </c>
      <c r="E303" s="95" t="s">
        <v>7705</v>
      </c>
      <c r="F303" s="95" t="s">
        <v>7617</v>
      </c>
      <c r="G303" s="95"/>
    </row>
    <row r="304" spans="1:7" ht="15.6" x14ac:dyDescent="0.25">
      <c r="A304" s="81" t="s">
        <v>2608</v>
      </c>
      <c r="B304" s="81" t="s">
        <v>3427</v>
      </c>
      <c r="C304" s="95" t="s">
        <v>7750</v>
      </c>
      <c r="D304" s="95" t="s">
        <v>7723</v>
      </c>
      <c r="E304" s="95" t="s">
        <v>2230</v>
      </c>
      <c r="F304" s="95" t="s">
        <v>7617</v>
      </c>
      <c r="G304" s="95"/>
    </row>
    <row r="305" spans="1:7" ht="15.6" x14ac:dyDescent="0.25">
      <c r="A305" s="81" t="s">
        <v>2608</v>
      </c>
      <c r="B305" s="81" t="s">
        <v>3427</v>
      </c>
      <c r="C305" s="95" t="s">
        <v>7751</v>
      </c>
      <c r="D305" s="95" t="s">
        <v>7752</v>
      </c>
      <c r="E305" s="95" t="s">
        <v>7571</v>
      </c>
      <c r="F305" s="95" t="s">
        <v>7617</v>
      </c>
      <c r="G305" s="95"/>
    </row>
    <row r="306" spans="1:7" ht="15.6" x14ac:dyDescent="0.25">
      <c r="A306" s="81" t="s">
        <v>2608</v>
      </c>
      <c r="B306" s="81" t="s">
        <v>3427</v>
      </c>
      <c r="C306" s="95" t="s">
        <v>7755</v>
      </c>
      <c r="D306" s="95" t="s">
        <v>682</v>
      </c>
      <c r="E306" s="95" t="s">
        <v>7700</v>
      </c>
      <c r="F306" s="95" t="s">
        <v>7617</v>
      </c>
      <c r="G306" s="95"/>
    </row>
    <row r="307" spans="1:7" ht="15.6" x14ac:dyDescent="0.25">
      <c r="A307" s="81" t="s">
        <v>2608</v>
      </c>
      <c r="B307" s="81" t="s">
        <v>3427</v>
      </c>
      <c r="C307" s="95" t="s">
        <v>7758</v>
      </c>
      <c r="D307" s="95" t="s">
        <v>1274</v>
      </c>
      <c r="E307" s="95" t="s">
        <v>4000</v>
      </c>
      <c r="F307" s="95" t="s">
        <v>7617</v>
      </c>
      <c r="G307" s="95"/>
    </row>
    <row r="308" spans="1:7" ht="15.6" x14ac:dyDescent="0.25">
      <c r="A308" s="81" t="s">
        <v>3413</v>
      </c>
      <c r="B308" s="81" t="s">
        <v>3417</v>
      </c>
      <c r="C308" s="95">
        <v>1</v>
      </c>
      <c r="D308" s="95" t="s">
        <v>2644</v>
      </c>
      <c r="E308" s="95" t="s">
        <v>4000</v>
      </c>
      <c r="F308" s="95" t="s">
        <v>7617</v>
      </c>
      <c r="G308" s="95"/>
    </row>
    <row r="309" spans="1:7" ht="15.6" x14ac:dyDescent="0.25">
      <c r="A309" s="81" t="s">
        <v>2486</v>
      </c>
      <c r="B309" s="81" t="s">
        <v>2491</v>
      </c>
      <c r="C309" s="95">
        <v>1</v>
      </c>
      <c r="D309" s="95" t="s">
        <v>1680</v>
      </c>
      <c r="E309" s="95" t="s">
        <v>4000</v>
      </c>
      <c r="F309" s="95" t="s">
        <v>7617</v>
      </c>
      <c r="G309" s="95"/>
    </row>
    <row r="310" spans="1:7" ht="15.6" x14ac:dyDescent="0.25">
      <c r="A310" s="81" t="s">
        <v>2926</v>
      </c>
      <c r="B310" s="81" t="s">
        <v>2930</v>
      </c>
      <c r="C310" s="95">
        <v>1</v>
      </c>
      <c r="D310" s="95" t="s">
        <v>2928</v>
      </c>
      <c r="E310" s="95" t="s">
        <v>7577</v>
      </c>
      <c r="F310" s="95" t="s">
        <v>7617</v>
      </c>
      <c r="G310" s="95"/>
    </row>
    <row r="311" spans="1:7" ht="15.6" x14ac:dyDescent="0.25">
      <c r="A311" s="81" t="s">
        <v>2926</v>
      </c>
      <c r="B311" s="81" t="s">
        <v>2930</v>
      </c>
      <c r="C311" s="95" t="s">
        <v>7720</v>
      </c>
      <c r="D311" s="95" t="s">
        <v>2222</v>
      </c>
      <c r="E311" s="95" t="s">
        <v>7706</v>
      </c>
      <c r="F311" s="95" t="s">
        <v>7617</v>
      </c>
      <c r="G311" s="95"/>
    </row>
    <row r="312" spans="1:7" ht="15.6" x14ac:dyDescent="0.25">
      <c r="A312" s="81" t="s">
        <v>2926</v>
      </c>
      <c r="B312" s="81" t="s">
        <v>2930</v>
      </c>
      <c r="C312" s="95" t="s">
        <v>7750</v>
      </c>
      <c r="D312" s="95" t="s">
        <v>7727</v>
      </c>
      <c r="E312" s="95" t="s">
        <v>4000</v>
      </c>
      <c r="F312" s="95" t="s">
        <v>7617</v>
      </c>
      <c r="G312" s="95"/>
    </row>
    <row r="313" spans="1:7" ht="15.6" x14ac:dyDescent="0.25">
      <c r="A313" s="81" t="s">
        <v>454</v>
      </c>
      <c r="B313" s="81" t="s">
        <v>464</v>
      </c>
      <c r="C313" s="95">
        <v>1</v>
      </c>
      <c r="D313" s="95" t="s">
        <v>460</v>
      </c>
      <c r="E313" s="95" t="s">
        <v>470</v>
      </c>
      <c r="F313" s="95" t="s">
        <v>7617</v>
      </c>
      <c r="G313" s="95"/>
    </row>
    <row r="314" spans="1:7" ht="15.6" x14ac:dyDescent="0.25">
      <c r="A314" s="81" t="s">
        <v>2564</v>
      </c>
      <c r="B314" s="81" t="s">
        <v>2567</v>
      </c>
      <c r="C314" s="95">
        <v>1</v>
      </c>
      <c r="D314" s="95" t="s">
        <v>2558</v>
      </c>
      <c r="E314" s="95" t="s">
        <v>7553</v>
      </c>
      <c r="F314" s="95" t="s">
        <v>7617</v>
      </c>
      <c r="G314" s="95"/>
    </row>
    <row r="315" spans="1:7" ht="15.6" x14ac:dyDescent="0.25">
      <c r="A315" s="81" t="s">
        <v>2564</v>
      </c>
      <c r="B315" s="81" t="s">
        <v>2567</v>
      </c>
      <c r="C315" s="95" t="s">
        <v>7720</v>
      </c>
      <c r="D315" s="95" t="s">
        <v>7640</v>
      </c>
      <c r="E315" s="95" t="s">
        <v>7338</v>
      </c>
      <c r="F315" s="95" t="s">
        <v>7617</v>
      </c>
      <c r="G315" s="95"/>
    </row>
    <row r="316" spans="1:7" ht="15.6" x14ac:dyDescent="0.25">
      <c r="A316" s="81" t="s">
        <v>2564</v>
      </c>
      <c r="B316" s="81" t="s">
        <v>2567</v>
      </c>
      <c r="C316" s="95" t="s">
        <v>7750</v>
      </c>
      <c r="D316" s="95" t="s">
        <v>7642</v>
      </c>
      <c r="E316" s="95" t="s">
        <v>1298</v>
      </c>
      <c r="F316" s="95" t="s">
        <v>7617</v>
      </c>
      <c r="G316" s="95"/>
    </row>
    <row r="317" spans="1:7" ht="15.6" x14ac:dyDescent="0.25">
      <c r="A317" s="81" t="s">
        <v>2564</v>
      </c>
      <c r="B317" s="81" t="s">
        <v>2567</v>
      </c>
      <c r="C317" s="95" t="s">
        <v>7751</v>
      </c>
      <c r="D317" s="95" t="s">
        <v>7744</v>
      </c>
      <c r="E317" s="95" t="s">
        <v>1281</v>
      </c>
      <c r="F317" s="95" t="s">
        <v>7617</v>
      </c>
      <c r="G317" s="95"/>
    </row>
    <row r="318" spans="1:7" ht="15.6" x14ac:dyDescent="0.25">
      <c r="A318" s="81" t="s">
        <v>2008</v>
      </c>
      <c r="B318" s="81" t="s">
        <v>2015</v>
      </c>
      <c r="C318" s="95">
        <v>1</v>
      </c>
      <c r="D318" s="95" t="s">
        <v>2013</v>
      </c>
      <c r="E318" s="95" t="s">
        <v>7578</v>
      </c>
      <c r="F318" s="95" t="s">
        <v>7617</v>
      </c>
      <c r="G318" s="95"/>
    </row>
    <row r="319" spans="1:7" ht="15.6" x14ac:dyDescent="0.25">
      <c r="A319" s="81" t="s">
        <v>2008</v>
      </c>
      <c r="B319" s="81" t="s">
        <v>2015</v>
      </c>
      <c r="C319" s="95" t="s">
        <v>7720</v>
      </c>
      <c r="D319" s="95" t="s">
        <v>7661</v>
      </c>
      <c r="E319" s="95" t="s">
        <v>7536</v>
      </c>
      <c r="F319" s="95" t="s">
        <v>7617</v>
      </c>
      <c r="G319" s="95"/>
    </row>
    <row r="320" spans="1:7" ht="15.6" x14ac:dyDescent="0.25">
      <c r="A320" s="81" t="s">
        <v>2008</v>
      </c>
      <c r="B320" s="81" t="s">
        <v>2015</v>
      </c>
      <c r="C320" s="95" t="s">
        <v>7750</v>
      </c>
      <c r="D320" s="95" t="s">
        <v>879</v>
      </c>
      <c r="E320" s="95" t="s">
        <v>4000</v>
      </c>
      <c r="F320" s="95" t="s">
        <v>7617</v>
      </c>
      <c r="G320" s="95"/>
    </row>
    <row r="321" spans="1:7" ht="15.6" x14ac:dyDescent="0.25">
      <c r="A321" s="81" t="s">
        <v>2571</v>
      </c>
      <c r="B321" s="81" t="s">
        <v>2575</v>
      </c>
      <c r="C321" s="95">
        <v>1</v>
      </c>
      <c r="D321" s="95" t="s">
        <v>578</v>
      </c>
      <c r="E321" s="95" t="s">
        <v>4000</v>
      </c>
      <c r="F321" s="95" t="s">
        <v>7617</v>
      </c>
      <c r="G321" s="95"/>
    </row>
    <row r="322" spans="1:7" ht="15.6" x14ac:dyDescent="0.25">
      <c r="A322" s="81" t="s">
        <v>1947</v>
      </c>
      <c r="B322" s="81" t="s">
        <v>1952</v>
      </c>
      <c r="C322" s="95">
        <v>1</v>
      </c>
      <c r="D322" s="95" t="s">
        <v>1950</v>
      </c>
      <c r="E322" s="95" t="s">
        <v>7579</v>
      </c>
      <c r="F322" s="95" t="s">
        <v>7617</v>
      </c>
      <c r="G322" s="95"/>
    </row>
    <row r="323" spans="1:7" ht="15.6" x14ac:dyDescent="0.25">
      <c r="A323" s="96" t="s">
        <v>1947</v>
      </c>
      <c r="B323" s="96" t="s">
        <v>1952</v>
      </c>
      <c r="C323" s="95" t="s">
        <v>7720</v>
      </c>
      <c r="D323" s="95" t="s">
        <v>7662</v>
      </c>
      <c r="E323" s="95" t="s">
        <v>7707</v>
      </c>
      <c r="F323" s="95" t="s">
        <v>7617</v>
      </c>
      <c r="G323" s="95"/>
    </row>
    <row r="324" spans="1:7" ht="15.6" x14ac:dyDescent="0.25">
      <c r="A324" s="96" t="s">
        <v>1947</v>
      </c>
      <c r="B324" s="96" t="s">
        <v>1952</v>
      </c>
      <c r="C324" s="95" t="s">
        <v>7750</v>
      </c>
      <c r="D324" s="95" t="s">
        <v>1094</v>
      </c>
      <c r="E324" s="95" t="s">
        <v>7536</v>
      </c>
      <c r="F324" s="95" t="s">
        <v>7617</v>
      </c>
      <c r="G324" s="95"/>
    </row>
    <row r="325" spans="1:7" ht="15.6" x14ac:dyDescent="0.25">
      <c r="A325" s="96" t="s">
        <v>1947</v>
      </c>
      <c r="B325" s="96" t="s">
        <v>1952</v>
      </c>
      <c r="C325" s="95" t="s">
        <v>7751</v>
      </c>
      <c r="D325" s="95" t="s">
        <v>879</v>
      </c>
      <c r="E325" s="95" t="s">
        <v>4000</v>
      </c>
      <c r="F325" s="95" t="s">
        <v>7617</v>
      </c>
      <c r="G325" s="95"/>
    </row>
    <row r="326" spans="1:7" ht="15.6" x14ac:dyDescent="0.25">
      <c r="A326" s="81" t="s">
        <v>1963</v>
      </c>
      <c r="B326" s="81" t="s">
        <v>1969</v>
      </c>
      <c r="C326" s="95">
        <v>1</v>
      </c>
      <c r="D326" s="95" t="s">
        <v>110</v>
      </c>
      <c r="E326" s="95" t="s">
        <v>7571</v>
      </c>
      <c r="F326" s="95" t="s">
        <v>7617</v>
      </c>
      <c r="G326" s="95"/>
    </row>
    <row r="327" spans="1:7" ht="15.6" x14ac:dyDescent="0.25">
      <c r="A327" s="81" t="s">
        <v>1963</v>
      </c>
      <c r="B327" s="81" t="s">
        <v>1969</v>
      </c>
      <c r="C327" s="95" t="s">
        <v>7720</v>
      </c>
      <c r="D327" s="95" t="s">
        <v>682</v>
      </c>
      <c r="E327" s="95" t="s">
        <v>7707</v>
      </c>
      <c r="F327" s="95" t="s">
        <v>7617</v>
      </c>
      <c r="G327" s="95"/>
    </row>
    <row r="328" spans="1:7" ht="15.6" x14ac:dyDescent="0.25">
      <c r="A328" s="81" t="s">
        <v>1963</v>
      </c>
      <c r="B328" s="81" t="s">
        <v>1969</v>
      </c>
      <c r="C328" s="95" t="s">
        <v>7750</v>
      </c>
      <c r="D328" s="95" t="s">
        <v>1094</v>
      </c>
      <c r="E328" s="95" t="s">
        <v>7536</v>
      </c>
      <c r="F328" s="95" t="s">
        <v>7617</v>
      </c>
      <c r="G328" s="95"/>
    </row>
    <row r="329" spans="1:7" ht="15.6" x14ac:dyDescent="0.25">
      <c r="A329" s="81" t="s">
        <v>1963</v>
      </c>
      <c r="B329" s="81" t="s">
        <v>1969</v>
      </c>
      <c r="C329" s="95" t="s">
        <v>7751</v>
      </c>
      <c r="D329" s="95" t="s">
        <v>879</v>
      </c>
      <c r="E329" s="95" t="s">
        <v>4000</v>
      </c>
      <c r="F329" s="95" t="s">
        <v>7617</v>
      </c>
      <c r="G329" s="95"/>
    </row>
    <row r="330" spans="1:7" ht="15.6" x14ac:dyDescent="0.25">
      <c r="A330" s="81" t="s">
        <v>571</v>
      </c>
      <c r="B330" s="81" t="s">
        <v>576</v>
      </c>
      <c r="C330" s="95">
        <v>1</v>
      </c>
      <c r="D330" s="95" t="s">
        <v>578</v>
      </c>
      <c r="E330" s="95" t="s">
        <v>561</v>
      </c>
      <c r="F330" s="95" t="s">
        <v>7617</v>
      </c>
      <c r="G330" s="95"/>
    </row>
    <row r="331" spans="1:7" ht="15.6" x14ac:dyDescent="0.25">
      <c r="A331" s="81" t="s">
        <v>2836</v>
      </c>
      <c r="B331" s="81" t="s">
        <v>2841</v>
      </c>
      <c r="C331" s="95">
        <v>1</v>
      </c>
      <c r="D331" s="95" t="s">
        <v>578</v>
      </c>
      <c r="E331" s="95" t="s">
        <v>4000</v>
      </c>
      <c r="F331" s="95" t="s">
        <v>7617</v>
      </c>
      <c r="G331" s="95"/>
    </row>
    <row r="332" spans="1:7" ht="15.6" x14ac:dyDescent="0.25">
      <c r="A332" s="81" t="s">
        <v>1926</v>
      </c>
      <c r="B332" s="81" t="s">
        <v>1929</v>
      </c>
      <c r="C332" s="95">
        <v>1</v>
      </c>
      <c r="D332" s="95" t="s">
        <v>1680</v>
      </c>
      <c r="E332" s="95" t="s">
        <v>3014</v>
      </c>
      <c r="F332" s="95" t="s">
        <v>7617</v>
      </c>
      <c r="G332" s="95"/>
    </row>
    <row r="333" spans="1:7" ht="15.6" x14ac:dyDescent="0.25">
      <c r="A333" s="81" t="s">
        <v>1926</v>
      </c>
      <c r="B333" s="81" t="s">
        <v>1929</v>
      </c>
      <c r="C333" s="95" t="s">
        <v>7720</v>
      </c>
      <c r="D333" s="95" t="s">
        <v>1857</v>
      </c>
      <c r="E333" s="95" t="s">
        <v>4000</v>
      </c>
      <c r="F333" s="95" t="s">
        <v>7617</v>
      </c>
      <c r="G333" s="95"/>
    </row>
    <row r="334" spans="1:7" ht="15.6" x14ac:dyDescent="0.25">
      <c r="A334" s="81" t="s">
        <v>1557</v>
      </c>
      <c r="B334" s="81" t="s">
        <v>1563</v>
      </c>
      <c r="C334" s="95">
        <v>1</v>
      </c>
      <c r="D334" s="95" t="s">
        <v>1561</v>
      </c>
      <c r="E334" s="95" t="s">
        <v>7580</v>
      </c>
      <c r="F334" s="95" t="s">
        <v>7617</v>
      </c>
      <c r="G334" s="95"/>
    </row>
    <row r="335" spans="1:7" ht="15.6" x14ac:dyDescent="0.25">
      <c r="A335" s="81" t="s">
        <v>1557</v>
      </c>
      <c r="B335" s="81" t="s">
        <v>1563</v>
      </c>
      <c r="C335" s="95" t="s">
        <v>7720</v>
      </c>
      <c r="D335" s="95" t="s">
        <v>7663</v>
      </c>
      <c r="E335" s="95" t="s">
        <v>450</v>
      </c>
      <c r="F335" s="95" t="s">
        <v>7617</v>
      </c>
      <c r="G335" s="95"/>
    </row>
    <row r="336" spans="1:7" ht="15.6" x14ac:dyDescent="0.25">
      <c r="A336" s="81" t="s">
        <v>1557</v>
      </c>
      <c r="B336" s="81" t="s">
        <v>1563</v>
      </c>
      <c r="C336" s="95" t="s">
        <v>7750</v>
      </c>
      <c r="D336" s="95" t="s">
        <v>578</v>
      </c>
      <c r="E336" s="95" t="s">
        <v>4000</v>
      </c>
      <c r="F336" s="95" t="s">
        <v>7617</v>
      </c>
      <c r="G336" s="95"/>
    </row>
    <row r="337" spans="1:7" ht="15.6" x14ac:dyDescent="0.25">
      <c r="A337" s="81" t="s">
        <v>2408</v>
      </c>
      <c r="B337" s="81" t="s">
        <v>2412</v>
      </c>
      <c r="C337" s="95">
        <v>1</v>
      </c>
      <c r="D337" s="95" t="s">
        <v>1680</v>
      </c>
      <c r="E337" s="95" t="s">
        <v>7528</v>
      </c>
      <c r="F337" s="95" t="s">
        <v>7617</v>
      </c>
      <c r="G337" s="95"/>
    </row>
    <row r="338" spans="1:7" ht="15.6" x14ac:dyDescent="0.25">
      <c r="A338" s="81" t="s">
        <v>2408</v>
      </c>
      <c r="B338" s="81" t="s">
        <v>2412</v>
      </c>
      <c r="C338" s="95" t="s">
        <v>7720</v>
      </c>
      <c r="D338" s="95" t="s">
        <v>1430</v>
      </c>
      <c r="E338" s="95" t="s">
        <v>1090</v>
      </c>
      <c r="F338" s="95" t="s">
        <v>7617</v>
      </c>
      <c r="G338" s="95"/>
    </row>
    <row r="339" spans="1:7" ht="15.6" x14ac:dyDescent="0.25">
      <c r="A339" s="81" t="s">
        <v>1427</v>
      </c>
      <c r="B339" s="81" t="s">
        <v>1432</v>
      </c>
      <c r="C339" s="95">
        <v>1</v>
      </c>
      <c r="D339" s="95" t="s">
        <v>1430</v>
      </c>
      <c r="E339" s="95" t="s">
        <v>7581</v>
      </c>
      <c r="F339" s="95" t="s">
        <v>7617</v>
      </c>
      <c r="G339" s="95"/>
    </row>
    <row r="340" spans="1:7" ht="15.6" x14ac:dyDescent="0.25">
      <c r="A340" s="81" t="s">
        <v>1427</v>
      </c>
      <c r="B340" s="81" t="s">
        <v>1432</v>
      </c>
      <c r="C340" s="95" t="s">
        <v>7720</v>
      </c>
      <c r="D340" s="95" t="s">
        <v>1438</v>
      </c>
      <c r="E340" s="95" t="s">
        <v>1281</v>
      </c>
      <c r="F340" s="95" t="s">
        <v>7617</v>
      </c>
      <c r="G340" s="95"/>
    </row>
    <row r="341" spans="1:7" ht="15.6" x14ac:dyDescent="0.25">
      <c r="A341" s="81" t="s">
        <v>2124</v>
      </c>
      <c r="B341" s="81" t="s">
        <v>2129</v>
      </c>
      <c r="C341" s="95">
        <v>1</v>
      </c>
      <c r="D341" s="95" t="s">
        <v>1680</v>
      </c>
      <c r="E341" s="95" t="s">
        <v>7528</v>
      </c>
      <c r="F341" s="95" t="s">
        <v>7617</v>
      </c>
      <c r="G341" s="95" t="s">
        <v>10017</v>
      </c>
    </row>
    <row r="342" spans="1:7" ht="15.6" x14ac:dyDescent="0.25">
      <c r="A342" s="81" t="s">
        <v>2124</v>
      </c>
      <c r="B342" s="81" t="s">
        <v>2129</v>
      </c>
      <c r="C342" s="95" t="s">
        <v>7720</v>
      </c>
      <c r="D342" s="95" t="s">
        <v>1430</v>
      </c>
      <c r="E342" s="95" t="s">
        <v>1090</v>
      </c>
      <c r="F342" s="95" t="s">
        <v>7617</v>
      </c>
      <c r="G342" s="95"/>
    </row>
    <row r="343" spans="1:7" ht="15.6" x14ac:dyDescent="0.25">
      <c r="A343" s="81" t="s">
        <v>2772</v>
      </c>
      <c r="B343" s="81" t="s">
        <v>2776</v>
      </c>
      <c r="C343" s="95">
        <v>1</v>
      </c>
      <c r="D343" s="95" t="s">
        <v>2774</v>
      </c>
      <c r="E343" s="95" t="s">
        <v>7582</v>
      </c>
      <c r="F343" s="95" t="s">
        <v>7617</v>
      </c>
      <c r="G343" s="95"/>
    </row>
    <row r="344" spans="1:7" ht="15.6" x14ac:dyDescent="0.25">
      <c r="A344" s="81" t="s">
        <v>2772</v>
      </c>
      <c r="B344" s="81" t="s">
        <v>2776</v>
      </c>
      <c r="C344" s="95" t="s">
        <v>7720</v>
      </c>
      <c r="D344" s="95" t="s">
        <v>7664</v>
      </c>
      <c r="E344" s="95" t="s">
        <v>7708</v>
      </c>
      <c r="F344" s="95" t="s">
        <v>7617</v>
      </c>
      <c r="G344" s="95"/>
    </row>
    <row r="345" spans="1:7" ht="15.6" x14ac:dyDescent="0.25">
      <c r="A345" s="81" t="s">
        <v>2772</v>
      </c>
      <c r="B345" s="81" t="s">
        <v>2776</v>
      </c>
      <c r="C345" s="95" t="s">
        <v>7750</v>
      </c>
      <c r="D345" s="95" t="s">
        <v>7740</v>
      </c>
      <c r="E345" s="95" t="s">
        <v>1298</v>
      </c>
      <c r="F345" s="95" t="s">
        <v>7617</v>
      </c>
      <c r="G345" s="95"/>
    </row>
    <row r="346" spans="1:7" ht="15.6" x14ac:dyDescent="0.25">
      <c r="A346" s="81" t="s">
        <v>2772</v>
      </c>
      <c r="B346" s="81" t="s">
        <v>2776</v>
      </c>
      <c r="C346" s="95" t="s">
        <v>7751</v>
      </c>
      <c r="D346" s="95" t="s">
        <v>7744</v>
      </c>
      <c r="E346" s="95" t="s">
        <v>4000</v>
      </c>
      <c r="F346" s="95" t="s">
        <v>7617</v>
      </c>
      <c r="G346" s="95"/>
    </row>
    <row r="347" spans="1:7" ht="15.6" x14ac:dyDescent="0.25">
      <c r="A347" s="81" t="s">
        <v>2862</v>
      </c>
      <c r="B347" s="81" t="s">
        <v>2867</v>
      </c>
      <c r="C347" s="95">
        <v>1</v>
      </c>
      <c r="D347" s="95" t="s">
        <v>578</v>
      </c>
      <c r="E347" s="95" t="s">
        <v>4000</v>
      </c>
      <c r="F347" s="95" t="s">
        <v>7617</v>
      </c>
      <c r="G347" s="95"/>
    </row>
    <row r="348" spans="1:7" ht="15.6" x14ac:dyDescent="0.25">
      <c r="A348" s="81" t="s">
        <v>1858</v>
      </c>
      <c r="B348" s="81" t="s">
        <v>1861</v>
      </c>
      <c r="C348" s="95">
        <v>1</v>
      </c>
      <c r="D348" s="95" t="s">
        <v>1680</v>
      </c>
      <c r="E348" s="95" t="s">
        <v>7528</v>
      </c>
      <c r="F348" s="95" t="s">
        <v>7617</v>
      </c>
      <c r="G348" s="95"/>
    </row>
    <row r="349" spans="1:7" ht="15.6" x14ac:dyDescent="0.25">
      <c r="A349" s="81" t="s">
        <v>1858</v>
      </c>
      <c r="B349" s="81" t="s">
        <v>1861</v>
      </c>
      <c r="C349" s="95" t="s">
        <v>7720</v>
      </c>
      <c r="D349" s="95" t="s">
        <v>1430</v>
      </c>
      <c r="E349" s="95" t="s">
        <v>1090</v>
      </c>
      <c r="F349" s="95" t="s">
        <v>7617</v>
      </c>
      <c r="G349" s="95"/>
    </row>
    <row r="350" spans="1:7" ht="15.6" x14ac:dyDescent="0.25">
      <c r="A350" s="81" t="s">
        <v>2091</v>
      </c>
      <c r="B350" s="81" t="s">
        <v>2096</v>
      </c>
      <c r="C350" s="95">
        <v>1</v>
      </c>
      <c r="D350" s="95" t="s">
        <v>716</v>
      </c>
      <c r="E350" s="95" t="s">
        <v>7338</v>
      </c>
      <c r="F350" s="95" t="s">
        <v>7617</v>
      </c>
      <c r="G350" s="95"/>
    </row>
    <row r="351" spans="1:7" ht="15.6" x14ac:dyDescent="0.25">
      <c r="A351" s="81" t="s">
        <v>2091</v>
      </c>
      <c r="B351" s="81" t="s">
        <v>2096</v>
      </c>
      <c r="C351" s="95" t="s">
        <v>7720</v>
      </c>
      <c r="D351" s="95" t="s">
        <v>7642</v>
      </c>
      <c r="E351" s="95" t="s">
        <v>7596</v>
      </c>
      <c r="F351" s="95" t="s">
        <v>7617</v>
      </c>
      <c r="G351" s="95"/>
    </row>
    <row r="352" spans="1:7" ht="15.6" x14ac:dyDescent="0.25">
      <c r="A352" s="81" t="s">
        <v>2091</v>
      </c>
      <c r="B352" s="81" t="s">
        <v>2096</v>
      </c>
      <c r="C352" s="95" t="s">
        <v>7750</v>
      </c>
      <c r="D352" s="95" t="s">
        <v>7565</v>
      </c>
      <c r="E352" s="95" t="s">
        <v>1298</v>
      </c>
      <c r="F352" s="95" t="s">
        <v>7617</v>
      </c>
      <c r="G352" s="95"/>
    </row>
    <row r="353" spans="1:7" ht="15.6" x14ac:dyDescent="0.25">
      <c r="A353" s="81" t="s">
        <v>2091</v>
      </c>
      <c r="B353" s="81" t="s">
        <v>2096</v>
      </c>
      <c r="C353" s="95" t="s">
        <v>7751</v>
      </c>
      <c r="D353" s="95" t="s">
        <v>7744</v>
      </c>
      <c r="E353" s="95" t="s">
        <v>450</v>
      </c>
      <c r="F353" s="95" t="s">
        <v>7617</v>
      </c>
      <c r="G353" s="95"/>
    </row>
    <row r="354" spans="1:7" ht="15.6" x14ac:dyDescent="0.25">
      <c r="A354" s="81" t="s">
        <v>2091</v>
      </c>
      <c r="B354" s="81" t="s">
        <v>2096</v>
      </c>
      <c r="C354" s="95" t="s">
        <v>7755</v>
      </c>
      <c r="D354" s="95" t="s">
        <v>578</v>
      </c>
      <c r="E354" s="95" t="s">
        <v>894</v>
      </c>
      <c r="F354" s="95" t="s">
        <v>7617</v>
      </c>
      <c r="G354" s="95"/>
    </row>
    <row r="355" spans="1:7" ht="15.6" x14ac:dyDescent="0.25">
      <c r="A355" s="81" t="s">
        <v>502</v>
      </c>
      <c r="B355" s="81" t="s">
        <v>511</v>
      </c>
      <c r="C355" s="95">
        <v>1</v>
      </c>
      <c r="D355" s="95" t="s">
        <v>507</v>
      </c>
      <c r="E355" s="95" t="s">
        <v>519</v>
      </c>
      <c r="F355" s="95" t="s">
        <v>7617</v>
      </c>
      <c r="G355" s="95"/>
    </row>
    <row r="356" spans="1:7" ht="15.6" x14ac:dyDescent="0.25">
      <c r="A356" s="81" t="s">
        <v>1788</v>
      </c>
      <c r="B356" s="81" t="s">
        <v>1791</v>
      </c>
      <c r="C356" s="95">
        <v>1</v>
      </c>
      <c r="D356" s="95" t="s">
        <v>461</v>
      </c>
      <c r="E356" s="95" t="s">
        <v>1229</v>
      </c>
      <c r="F356" s="95" t="s">
        <v>7617</v>
      </c>
      <c r="G356" s="95"/>
    </row>
    <row r="357" spans="1:7" ht="15.6" x14ac:dyDescent="0.25">
      <c r="A357" s="81" t="s">
        <v>1415</v>
      </c>
      <c r="B357" s="81" t="s">
        <v>1421</v>
      </c>
      <c r="C357" s="95">
        <v>1</v>
      </c>
      <c r="D357" s="95" t="s">
        <v>1418</v>
      </c>
      <c r="E357" s="95" t="s">
        <v>1186</v>
      </c>
      <c r="F357" s="95" t="s">
        <v>7617</v>
      </c>
      <c r="G357" s="95"/>
    </row>
    <row r="358" spans="1:7" ht="15.6" x14ac:dyDescent="0.25">
      <c r="A358" s="81" t="s">
        <v>1415</v>
      </c>
      <c r="B358" s="81" t="s">
        <v>1421</v>
      </c>
      <c r="C358" s="95" t="s">
        <v>7720</v>
      </c>
      <c r="D358" s="95" t="s">
        <v>1426</v>
      </c>
      <c r="E358" s="95" t="s">
        <v>1229</v>
      </c>
      <c r="F358" s="95" t="s">
        <v>7617</v>
      </c>
      <c r="G358" s="95"/>
    </row>
    <row r="359" spans="1:7" ht="15.6" x14ac:dyDescent="0.25">
      <c r="A359" s="81" t="s">
        <v>1109</v>
      </c>
      <c r="B359" s="81" t="s">
        <v>1116</v>
      </c>
      <c r="C359" s="95">
        <v>1</v>
      </c>
      <c r="D359" s="95" t="s">
        <v>1106</v>
      </c>
      <c r="E359" s="95" t="s">
        <v>7583</v>
      </c>
      <c r="F359" s="95" t="s">
        <v>7617</v>
      </c>
      <c r="G359" s="95"/>
    </row>
    <row r="360" spans="1:7" ht="15.6" x14ac:dyDescent="0.25">
      <c r="A360" s="81" t="s">
        <v>1109</v>
      </c>
      <c r="B360" s="81" t="s">
        <v>1116</v>
      </c>
      <c r="C360" s="95" t="s">
        <v>7720</v>
      </c>
      <c r="D360" s="95" t="s">
        <v>1125</v>
      </c>
      <c r="E360" s="95" t="s">
        <v>1126</v>
      </c>
      <c r="F360" s="95" t="s">
        <v>7617</v>
      </c>
      <c r="G360" s="95"/>
    </row>
    <row r="361" spans="1:7" ht="15.6" x14ac:dyDescent="0.25">
      <c r="A361" s="81" t="s">
        <v>3056</v>
      </c>
      <c r="B361" s="81" t="s">
        <v>3062</v>
      </c>
      <c r="C361" s="95">
        <v>1</v>
      </c>
      <c r="D361" s="95" t="s">
        <v>578</v>
      </c>
      <c r="E361" s="95" t="s">
        <v>4000</v>
      </c>
      <c r="F361" s="95" t="s">
        <v>7617</v>
      </c>
      <c r="G361" s="95"/>
    </row>
    <row r="362" spans="1:7" ht="15.6" x14ac:dyDescent="0.25">
      <c r="A362" s="81" t="s">
        <v>2684</v>
      </c>
      <c r="B362" s="81" t="s">
        <v>2688</v>
      </c>
      <c r="C362" s="95">
        <v>1</v>
      </c>
      <c r="D362" s="95" t="s">
        <v>578</v>
      </c>
      <c r="E362" s="95" t="s">
        <v>663</v>
      </c>
      <c r="F362" s="95" t="s">
        <v>7617</v>
      </c>
      <c r="G362" s="95"/>
    </row>
    <row r="363" spans="1:7" ht="15.6" x14ac:dyDescent="0.25">
      <c r="A363" s="81" t="s">
        <v>2416</v>
      </c>
      <c r="B363" s="81" t="s">
        <v>2420</v>
      </c>
      <c r="C363" s="95">
        <v>1</v>
      </c>
      <c r="D363" s="95" t="s">
        <v>1680</v>
      </c>
      <c r="E363" s="95" t="s">
        <v>7528</v>
      </c>
      <c r="F363" s="95" t="s">
        <v>7617</v>
      </c>
      <c r="G363" s="95"/>
    </row>
    <row r="364" spans="1:7" ht="15.6" x14ac:dyDescent="0.25">
      <c r="A364" s="81" t="s">
        <v>2416</v>
      </c>
      <c r="B364" s="81" t="s">
        <v>2420</v>
      </c>
      <c r="C364" s="95" t="s">
        <v>7720</v>
      </c>
      <c r="D364" s="95" t="s">
        <v>1430</v>
      </c>
      <c r="E364" s="95" t="s">
        <v>4000</v>
      </c>
      <c r="F364" s="95" t="s">
        <v>7617</v>
      </c>
      <c r="G364" s="95"/>
    </row>
    <row r="365" spans="1:7" ht="15.6" x14ac:dyDescent="0.25">
      <c r="A365" s="81" t="s">
        <v>1781</v>
      </c>
      <c r="B365" s="81" t="s">
        <v>1785</v>
      </c>
      <c r="C365" s="95">
        <v>1</v>
      </c>
      <c r="D365" s="95" t="s">
        <v>1680</v>
      </c>
      <c r="E365" s="95" t="s">
        <v>7528</v>
      </c>
      <c r="F365" s="95" t="s">
        <v>7617</v>
      </c>
      <c r="G365" s="95"/>
    </row>
    <row r="366" spans="1:7" ht="15.6" x14ac:dyDescent="0.25">
      <c r="A366" s="81" t="s">
        <v>1781</v>
      </c>
      <c r="B366" s="81" t="s">
        <v>1785</v>
      </c>
      <c r="C366" s="95" t="s">
        <v>7720</v>
      </c>
      <c r="D366" s="95" t="s">
        <v>1430</v>
      </c>
      <c r="E366" s="95" t="s">
        <v>1090</v>
      </c>
      <c r="F366" s="95" t="s">
        <v>7617</v>
      </c>
      <c r="G366" s="95"/>
    </row>
    <row r="367" spans="1:7" ht="15.6" x14ac:dyDescent="0.25">
      <c r="A367" s="81" t="s">
        <v>1641</v>
      </c>
      <c r="B367" s="81" t="s">
        <v>1644</v>
      </c>
      <c r="C367" s="95">
        <v>1</v>
      </c>
      <c r="D367" s="95" t="s">
        <v>661</v>
      </c>
      <c r="E367" s="95" t="s">
        <v>1082</v>
      </c>
      <c r="F367" s="95" t="s">
        <v>7617</v>
      </c>
      <c r="G367" s="95"/>
    </row>
    <row r="368" spans="1:7" ht="15.6" x14ac:dyDescent="0.25">
      <c r="A368" s="81" t="s">
        <v>1641</v>
      </c>
      <c r="B368" s="81" t="s">
        <v>1644</v>
      </c>
      <c r="C368" s="95" t="s">
        <v>7720</v>
      </c>
      <c r="D368" s="95" t="s">
        <v>1266</v>
      </c>
      <c r="E368" s="95" t="s">
        <v>7586</v>
      </c>
      <c r="F368" s="95" t="s">
        <v>7617</v>
      </c>
      <c r="G368" s="95"/>
    </row>
    <row r="369" spans="1:7" ht="15.6" x14ac:dyDescent="0.25">
      <c r="A369" s="81" t="s">
        <v>1641</v>
      </c>
      <c r="B369" s="81" t="s">
        <v>1644</v>
      </c>
      <c r="C369" s="95" t="s">
        <v>7750</v>
      </c>
      <c r="D369" s="95" t="s">
        <v>1645</v>
      </c>
      <c r="E369" s="95" t="s">
        <v>1311</v>
      </c>
      <c r="F369" s="95" t="s">
        <v>7617</v>
      </c>
      <c r="G369" s="95"/>
    </row>
    <row r="370" spans="1:7" ht="15.6" x14ac:dyDescent="0.25">
      <c r="A370" s="81" t="s">
        <v>952</v>
      </c>
      <c r="B370" s="81" t="s">
        <v>955</v>
      </c>
      <c r="C370" s="95">
        <v>1</v>
      </c>
      <c r="D370" s="95" t="s">
        <v>466</v>
      </c>
      <c r="E370" s="95" t="s">
        <v>273</v>
      </c>
      <c r="F370" s="95" t="s">
        <v>7617</v>
      </c>
      <c r="G370" s="95"/>
    </row>
    <row r="371" spans="1:7" ht="15.6" x14ac:dyDescent="0.25">
      <c r="A371" s="81" t="s">
        <v>952</v>
      </c>
      <c r="B371" s="81" t="s">
        <v>955</v>
      </c>
      <c r="C371" s="95" t="s">
        <v>7720</v>
      </c>
      <c r="D371" s="95" t="s">
        <v>554</v>
      </c>
      <c r="E371" s="95" t="s">
        <v>923</v>
      </c>
      <c r="F371" s="95" t="s">
        <v>7617</v>
      </c>
      <c r="G371" s="95"/>
    </row>
    <row r="372" spans="1:7" ht="15.6" x14ac:dyDescent="0.25">
      <c r="A372" s="81" t="s">
        <v>963</v>
      </c>
      <c r="B372" s="81" t="s">
        <v>968</v>
      </c>
      <c r="C372" s="95">
        <v>1</v>
      </c>
      <c r="D372" s="95" t="s">
        <v>466</v>
      </c>
      <c r="E372" s="95" t="s">
        <v>273</v>
      </c>
      <c r="F372" s="95" t="s">
        <v>7617</v>
      </c>
      <c r="G372" s="95"/>
    </row>
    <row r="373" spans="1:7" ht="15.6" x14ac:dyDescent="0.25">
      <c r="A373" s="81" t="s">
        <v>963</v>
      </c>
      <c r="B373" s="81" t="s">
        <v>968</v>
      </c>
      <c r="C373" s="95" t="s">
        <v>7720</v>
      </c>
      <c r="D373" s="95" t="s">
        <v>554</v>
      </c>
      <c r="E373" s="95" t="s">
        <v>939</v>
      </c>
      <c r="F373" s="95" t="s">
        <v>7617</v>
      </c>
      <c r="G373" s="95"/>
    </row>
    <row r="374" spans="1:7" ht="15.6" x14ac:dyDescent="0.25">
      <c r="A374" s="81" t="s">
        <v>2742</v>
      </c>
      <c r="B374" s="81" t="s">
        <v>2746</v>
      </c>
      <c r="C374" s="95">
        <v>1</v>
      </c>
      <c r="D374" s="95" t="s">
        <v>578</v>
      </c>
      <c r="E374" s="95" t="s">
        <v>4000</v>
      </c>
      <c r="F374" s="95" t="s">
        <v>7617</v>
      </c>
      <c r="G374" s="95"/>
    </row>
    <row r="375" spans="1:7" ht="15.6" x14ac:dyDescent="0.25">
      <c r="A375" s="81" t="s">
        <v>1886</v>
      </c>
      <c r="B375" s="81" t="s">
        <v>1889</v>
      </c>
      <c r="C375" s="95">
        <v>1</v>
      </c>
      <c r="D375" s="95" t="s">
        <v>1680</v>
      </c>
      <c r="E375" s="95" t="s">
        <v>7584</v>
      </c>
      <c r="F375" s="95" t="s">
        <v>7617</v>
      </c>
      <c r="G375" s="95"/>
    </row>
    <row r="376" spans="1:7" ht="15.6" x14ac:dyDescent="0.25">
      <c r="A376" s="81" t="s">
        <v>1886</v>
      </c>
      <c r="B376" s="81" t="s">
        <v>1889</v>
      </c>
      <c r="C376" s="95" t="s">
        <v>7720</v>
      </c>
      <c r="D376" s="95" t="s">
        <v>7665</v>
      </c>
      <c r="E376" s="95" t="s">
        <v>7709</v>
      </c>
      <c r="F376" s="95" t="s">
        <v>7617</v>
      </c>
      <c r="G376" s="95"/>
    </row>
    <row r="377" spans="1:7" ht="15.6" x14ac:dyDescent="0.25">
      <c r="A377" s="81" t="s">
        <v>1886</v>
      </c>
      <c r="B377" s="81" t="s">
        <v>1889</v>
      </c>
      <c r="C377" s="95" t="s">
        <v>7750</v>
      </c>
      <c r="D377" s="95" t="s">
        <v>7743</v>
      </c>
      <c r="E377" s="95" t="s">
        <v>7356</v>
      </c>
      <c r="F377" s="95" t="s">
        <v>7617</v>
      </c>
      <c r="G377" s="95"/>
    </row>
    <row r="378" spans="1:7" ht="15.6" x14ac:dyDescent="0.25">
      <c r="A378" s="81" t="s">
        <v>1886</v>
      </c>
      <c r="B378" s="81" t="s">
        <v>1889</v>
      </c>
      <c r="C378" s="95" t="s">
        <v>7751</v>
      </c>
      <c r="D378" s="95" t="s">
        <v>656</v>
      </c>
      <c r="E378" s="95" t="s">
        <v>1166</v>
      </c>
      <c r="F378" s="95" t="s">
        <v>7617</v>
      </c>
      <c r="G378" s="95"/>
    </row>
    <row r="379" spans="1:7" ht="15.6" x14ac:dyDescent="0.25">
      <c r="A379" s="81" t="s">
        <v>1726</v>
      </c>
      <c r="B379" s="81" t="s">
        <v>1732</v>
      </c>
      <c r="C379" s="95">
        <v>1</v>
      </c>
      <c r="D379" s="95" t="s">
        <v>1729</v>
      </c>
      <c r="E379" s="95" t="s">
        <v>7585</v>
      </c>
      <c r="F379" s="95" t="s">
        <v>7617</v>
      </c>
      <c r="G379" s="95"/>
    </row>
    <row r="380" spans="1:7" ht="15.6" x14ac:dyDescent="0.25">
      <c r="A380" s="81" t="s">
        <v>1726</v>
      </c>
      <c r="B380" s="81" t="s">
        <v>1732</v>
      </c>
      <c r="C380" s="95" t="s">
        <v>7720</v>
      </c>
      <c r="D380" s="95" t="s">
        <v>1155</v>
      </c>
      <c r="E380" s="95" t="s">
        <v>7700</v>
      </c>
      <c r="F380" s="95" t="s">
        <v>7617</v>
      </c>
      <c r="G380" s="95"/>
    </row>
    <row r="381" spans="1:7" ht="15.6" x14ac:dyDescent="0.25">
      <c r="A381" s="81" t="s">
        <v>1726</v>
      </c>
      <c r="B381" s="81" t="s">
        <v>1732</v>
      </c>
      <c r="C381" s="95" t="s">
        <v>7750</v>
      </c>
      <c r="D381" s="95" t="s">
        <v>1274</v>
      </c>
      <c r="E381" s="95" t="s">
        <v>1478</v>
      </c>
      <c r="F381" s="95" t="s">
        <v>7617</v>
      </c>
      <c r="G381" s="95"/>
    </row>
    <row r="382" spans="1:7" ht="15.6" x14ac:dyDescent="0.25">
      <c r="A382" s="81" t="s">
        <v>988</v>
      </c>
      <c r="B382" s="81" t="s">
        <v>992</v>
      </c>
      <c r="C382" s="95">
        <v>1</v>
      </c>
      <c r="D382" s="95" t="s">
        <v>461</v>
      </c>
      <c r="E382" s="95" t="s">
        <v>923</v>
      </c>
      <c r="F382" s="95" t="s">
        <v>7617</v>
      </c>
      <c r="G382" s="95"/>
    </row>
    <row r="383" spans="1:7" ht="15.6" x14ac:dyDescent="0.25">
      <c r="A383" s="81" t="s">
        <v>1827</v>
      </c>
      <c r="B383" s="81" t="s">
        <v>3107</v>
      </c>
      <c r="C383" s="95">
        <v>1</v>
      </c>
      <c r="D383" s="95" t="s">
        <v>2238</v>
      </c>
      <c r="E383" s="95" t="s">
        <v>4000</v>
      </c>
      <c r="F383" s="95" t="s">
        <v>7617</v>
      </c>
      <c r="G383" s="95"/>
    </row>
    <row r="384" spans="1:7" ht="15.6" x14ac:dyDescent="0.25">
      <c r="A384" s="81" t="s">
        <v>1688</v>
      </c>
      <c r="B384" s="81" t="s">
        <v>1692</v>
      </c>
      <c r="C384" s="95">
        <v>1</v>
      </c>
      <c r="D384" s="95" t="s">
        <v>1680</v>
      </c>
      <c r="E384" s="95" t="s">
        <v>7584</v>
      </c>
      <c r="F384" s="95" t="s">
        <v>7617</v>
      </c>
      <c r="G384" s="95"/>
    </row>
    <row r="385" spans="1:7" ht="15.6" x14ac:dyDescent="0.25">
      <c r="A385" s="81" t="s">
        <v>1688</v>
      </c>
      <c r="B385" s="81" t="s">
        <v>1692</v>
      </c>
      <c r="C385" s="95" t="s">
        <v>7720</v>
      </c>
      <c r="D385" s="95" t="s">
        <v>7665</v>
      </c>
      <c r="E385" s="95" t="s">
        <v>7586</v>
      </c>
      <c r="F385" s="95" t="s">
        <v>7617</v>
      </c>
      <c r="G385" s="95"/>
    </row>
    <row r="386" spans="1:7" ht="15.6" x14ac:dyDescent="0.25">
      <c r="A386" s="81" t="s">
        <v>1688</v>
      </c>
      <c r="B386" s="81" t="s">
        <v>1692</v>
      </c>
      <c r="C386" s="95" t="s">
        <v>7750</v>
      </c>
      <c r="D386" s="95" t="s">
        <v>1645</v>
      </c>
      <c r="E386" s="95" t="s">
        <v>1311</v>
      </c>
      <c r="F386" s="95" t="s">
        <v>7617</v>
      </c>
      <c r="G386" s="95"/>
    </row>
    <row r="387" spans="1:7" ht="15.6" x14ac:dyDescent="0.25">
      <c r="A387" s="81" t="s">
        <v>1933</v>
      </c>
      <c r="B387" s="81" t="s">
        <v>1938</v>
      </c>
      <c r="C387" s="95">
        <v>1</v>
      </c>
      <c r="D387" s="95" t="s">
        <v>1936</v>
      </c>
      <c r="E387" s="95" t="s">
        <v>7281</v>
      </c>
      <c r="F387" s="95" t="s">
        <v>7617</v>
      </c>
      <c r="G387" s="95"/>
    </row>
    <row r="388" spans="1:7" ht="15.6" x14ac:dyDescent="0.25">
      <c r="A388" s="81" t="s">
        <v>1933</v>
      </c>
      <c r="B388" s="81" t="s">
        <v>1938</v>
      </c>
      <c r="C388" s="95" t="s">
        <v>7720</v>
      </c>
      <c r="D388" s="95" t="s">
        <v>7666</v>
      </c>
      <c r="E388" s="95" t="s">
        <v>1298</v>
      </c>
      <c r="F388" s="95" t="s">
        <v>7617</v>
      </c>
      <c r="G388" s="95"/>
    </row>
    <row r="389" spans="1:7" ht="15.6" x14ac:dyDescent="0.25">
      <c r="A389" s="81" t="s">
        <v>1933</v>
      </c>
      <c r="B389" s="81" t="s">
        <v>1938</v>
      </c>
      <c r="C389" s="95" t="s">
        <v>7750</v>
      </c>
      <c r="D389" s="95" t="s">
        <v>7744</v>
      </c>
      <c r="E389" s="95" t="s">
        <v>1281</v>
      </c>
      <c r="F389" s="95" t="s">
        <v>7617</v>
      </c>
      <c r="G389" s="95"/>
    </row>
    <row r="390" spans="1:7" ht="15.6" x14ac:dyDescent="0.25">
      <c r="A390" s="81" t="s">
        <v>857</v>
      </c>
      <c r="B390" s="81" t="s">
        <v>866</v>
      </c>
      <c r="C390" s="95">
        <v>1</v>
      </c>
      <c r="D390" s="95" t="s">
        <v>862</v>
      </c>
      <c r="E390" s="95" t="s">
        <v>7103</v>
      </c>
      <c r="F390" s="95" t="s">
        <v>7617</v>
      </c>
      <c r="G390" s="95"/>
    </row>
    <row r="391" spans="1:7" ht="15.6" x14ac:dyDescent="0.25">
      <c r="A391" s="81" t="s">
        <v>857</v>
      </c>
      <c r="B391" s="81" t="s">
        <v>866</v>
      </c>
      <c r="C391" s="95" t="s">
        <v>7720</v>
      </c>
      <c r="D391" s="95" t="s">
        <v>871</v>
      </c>
      <c r="E391" s="95" t="s">
        <v>872</v>
      </c>
      <c r="F391" s="95" t="s">
        <v>7617</v>
      </c>
      <c r="G391" s="95"/>
    </row>
    <row r="392" spans="1:7" ht="15.6" x14ac:dyDescent="0.25">
      <c r="A392" s="81" t="s">
        <v>817</v>
      </c>
      <c r="B392" s="81" t="s">
        <v>825</v>
      </c>
      <c r="C392" s="95">
        <v>1</v>
      </c>
      <c r="D392" s="95" t="s">
        <v>821</v>
      </c>
      <c r="E392" s="95" t="s">
        <v>440</v>
      </c>
      <c r="F392" s="95" t="s">
        <v>7617</v>
      </c>
      <c r="G392" s="95"/>
    </row>
    <row r="393" spans="1:7" ht="15.6" x14ac:dyDescent="0.25">
      <c r="A393" s="81" t="s">
        <v>817</v>
      </c>
      <c r="B393" s="81" t="s">
        <v>825</v>
      </c>
      <c r="C393" s="95" t="s">
        <v>7720</v>
      </c>
      <c r="D393" s="95" t="s">
        <v>421</v>
      </c>
      <c r="E393" s="95" t="s">
        <v>834</v>
      </c>
      <c r="F393" s="95" t="s">
        <v>7617</v>
      </c>
      <c r="G393" s="95"/>
    </row>
    <row r="394" spans="1:7" ht="15.6" x14ac:dyDescent="0.25">
      <c r="A394" s="81" t="s">
        <v>1091</v>
      </c>
      <c r="B394" s="81" t="s">
        <v>1101</v>
      </c>
      <c r="C394" s="95">
        <v>1</v>
      </c>
      <c r="D394" s="95" t="s">
        <v>1098</v>
      </c>
      <c r="E394" s="95" t="s">
        <v>710</v>
      </c>
      <c r="F394" s="95" t="s">
        <v>7617</v>
      </c>
      <c r="G394" s="95"/>
    </row>
    <row r="395" spans="1:7" ht="15.6" x14ac:dyDescent="0.25">
      <c r="A395" s="81" t="s">
        <v>1091</v>
      </c>
      <c r="B395" s="81" t="s">
        <v>1101</v>
      </c>
      <c r="C395" s="95" t="s">
        <v>7720</v>
      </c>
      <c r="D395" s="95" t="s">
        <v>734</v>
      </c>
      <c r="E395" s="95" t="s">
        <v>1090</v>
      </c>
      <c r="F395" s="95" t="s">
        <v>7617</v>
      </c>
      <c r="G395" s="95"/>
    </row>
    <row r="396" spans="1:7" ht="15.6" x14ac:dyDescent="0.25">
      <c r="A396" s="81" t="s">
        <v>982</v>
      </c>
      <c r="B396" s="81" t="s">
        <v>986</v>
      </c>
      <c r="C396" s="95">
        <v>1</v>
      </c>
      <c r="D396" s="95" t="s">
        <v>461</v>
      </c>
      <c r="E396" s="95" t="s">
        <v>939</v>
      </c>
      <c r="F396" s="95" t="s">
        <v>7617</v>
      </c>
      <c r="G396" s="95"/>
    </row>
    <row r="397" spans="1:7" ht="15.6" x14ac:dyDescent="0.25">
      <c r="A397" s="81" t="s">
        <v>626</v>
      </c>
      <c r="B397" s="81" t="s">
        <v>629</v>
      </c>
      <c r="C397" s="95">
        <v>1</v>
      </c>
      <c r="D397" s="95" t="s">
        <v>461</v>
      </c>
      <c r="E397" s="95" t="s">
        <v>561</v>
      </c>
      <c r="F397" s="95" t="s">
        <v>7617</v>
      </c>
      <c r="G397" s="95"/>
    </row>
    <row r="398" spans="1:7" ht="15.6" x14ac:dyDescent="0.25">
      <c r="A398" s="81" t="s">
        <v>3357</v>
      </c>
      <c r="B398" s="81" t="s">
        <v>3360</v>
      </c>
      <c r="C398" s="95">
        <v>1</v>
      </c>
      <c r="D398" s="95" t="s">
        <v>2238</v>
      </c>
      <c r="E398" s="95" t="s">
        <v>4000</v>
      </c>
      <c r="F398" s="95" t="s">
        <v>7617</v>
      </c>
      <c r="G398" s="95"/>
    </row>
    <row r="399" spans="1:7" ht="15.6" x14ac:dyDescent="0.25">
      <c r="A399" s="81" t="s">
        <v>2710</v>
      </c>
      <c r="B399" s="81" t="s">
        <v>2713</v>
      </c>
      <c r="C399" s="95">
        <v>1</v>
      </c>
      <c r="D399" s="95" t="s">
        <v>2717</v>
      </c>
      <c r="E399" s="95" t="s">
        <v>4000</v>
      </c>
      <c r="F399" s="95" t="s">
        <v>7617</v>
      </c>
      <c r="G399" s="95"/>
    </row>
    <row r="400" spans="1:7" ht="15.6" x14ac:dyDescent="0.25">
      <c r="A400" s="81" t="s">
        <v>2367</v>
      </c>
      <c r="B400" s="81" t="s">
        <v>2371</v>
      </c>
      <c r="C400" s="95">
        <v>1</v>
      </c>
      <c r="D400" s="95" t="s">
        <v>2105</v>
      </c>
      <c r="E400" s="95" t="s">
        <v>894</v>
      </c>
      <c r="F400" s="95" t="s">
        <v>7617</v>
      </c>
      <c r="G400" s="95"/>
    </row>
    <row r="401" spans="1:7" ht="15.6" x14ac:dyDescent="0.25">
      <c r="A401" s="81" t="s">
        <v>2391</v>
      </c>
      <c r="B401" s="81" t="s">
        <v>2395</v>
      </c>
      <c r="C401" s="95">
        <v>1</v>
      </c>
      <c r="D401" s="95" t="s">
        <v>578</v>
      </c>
      <c r="E401" s="95" t="s">
        <v>663</v>
      </c>
      <c r="F401" s="95" t="s">
        <v>7617</v>
      </c>
      <c r="G401" s="95"/>
    </row>
    <row r="402" spans="1:7" ht="15.6" x14ac:dyDescent="0.25">
      <c r="A402" s="81" t="s">
        <v>1677</v>
      </c>
      <c r="B402" s="81" t="s">
        <v>1682</v>
      </c>
      <c r="C402" s="95">
        <v>1</v>
      </c>
      <c r="D402" s="95" t="s">
        <v>1680</v>
      </c>
      <c r="E402" s="95" t="s">
        <v>7584</v>
      </c>
      <c r="F402" s="95" t="s">
        <v>7617</v>
      </c>
      <c r="G402" s="95"/>
    </row>
    <row r="403" spans="1:7" ht="15.6" x14ac:dyDescent="0.25">
      <c r="A403" s="81" t="s">
        <v>1677</v>
      </c>
      <c r="B403" s="81" t="s">
        <v>1682</v>
      </c>
      <c r="C403" s="95" t="s">
        <v>7720</v>
      </c>
      <c r="D403" s="95" t="s">
        <v>7665</v>
      </c>
      <c r="E403" s="95" t="s">
        <v>7586</v>
      </c>
      <c r="F403" s="95" t="s">
        <v>7617</v>
      </c>
      <c r="G403" s="95"/>
    </row>
    <row r="404" spans="1:7" ht="15.6" x14ac:dyDescent="0.25">
      <c r="A404" s="81" t="s">
        <v>1677</v>
      </c>
      <c r="B404" s="81" t="s">
        <v>1682</v>
      </c>
      <c r="C404" s="95" t="s">
        <v>7750</v>
      </c>
      <c r="D404" s="95" t="s">
        <v>1645</v>
      </c>
      <c r="E404" s="95" t="s">
        <v>1311</v>
      </c>
      <c r="F404" s="95" t="s">
        <v>7617</v>
      </c>
      <c r="G404" s="95"/>
    </row>
    <row r="405" spans="1:7" ht="15.6" x14ac:dyDescent="0.25">
      <c r="A405" s="81" t="s">
        <v>1346</v>
      </c>
      <c r="B405" s="81" t="s">
        <v>1356</v>
      </c>
      <c r="C405" s="95">
        <v>1</v>
      </c>
      <c r="D405" s="95" t="s">
        <v>1354</v>
      </c>
      <c r="E405" s="95" t="s">
        <v>1144</v>
      </c>
      <c r="F405" s="95" t="s">
        <v>7617</v>
      </c>
      <c r="G405" s="95"/>
    </row>
    <row r="406" spans="1:7" ht="15.6" x14ac:dyDescent="0.25">
      <c r="A406" s="81" t="s">
        <v>1346</v>
      </c>
      <c r="B406" s="81" t="s">
        <v>1356</v>
      </c>
      <c r="C406" s="95" t="s">
        <v>7720</v>
      </c>
      <c r="D406" s="95" t="s">
        <v>1142</v>
      </c>
      <c r="E406" s="95" t="s">
        <v>1281</v>
      </c>
      <c r="F406" s="95" t="s">
        <v>7617</v>
      </c>
      <c r="G406" s="95"/>
    </row>
    <row r="407" spans="1:7" ht="15.6" x14ac:dyDescent="0.25">
      <c r="A407" s="81" t="s">
        <v>2692</v>
      </c>
      <c r="B407" s="81" t="s">
        <v>2696</v>
      </c>
      <c r="C407" s="95">
        <v>1</v>
      </c>
      <c r="D407" s="95" t="s">
        <v>1680</v>
      </c>
      <c r="E407" s="95" t="s">
        <v>7528</v>
      </c>
      <c r="F407" s="95" t="s">
        <v>7617</v>
      </c>
      <c r="G407" s="95"/>
    </row>
    <row r="408" spans="1:7" ht="15.6" x14ac:dyDescent="0.25">
      <c r="A408" s="81" t="s">
        <v>2692</v>
      </c>
      <c r="B408" s="81" t="s">
        <v>2696</v>
      </c>
      <c r="C408" s="95" t="s">
        <v>7720</v>
      </c>
      <c r="D408" s="95" t="s">
        <v>1430</v>
      </c>
      <c r="E408" s="95" t="s">
        <v>663</v>
      </c>
      <c r="F408" s="95" t="s">
        <v>7617</v>
      </c>
      <c r="G408" s="95"/>
    </row>
    <row r="409" spans="1:7" ht="15.6" x14ac:dyDescent="0.25">
      <c r="A409" s="81" t="s">
        <v>2995</v>
      </c>
      <c r="B409" s="81" t="s">
        <v>3000</v>
      </c>
      <c r="C409" s="95">
        <v>1</v>
      </c>
      <c r="D409" s="95" t="s">
        <v>2644</v>
      </c>
      <c r="E409" s="95" t="s">
        <v>7586</v>
      </c>
      <c r="F409" s="95" t="s">
        <v>7617</v>
      </c>
      <c r="G409" s="95"/>
    </row>
    <row r="410" spans="1:7" ht="15.6" x14ac:dyDescent="0.25">
      <c r="A410" s="81" t="s">
        <v>2995</v>
      </c>
      <c r="B410" s="81" t="s">
        <v>3000</v>
      </c>
      <c r="C410" s="95" t="s">
        <v>7720</v>
      </c>
      <c r="D410" s="95" t="s">
        <v>1645</v>
      </c>
      <c r="E410" s="95" t="s">
        <v>1311</v>
      </c>
      <c r="F410" s="95" t="s">
        <v>7617</v>
      </c>
      <c r="G410" s="95"/>
    </row>
    <row r="411" spans="1:7" ht="15.6" x14ac:dyDescent="0.25">
      <c r="A411" s="81" t="s">
        <v>2700</v>
      </c>
      <c r="B411" s="81" t="s">
        <v>2704</v>
      </c>
      <c r="C411" s="95">
        <v>1</v>
      </c>
      <c r="D411" s="95" t="s">
        <v>1680</v>
      </c>
      <c r="E411" s="95" t="s">
        <v>7528</v>
      </c>
      <c r="F411" s="95" t="s">
        <v>7617</v>
      </c>
      <c r="G411" s="95"/>
    </row>
    <row r="412" spans="1:7" ht="15.6" x14ac:dyDescent="0.25">
      <c r="A412" s="81" t="s">
        <v>2700</v>
      </c>
      <c r="B412" s="81" t="s">
        <v>2704</v>
      </c>
      <c r="C412" s="95" t="s">
        <v>7720</v>
      </c>
      <c r="D412" s="95" t="s">
        <v>1430</v>
      </c>
      <c r="E412" s="95" t="s">
        <v>4000</v>
      </c>
      <c r="F412" s="95" t="s">
        <v>7617</v>
      </c>
      <c r="G412" s="95"/>
    </row>
    <row r="413" spans="1:7" ht="15.6" x14ac:dyDescent="0.25">
      <c r="A413" s="81" t="s">
        <v>2458</v>
      </c>
      <c r="B413" s="81" t="s">
        <v>2462</v>
      </c>
      <c r="C413" s="95">
        <v>1</v>
      </c>
      <c r="D413" s="95" t="s">
        <v>578</v>
      </c>
      <c r="E413" s="95" t="s">
        <v>1090</v>
      </c>
      <c r="F413" s="95" t="s">
        <v>7617</v>
      </c>
      <c r="G413" s="95"/>
    </row>
    <row r="414" spans="1:7" ht="15.6" x14ac:dyDescent="0.25">
      <c r="A414" s="81" t="s">
        <v>1836</v>
      </c>
      <c r="B414" s="81" t="s">
        <v>1841</v>
      </c>
      <c r="C414" s="95">
        <v>1</v>
      </c>
      <c r="D414" s="95" t="s">
        <v>1839</v>
      </c>
      <c r="E414" s="95" t="s">
        <v>7587</v>
      </c>
      <c r="F414" s="95" t="s">
        <v>7617</v>
      </c>
      <c r="G414" s="95"/>
    </row>
    <row r="415" spans="1:7" ht="15.6" x14ac:dyDescent="0.25">
      <c r="A415" s="81" t="s">
        <v>1836</v>
      </c>
      <c r="B415" s="81" t="s">
        <v>1841</v>
      </c>
      <c r="C415" s="95" t="s">
        <v>7720</v>
      </c>
      <c r="D415" s="95" t="s">
        <v>7667</v>
      </c>
      <c r="E415" s="95" t="s">
        <v>1298</v>
      </c>
      <c r="F415" s="95" t="s">
        <v>7617</v>
      </c>
      <c r="G415" s="95"/>
    </row>
    <row r="416" spans="1:7" ht="15.6" x14ac:dyDescent="0.25">
      <c r="A416" s="81" t="s">
        <v>1836</v>
      </c>
      <c r="B416" s="81" t="s">
        <v>1841</v>
      </c>
      <c r="C416" s="95" t="s">
        <v>7750</v>
      </c>
      <c r="D416" s="95" t="s">
        <v>7744</v>
      </c>
      <c r="E416" s="95" t="s">
        <v>450</v>
      </c>
      <c r="F416" s="95" t="s">
        <v>7617</v>
      </c>
      <c r="G416" s="95"/>
    </row>
    <row r="417" spans="1:7" ht="15.6" x14ac:dyDescent="0.25">
      <c r="A417" s="81" t="s">
        <v>1836</v>
      </c>
      <c r="B417" s="81" t="s">
        <v>1841</v>
      </c>
      <c r="C417" s="95" t="s">
        <v>7751</v>
      </c>
      <c r="D417" s="95" t="s">
        <v>578</v>
      </c>
      <c r="E417" s="95" t="s">
        <v>4000</v>
      </c>
      <c r="F417" s="95" t="s">
        <v>7617</v>
      </c>
      <c r="G417" s="95"/>
    </row>
    <row r="418" spans="1:7" ht="15.6" x14ac:dyDescent="0.25">
      <c r="A418" s="81" t="s">
        <v>2424</v>
      </c>
      <c r="B418" s="81" t="s">
        <v>2428</v>
      </c>
      <c r="C418" s="95">
        <v>1</v>
      </c>
      <c r="D418" s="95" t="s">
        <v>1680</v>
      </c>
      <c r="E418" s="95" t="s">
        <v>4000</v>
      </c>
      <c r="F418" s="95" t="s">
        <v>7617</v>
      </c>
      <c r="G418" s="95"/>
    </row>
    <row r="419" spans="1:7" ht="15.6" x14ac:dyDescent="0.25">
      <c r="A419" s="81" t="s">
        <v>1829</v>
      </c>
      <c r="B419" s="81" t="s">
        <v>1832</v>
      </c>
      <c r="C419" s="95">
        <v>1</v>
      </c>
      <c r="D419" s="95" t="s">
        <v>1680</v>
      </c>
      <c r="E419" s="95" t="s">
        <v>7528</v>
      </c>
      <c r="F419" s="95" t="s">
        <v>7617</v>
      </c>
      <c r="G419" s="95" t="s">
        <v>10019</v>
      </c>
    </row>
    <row r="420" spans="1:7" ht="15.6" x14ac:dyDescent="0.25">
      <c r="A420" s="81" t="s">
        <v>1829</v>
      </c>
      <c r="B420" s="81" t="s">
        <v>1832</v>
      </c>
      <c r="C420" s="95" t="s">
        <v>7720</v>
      </c>
      <c r="D420" s="95" t="s">
        <v>1430</v>
      </c>
      <c r="E420" s="95" t="s">
        <v>663</v>
      </c>
      <c r="F420" s="95" t="s">
        <v>7617</v>
      </c>
      <c r="G420" s="95"/>
    </row>
    <row r="421" spans="1:7" ht="15.6" x14ac:dyDescent="0.25">
      <c r="A421" s="81" t="s">
        <v>1893</v>
      </c>
      <c r="B421" s="81" t="s">
        <v>1898</v>
      </c>
      <c r="C421" s="95">
        <v>1</v>
      </c>
      <c r="D421" s="95" t="s">
        <v>1614</v>
      </c>
      <c r="E421" s="95" t="s">
        <v>90</v>
      </c>
      <c r="F421" s="95" t="s">
        <v>7617</v>
      </c>
      <c r="G421" s="95"/>
    </row>
    <row r="422" spans="1:7" ht="15.6" x14ac:dyDescent="0.25">
      <c r="A422" s="81" t="s">
        <v>1893</v>
      </c>
      <c r="B422" s="81" t="s">
        <v>1898</v>
      </c>
      <c r="C422" s="95" t="s">
        <v>7720</v>
      </c>
      <c r="D422" s="95" t="s">
        <v>542</v>
      </c>
      <c r="E422" s="95" t="s">
        <v>1298</v>
      </c>
      <c r="F422" s="95" t="s">
        <v>7617</v>
      </c>
      <c r="G422" s="95"/>
    </row>
    <row r="423" spans="1:7" ht="15.6" x14ac:dyDescent="0.25">
      <c r="A423" s="81" t="s">
        <v>1893</v>
      </c>
      <c r="B423" s="81" t="s">
        <v>1898</v>
      </c>
      <c r="C423" s="95" t="s">
        <v>7750</v>
      </c>
      <c r="D423" s="95" t="s">
        <v>7744</v>
      </c>
      <c r="E423" s="95" t="s">
        <v>450</v>
      </c>
      <c r="F423" s="95" t="s">
        <v>7617</v>
      </c>
      <c r="G423" s="95"/>
    </row>
    <row r="424" spans="1:7" ht="15.6" x14ac:dyDescent="0.25">
      <c r="A424" s="81" t="s">
        <v>1893</v>
      </c>
      <c r="B424" s="81" t="s">
        <v>1898</v>
      </c>
      <c r="C424" s="95" t="s">
        <v>7751</v>
      </c>
      <c r="D424" s="95" t="s">
        <v>578</v>
      </c>
      <c r="E424" s="95" t="s">
        <v>894</v>
      </c>
      <c r="F424" s="95" t="s">
        <v>7617</v>
      </c>
      <c r="G424" s="95"/>
    </row>
    <row r="425" spans="1:7" ht="15.6" x14ac:dyDescent="0.25">
      <c r="A425" s="81" t="s">
        <v>1036</v>
      </c>
      <c r="B425" s="81" t="s">
        <v>1043</v>
      </c>
      <c r="C425" s="95">
        <v>1</v>
      </c>
      <c r="D425" s="95" t="s">
        <v>1040</v>
      </c>
      <c r="E425" s="95" t="s">
        <v>7588</v>
      </c>
      <c r="F425" s="95" t="s">
        <v>7617</v>
      </c>
      <c r="G425" s="95"/>
    </row>
    <row r="426" spans="1:7" ht="15.6" x14ac:dyDescent="0.25">
      <c r="A426" s="81" t="s">
        <v>1036</v>
      </c>
      <c r="B426" s="81" t="s">
        <v>1043</v>
      </c>
      <c r="C426" s="95" t="s">
        <v>7720</v>
      </c>
      <c r="D426" s="95" t="s">
        <v>1052</v>
      </c>
      <c r="E426" s="95" t="s">
        <v>1035</v>
      </c>
      <c r="F426" s="95" t="s">
        <v>7617</v>
      </c>
      <c r="G426" s="95"/>
    </row>
    <row r="427" spans="1:7" ht="15.6" x14ac:dyDescent="0.25">
      <c r="A427" s="81" t="s">
        <v>1183</v>
      </c>
      <c r="B427" s="81" t="s">
        <v>1189</v>
      </c>
      <c r="C427" s="95">
        <v>1</v>
      </c>
      <c r="D427" s="95" t="s">
        <v>1185</v>
      </c>
      <c r="E427" s="95" t="s">
        <v>7589</v>
      </c>
      <c r="F427" s="95" t="s">
        <v>7617</v>
      </c>
      <c r="G427" s="95"/>
    </row>
    <row r="428" spans="1:7" ht="15.6" x14ac:dyDescent="0.25">
      <c r="A428" s="81" t="s">
        <v>1183</v>
      </c>
      <c r="B428" s="81" t="s">
        <v>1189</v>
      </c>
      <c r="C428" s="95" t="s">
        <v>7720</v>
      </c>
      <c r="D428" s="95" t="s">
        <v>1192</v>
      </c>
      <c r="E428" s="95" t="s">
        <v>1193</v>
      </c>
      <c r="F428" s="95" t="s">
        <v>7617</v>
      </c>
      <c r="G428" s="95"/>
    </row>
    <row r="429" spans="1:7" ht="15.6" x14ac:dyDescent="0.25">
      <c r="A429" s="81" t="s">
        <v>913</v>
      </c>
      <c r="B429" s="81" t="s">
        <v>919</v>
      </c>
      <c r="C429" s="95">
        <v>1</v>
      </c>
      <c r="D429" s="95" t="s">
        <v>466</v>
      </c>
      <c r="E429" s="95" t="s">
        <v>273</v>
      </c>
      <c r="F429" s="95" t="s">
        <v>7617</v>
      </c>
      <c r="G429" s="95"/>
    </row>
    <row r="430" spans="1:7" ht="15.6" x14ac:dyDescent="0.25">
      <c r="A430" s="81" t="s">
        <v>913</v>
      </c>
      <c r="B430" s="81" t="s">
        <v>919</v>
      </c>
      <c r="C430" s="95" t="s">
        <v>7720</v>
      </c>
      <c r="D430" s="95" t="s">
        <v>554</v>
      </c>
      <c r="E430" s="95" t="s">
        <v>923</v>
      </c>
      <c r="F430" s="95" t="s">
        <v>7617</v>
      </c>
      <c r="G430" s="95"/>
    </row>
    <row r="431" spans="1:7" ht="15.6" x14ac:dyDescent="0.25">
      <c r="A431" s="81" t="s">
        <v>957</v>
      </c>
      <c r="B431" s="81" t="s">
        <v>960</v>
      </c>
      <c r="C431" s="95">
        <v>1</v>
      </c>
      <c r="D431" s="95" t="s">
        <v>466</v>
      </c>
      <c r="E431" s="95" t="s">
        <v>273</v>
      </c>
      <c r="F431" s="95" t="s">
        <v>7617</v>
      </c>
      <c r="G431" s="95"/>
    </row>
    <row r="432" spans="1:7" ht="15.6" x14ac:dyDescent="0.25">
      <c r="A432" s="81" t="s">
        <v>957</v>
      </c>
      <c r="B432" s="81" t="s">
        <v>960</v>
      </c>
      <c r="C432" s="95" t="s">
        <v>7720</v>
      </c>
      <c r="D432" s="95" t="s">
        <v>554</v>
      </c>
      <c r="E432" s="95" t="s">
        <v>923</v>
      </c>
      <c r="F432" s="95" t="s">
        <v>7617</v>
      </c>
      <c r="G432" s="95"/>
    </row>
    <row r="433" spans="1:7" ht="15.6" x14ac:dyDescent="0.25">
      <c r="A433" s="81" t="s">
        <v>268</v>
      </c>
      <c r="B433" s="81" t="s">
        <v>280</v>
      </c>
      <c r="C433" s="95">
        <v>1</v>
      </c>
      <c r="D433" s="95" t="s">
        <v>276</v>
      </c>
      <c r="E433" s="95" t="s">
        <v>2228</v>
      </c>
      <c r="F433" s="95" t="s">
        <v>7617</v>
      </c>
      <c r="G433" s="95"/>
    </row>
    <row r="434" spans="1:7" ht="15.6" x14ac:dyDescent="0.25">
      <c r="A434" s="81" t="s">
        <v>946</v>
      </c>
      <c r="B434" s="81" t="s">
        <v>950</v>
      </c>
      <c r="C434" s="95">
        <v>1</v>
      </c>
      <c r="D434" s="95" t="s">
        <v>466</v>
      </c>
      <c r="E434" s="95" t="s">
        <v>273</v>
      </c>
      <c r="F434" s="95" t="s">
        <v>7617</v>
      </c>
      <c r="G434" s="95"/>
    </row>
    <row r="435" spans="1:7" ht="15.6" x14ac:dyDescent="0.25">
      <c r="A435" s="81" t="s">
        <v>946</v>
      </c>
      <c r="B435" s="81" t="s">
        <v>950</v>
      </c>
      <c r="C435" s="95" t="s">
        <v>7720</v>
      </c>
      <c r="D435" s="95" t="s">
        <v>554</v>
      </c>
      <c r="E435" s="95" t="s">
        <v>923</v>
      </c>
      <c r="F435" s="95" t="s">
        <v>7617</v>
      </c>
      <c r="G435" s="95"/>
    </row>
    <row r="436" spans="1:7" ht="15.6" x14ac:dyDescent="0.25">
      <c r="A436" s="81" t="s">
        <v>600</v>
      </c>
      <c r="B436" s="81" t="s">
        <v>604</v>
      </c>
      <c r="C436" s="95">
        <v>1</v>
      </c>
      <c r="D436" s="95" t="s">
        <v>554</v>
      </c>
      <c r="E436" s="95" t="s">
        <v>561</v>
      </c>
      <c r="F436" s="95" t="s">
        <v>7617</v>
      </c>
      <c r="G436" s="95"/>
    </row>
    <row r="437" spans="1:7" ht="15.6" x14ac:dyDescent="0.25">
      <c r="A437" s="81" t="s">
        <v>486</v>
      </c>
      <c r="B437" s="81" t="s">
        <v>496</v>
      </c>
      <c r="C437" s="95">
        <v>1</v>
      </c>
      <c r="D437" s="95" t="s">
        <v>489</v>
      </c>
      <c r="E437" s="95" t="s">
        <v>501</v>
      </c>
      <c r="F437" s="95" t="s">
        <v>7617</v>
      </c>
      <c r="G437" s="95"/>
    </row>
    <row r="438" spans="1:7" ht="15.6" x14ac:dyDescent="0.25">
      <c r="A438" s="81" t="s">
        <v>1010</v>
      </c>
      <c r="B438" s="81" t="s">
        <v>1018</v>
      </c>
      <c r="C438" s="95">
        <v>1</v>
      </c>
      <c r="D438" s="95" t="s">
        <v>1015</v>
      </c>
      <c r="E438" s="95" t="s">
        <v>695</v>
      </c>
      <c r="F438" s="95" t="s">
        <v>7617</v>
      </c>
      <c r="G438" s="95"/>
    </row>
    <row r="439" spans="1:7" ht="15.6" x14ac:dyDescent="0.25">
      <c r="A439" s="81" t="s">
        <v>1010</v>
      </c>
      <c r="B439" s="81" t="s">
        <v>1018</v>
      </c>
      <c r="C439" s="95" t="s">
        <v>7720</v>
      </c>
      <c r="D439" s="95" t="s">
        <v>1024</v>
      </c>
      <c r="E439" s="95" t="s">
        <v>939</v>
      </c>
      <c r="F439" s="95" t="s">
        <v>7617</v>
      </c>
      <c r="G439" s="95"/>
    </row>
    <row r="440" spans="1:7" ht="15.6" x14ac:dyDescent="0.25">
      <c r="A440" s="81" t="s">
        <v>1053</v>
      </c>
      <c r="B440" s="81" t="s">
        <v>1060</v>
      </c>
      <c r="C440" s="95">
        <v>1</v>
      </c>
      <c r="D440" s="95" t="s">
        <v>1057</v>
      </c>
      <c r="E440" s="95" t="s">
        <v>1066</v>
      </c>
      <c r="F440" s="95" t="s">
        <v>7617</v>
      </c>
      <c r="G440" s="95"/>
    </row>
    <row r="441" spans="1:7" ht="15.6" x14ac:dyDescent="0.25">
      <c r="A441" s="81" t="s">
        <v>3064</v>
      </c>
      <c r="B441" s="81" t="s">
        <v>3068</v>
      </c>
      <c r="C441" s="95">
        <v>1</v>
      </c>
      <c r="D441" s="95" t="s">
        <v>1818</v>
      </c>
      <c r="E441" s="95" t="s">
        <v>4000</v>
      </c>
      <c r="F441" s="95" t="s">
        <v>7617</v>
      </c>
      <c r="G441" s="95"/>
    </row>
    <row r="442" spans="1:7" ht="15.6" x14ac:dyDescent="0.25">
      <c r="A442" s="81" t="s">
        <v>1955</v>
      </c>
      <c r="B442" s="81" t="s">
        <v>1959</v>
      </c>
      <c r="C442" s="95">
        <v>1</v>
      </c>
      <c r="D442" s="95" t="s">
        <v>1680</v>
      </c>
      <c r="E442" s="95" t="s">
        <v>7528</v>
      </c>
      <c r="F442" s="95" t="s">
        <v>7617</v>
      </c>
      <c r="G442" s="95"/>
    </row>
    <row r="443" spans="1:7" ht="15.6" x14ac:dyDescent="0.25">
      <c r="A443" s="81" t="s">
        <v>1955</v>
      </c>
      <c r="B443" s="81" t="s">
        <v>1959</v>
      </c>
      <c r="C443" s="95" t="s">
        <v>7720</v>
      </c>
      <c r="D443" s="95" t="s">
        <v>1430</v>
      </c>
      <c r="E443" s="95" t="s">
        <v>4000</v>
      </c>
      <c r="F443" s="95" t="s">
        <v>7617</v>
      </c>
      <c r="G443" s="95"/>
    </row>
    <row r="444" spans="1:7" ht="15.6" x14ac:dyDescent="0.25">
      <c r="A444" s="81" t="s">
        <v>1146</v>
      </c>
      <c r="B444" s="81" t="s">
        <v>1153</v>
      </c>
      <c r="C444" s="95">
        <v>1</v>
      </c>
      <c r="D444" s="95" t="s">
        <v>1150</v>
      </c>
      <c r="E444" s="95" t="s">
        <v>1165</v>
      </c>
      <c r="F444" s="95" t="s">
        <v>7617</v>
      </c>
      <c r="G444" s="95"/>
    </row>
    <row r="445" spans="1:7" ht="15.6" x14ac:dyDescent="0.25">
      <c r="A445" s="81" t="s">
        <v>1146</v>
      </c>
      <c r="B445" s="81" t="s">
        <v>1153</v>
      </c>
      <c r="C445" s="95" t="s">
        <v>7720</v>
      </c>
      <c r="D445" s="95" t="s">
        <v>7668</v>
      </c>
      <c r="E445" s="95" t="s">
        <v>1166</v>
      </c>
      <c r="F445" s="95" t="s">
        <v>7617</v>
      </c>
      <c r="G445" s="95"/>
    </row>
    <row r="446" spans="1:7" ht="15.6" x14ac:dyDescent="0.25">
      <c r="A446" s="81" t="s">
        <v>1491</v>
      </c>
      <c r="B446" s="81" t="s">
        <v>1496</v>
      </c>
      <c r="C446" s="95">
        <v>1</v>
      </c>
      <c r="D446" s="95" t="s">
        <v>1494</v>
      </c>
      <c r="E446" s="95" t="s">
        <v>7590</v>
      </c>
      <c r="F446" s="95" t="s">
        <v>7617</v>
      </c>
      <c r="G446" s="95"/>
    </row>
    <row r="447" spans="1:7" ht="15.6" x14ac:dyDescent="0.25">
      <c r="A447" s="81" t="s">
        <v>1491</v>
      </c>
      <c r="B447" s="81" t="s">
        <v>1496</v>
      </c>
      <c r="C447" s="95" t="s">
        <v>7720</v>
      </c>
      <c r="D447" s="95" t="s">
        <v>7669</v>
      </c>
      <c r="E447" s="95" t="s">
        <v>1090</v>
      </c>
      <c r="F447" s="95" t="s">
        <v>7617</v>
      </c>
      <c r="G447" s="95"/>
    </row>
    <row r="448" spans="1:7" ht="15.6" x14ac:dyDescent="0.25">
      <c r="A448" s="81" t="s">
        <v>620</v>
      </c>
      <c r="B448" s="81" t="s">
        <v>624</v>
      </c>
      <c r="C448" s="95">
        <v>1</v>
      </c>
      <c r="D448" s="95" t="s">
        <v>461</v>
      </c>
      <c r="E448" s="95" t="s">
        <v>561</v>
      </c>
      <c r="F448" s="95" t="s">
        <v>7617</v>
      </c>
      <c r="G448" s="95"/>
    </row>
    <row r="449" spans="1:7" ht="15.6" x14ac:dyDescent="0.25">
      <c r="A449" s="81" t="s">
        <v>2440</v>
      </c>
      <c r="B449" s="81" t="s">
        <v>2443</v>
      </c>
      <c r="C449" s="95">
        <v>1</v>
      </c>
      <c r="D449" s="95" t="s">
        <v>1680</v>
      </c>
      <c r="E449" s="95" t="s">
        <v>4000</v>
      </c>
      <c r="F449" s="95" t="s">
        <v>7617</v>
      </c>
      <c r="G449" s="95"/>
    </row>
    <row r="450" spans="1:7" ht="15.6" x14ac:dyDescent="0.25">
      <c r="A450" s="81" t="s">
        <v>1980</v>
      </c>
      <c r="B450" s="81" t="s">
        <v>1984</v>
      </c>
      <c r="C450" s="95">
        <v>1</v>
      </c>
      <c r="D450" s="95" t="s">
        <v>110</v>
      </c>
      <c r="E450" s="95" t="s">
        <v>7571</v>
      </c>
      <c r="F450" s="95" t="s">
        <v>7617</v>
      </c>
      <c r="G450" s="95"/>
    </row>
    <row r="451" spans="1:7" ht="15.6" x14ac:dyDescent="0.25">
      <c r="A451" s="81" t="s">
        <v>1980</v>
      </c>
      <c r="B451" s="81" t="s">
        <v>1984</v>
      </c>
      <c r="C451" s="95" t="s">
        <v>7720</v>
      </c>
      <c r="D451" s="95" t="s">
        <v>682</v>
      </c>
      <c r="E451" s="95" t="s">
        <v>7707</v>
      </c>
      <c r="F451" s="95" t="s">
        <v>7617</v>
      </c>
      <c r="G451" s="95"/>
    </row>
    <row r="452" spans="1:7" ht="15.6" x14ac:dyDescent="0.25">
      <c r="A452" s="81" t="s">
        <v>1980</v>
      </c>
      <c r="B452" s="81" t="s">
        <v>1984</v>
      </c>
      <c r="C452" s="95" t="s">
        <v>7750</v>
      </c>
      <c r="D452" s="95" t="s">
        <v>1094</v>
      </c>
      <c r="E452" s="95" t="s">
        <v>7536</v>
      </c>
      <c r="F452" s="95" t="s">
        <v>7617</v>
      </c>
      <c r="G452" s="95"/>
    </row>
    <row r="453" spans="1:7" ht="15.6" x14ac:dyDescent="0.25">
      <c r="A453" s="81" t="s">
        <v>1980</v>
      </c>
      <c r="B453" s="81" t="s">
        <v>1984</v>
      </c>
      <c r="C453" s="95" t="s">
        <v>7751</v>
      </c>
      <c r="D453" s="95" t="s">
        <v>879</v>
      </c>
      <c r="E453" s="95" t="s">
        <v>4000</v>
      </c>
      <c r="F453" s="95" t="s">
        <v>7617</v>
      </c>
      <c r="G453" s="95"/>
    </row>
    <row r="454" spans="1:7" ht="15.6" x14ac:dyDescent="0.25">
      <c r="A454" s="81" t="s">
        <v>1646</v>
      </c>
      <c r="B454" s="81" t="s">
        <v>1649</v>
      </c>
      <c r="C454" s="95">
        <v>1</v>
      </c>
      <c r="D454" s="95" t="s">
        <v>661</v>
      </c>
      <c r="E454" s="95" t="s">
        <v>1082</v>
      </c>
      <c r="F454" s="95" t="s">
        <v>7617</v>
      </c>
      <c r="G454" s="95"/>
    </row>
    <row r="455" spans="1:7" ht="15.6" x14ac:dyDescent="0.25">
      <c r="A455" s="81" t="s">
        <v>1646</v>
      </c>
      <c r="B455" s="81" t="s">
        <v>1649</v>
      </c>
      <c r="C455" s="95" t="s">
        <v>7720</v>
      </c>
      <c r="D455" s="95" t="s">
        <v>1266</v>
      </c>
      <c r="E455" s="95" t="s">
        <v>663</v>
      </c>
      <c r="F455" s="95" t="s">
        <v>7617</v>
      </c>
      <c r="G455" s="95"/>
    </row>
    <row r="456" spans="1:7" ht="15.6" x14ac:dyDescent="0.25">
      <c r="A456" s="81" t="s">
        <v>807</v>
      </c>
      <c r="B456" s="81" t="s">
        <v>812</v>
      </c>
      <c r="C456" s="95">
        <v>1</v>
      </c>
      <c r="D456" s="95" t="s">
        <v>810</v>
      </c>
      <c r="E456" s="95" t="s">
        <v>7591</v>
      </c>
      <c r="F456" s="95" t="s">
        <v>7617</v>
      </c>
      <c r="G456" s="95"/>
    </row>
    <row r="457" spans="1:7" ht="15.6" x14ac:dyDescent="0.25">
      <c r="A457" s="81" t="s">
        <v>807</v>
      </c>
      <c r="B457" s="81" t="s">
        <v>812</v>
      </c>
      <c r="C457" s="95" t="s">
        <v>7720</v>
      </c>
      <c r="D457" s="95" t="s">
        <v>816</v>
      </c>
      <c r="E457" s="95" t="s">
        <v>806</v>
      </c>
      <c r="F457" s="95" t="s">
        <v>7617</v>
      </c>
      <c r="G457" s="95"/>
    </row>
    <row r="458" spans="1:7" ht="15.6" x14ac:dyDescent="0.25">
      <c r="A458" s="81" t="s">
        <v>2871</v>
      </c>
      <c r="B458" s="81" t="s">
        <v>2878</v>
      </c>
      <c r="C458" s="95">
        <v>1</v>
      </c>
      <c r="D458" s="95" t="s">
        <v>2876</v>
      </c>
      <c r="E458" s="95" t="s">
        <v>7592</v>
      </c>
      <c r="F458" s="95" t="s">
        <v>7617</v>
      </c>
      <c r="G458" s="95"/>
    </row>
    <row r="459" spans="1:7" ht="15.6" x14ac:dyDescent="0.25">
      <c r="A459" s="81" t="s">
        <v>2871</v>
      </c>
      <c r="B459" s="81" t="s">
        <v>2878</v>
      </c>
      <c r="C459" s="95" t="s">
        <v>7720</v>
      </c>
      <c r="D459" s="95" t="s">
        <v>7670</v>
      </c>
      <c r="E459" s="95" t="s">
        <v>7710</v>
      </c>
      <c r="F459" s="95" t="s">
        <v>7617</v>
      </c>
      <c r="G459" s="95"/>
    </row>
    <row r="460" spans="1:7" ht="15.6" x14ac:dyDescent="0.25">
      <c r="A460" s="81" t="s">
        <v>2871</v>
      </c>
      <c r="B460" s="81" t="s">
        <v>2878</v>
      </c>
      <c r="C460" s="95" t="s">
        <v>7750</v>
      </c>
      <c r="D460" s="95" t="s">
        <v>7728</v>
      </c>
      <c r="E460" s="95" t="s">
        <v>7707</v>
      </c>
      <c r="F460" s="95" t="s">
        <v>7617</v>
      </c>
      <c r="G460" s="95"/>
    </row>
    <row r="461" spans="1:7" ht="15.6" x14ac:dyDescent="0.25">
      <c r="A461" s="81" t="s">
        <v>2871</v>
      </c>
      <c r="B461" s="81" t="s">
        <v>2878</v>
      </c>
      <c r="C461" s="95" t="s">
        <v>7751</v>
      </c>
      <c r="D461" s="95" t="s">
        <v>1094</v>
      </c>
      <c r="E461" s="95" t="s">
        <v>4000</v>
      </c>
      <c r="F461" s="95" t="s">
        <v>7617</v>
      </c>
      <c r="G461" s="95"/>
    </row>
    <row r="462" spans="1:7" ht="15.6" x14ac:dyDescent="0.25">
      <c r="A462" s="81" t="s">
        <v>562</v>
      </c>
      <c r="B462" s="81" t="s">
        <v>568</v>
      </c>
      <c r="C462" s="95">
        <v>1</v>
      </c>
      <c r="D462" s="95" t="s">
        <v>554</v>
      </c>
      <c r="E462" s="95" t="s">
        <v>561</v>
      </c>
      <c r="F462" s="95" t="s">
        <v>7617</v>
      </c>
      <c r="G462" s="95"/>
    </row>
    <row r="463" spans="1:7" ht="15.6" x14ac:dyDescent="0.25">
      <c r="A463" s="81" t="s">
        <v>579</v>
      </c>
      <c r="B463" s="81" t="s">
        <v>582</v>
      </c>
      <c r="C463" s="95">
        <v>1</v>
      </c>
      <c r="D463" s="95" t="s">
        <v>578</v>
      </c>
      <c r="E463" s="95" t="s">
        <v>561</v>
      </c>
      <c r="F463" s="95" t="s">
        <v>7617</v>
      </c>
      <c r="G463" s="95"/>
    </row>
    <row r="464" spans="1:7" ht="15.6" x14ac:dyDescent="0.25">
      <c r="A464" s="81" t="s">
        <v>2765</v>
      </c>
      <c r="B464" s="81" t="s">
        <v>2768</v>
      </c>
      <c r="C464" s="95">
        <v>1</v>
      </c>
      <c r="D464" s="95" t="s">
        <v>1680</v>
      </c>
      <c r="E464" s="95" t="s">
        <v>4000</v>
      </c>
      <c r="F464" s="95" t="s">
        <v>7617</v>
      </c>
      <c r="G464" s="95"/>
    </row>
    <row r="465" spans="1:7" ht="15.6" x14ac:dyDescent="0.25">
      <c r="A465" s="81" t="s">
        <v>2496</v>
      </c>
      <c r="B465" s="81" t="s">
        <v>2500</v>
      </c>
      <c r="C465" s="95">
        <v>1</v>
      </c>
      <c r="D465" s="95" t="s">
        <v>7524</v>
      </c>
      <c r="E465" s="95" t="s">
        <v>7593</v>
      </c>
      <c r="F465" s="95" t="s">
        <v>7617</v>
      </c>
      <c r="G465" s="95"/>
    </row>
    <row r="466" spans="1:7" ht="15.6" x14ac:dyDescent="0.25">
      <c r="A466" s="81" t="s">
        <v>2496</v>
      </c>
      <c r="B466" s="81" t="s">
        <v>2500</v>
      </c>
      <c r="C466" s="95" t="s">
        <v>7720</v>
      </c>
      <c r="D466" s="95" t="s">
        <v>7671</v>
      </c>
      <c r="E466" s="95" t="s">
        <v>7338</v>
      </c>
      <c r="F466" s="95" t="s">
        <v>7617</v>
      </c>
      <c r="G466" s="95"/>
    </row>
    <row r="467" spans="1:7" ht="15.6" x14ac:dyDescent="0.25">
      <c r="A467" s="81" t="s">
        <v>2496</v>
      </c>
      <c r="B467" s="81" t="s">
        <v>2500</v>
      </c>
      <c r="C467" s="95" t="s">
        <v>7750</v>
      </c>
      <c r="D467" s="95" t="s">
        <v>7642</v>
      </c>
      <c r="E467" s="95" t="s">
        <v>1298</v>
      </c>
      <c r="F467" s="95" t="s">
        <v>7617</v>
      </c>
      <c r="G467" s="95"/>
    </row>
    <row r="468" spans="1:7" ht="15.6" x14ac:dyDescent="0.25">
      <c r="A468" s="81" t="s">
        <v>2496</v>
      </c>
      <c r="B468" s="81" t="s">
        <v>2500</v>
      </c>
      <c r="C468" s="95" t="s">
        <v>7751</v>
      </c>
      <c r="D468" s="95" t="s">
        <v>7744</v>
      </c>
      <c r="E468" s="95" t="s">
        <v>450</v>
      </c>
      <c r="F468" s="95" t="s">
        <v>7617</v>
      </c>
      <c r="G468" s="95"/>
    </row>
    <row r="469" spans="1:7" ht="15.6" x14ac:dyDescent="0.25">
      <c r="A469" s="81" t="s">
        <v>2496</v>
      </c>
      <c r="B469" s="81" t="s">
        <v>2500</v>
      </c>
      <c r="C469" s="95" t="s">
        <v>7755</v>
      </c>
      <c r="D469" s="95" t="s">
        <v>578</v>
      </c>
      <c r="E469" s="95" t="s">
        <v>4000</v>
      </c>
      <c r="F469" s="95" t="s">
        <v>7617</v>
      </c>
      <c r="G469" s="95"/>
    </row>
    <row r="470" spans="1:7" ht="15.6" x14ac:dyDescent="0.25">
      <c r="A470" s="81" t="s">
        <v>3544</v>
      </c>
      <c r="B470" s="81" t="s">
        <v>3548</v>
      </c>
      <c r="C470" s="95">
        <v>1</v>
      </c>
      <c r="D470" s="95" t="s">
        <v>2238</v>
      </c>
      <c r="E470" s="95" t="s">
        <v>4000</v>
      </c>
      <c r="F470" s="95" t="s">
        <v>7617</v>
      </c>
      <c r="G470" s="95"/>
    </row>
    <row r="471" spans="1:7" ht="15.6" x14ac:dyDescent="0.25">
      <c r="A471" s="81" t="s">
        <v>3285</v>
      </c>
      <c r="B471" s="81" t="s">
        <v>3288</v>
      </c>
      <c r="C471" s="95">
        <v>1</v>
      </c>
      <c r="D471" s="95" t="s">
        <v>3293</v>
      </c>
      <c r="E471" s="95" t="s">
        <v>7555</v>
      </c>
      <c r="F471" s="95" t="s">
        <v>7617</v>
      </c>
      <c r="G471" s="95"/>
    </row>
    <row r="472" spans="1:7" ht="15.6" x14ac:dyDescent="0.25">
      <c r="A472" s="81" t="s">
        <v>3285</v>
      </c>
      <c r="B472" s="81" t="s">
        <v>3288</v>
      </c>
      <c r="C472" s="95" t="s">
        <v>7720</v>
      </c>
      <c r="D472" s="95" t="s">
        <v>7643</v>
      </c>
      <c r="E472" s="95" t="s">
        <v>7711</v>
      </c>
      <c r="F472" s="95" t="s">
        <v>7617</v>
      </c>
      <c r="G472" s="95"/>
    </row>
    <row r="473" spans="1:7" ht="15.6" x14ac:dyDescent="0.25">
      <c r="A473" s="81" t="s">
        <v>3285</v>
      </c>
      <c r="B473" s="81" t="s">
        <v>3288</v>
      </c>
      <c r="C473" s="95" t="s">
        <v>7750</v>
      </c>
      <c r="D473" s="95" t="s">
        <v>2306</v>
      </c>
      <c r="E473" s="95" t="s">
        <v>7338</v>
      </c>
      <c r="F473" s="95" t="s">
        <v>7617</v>
      </c>
      <c r="G473" s="95"/>
    </row>
    <row r="474" spans="1:7" ht="15.6" x14ac:dyDescent="0.25">
      <c r="A474" s="81" t="s">
        <v>3285</v>
      </c>
      <c r="B474" s="81" t="s">
        <v>3288</v>
      </c>
      <c r="C474" s="95" t="s">
        <v>7751</v>
      </c>
      <c r="D474" s="95" t="s">
        <v>7642</v>
      </c>
      <c r="E474" s="95" t="s">
        <v>1298</v>
      </c>
      <c r="F474" s="95" t="s">
        <v>7617</v>
      </c>
      <c r="G474" s="95"/>
    </row>
    <row r="475" spans="1:7" ht="15.6" x14ac:dyDescent="0.25">
      <c r="A475" s="81" t="s">
        <v>3285</v>
      </c>
      <c r="B475" s="81" t="s">
        <v>3288</v>
      </c>
      <c r="C475" s="95" t="s">
        <v>7755</v>
      </c>
      <c r="D475" s="95" t="s">
        <v>7744</v>
      </c>
      <c r="E475" s="95" t="s">
        <v>1281</v>
      </c>
      <c r="F475" s="95" t="s">
        <v>7617</v>
      </c>
      <c r="G475" s="95"/>
    </row>
    <row r="476" spans="1:7" ht="15.6" x14ac:dyDescent="0.25">
      <c r="A476" s="81" t="s">
        <v>3025</v>
      </c>
      <c r="B476" s="81" t="s">
        <v>3028</v>
      </c>
      <c r="C476" s="95">
        <v>1</v>
      </c>
      <c r="D476" s="95" t="s">
        <v>7525</v>
      </c>
      <c r="E476" s="95" t="s">
        <v>7594</v>
      </c>
      <c r="F476" s="95" t="s">
        <v>7617</v>
      </c>
      <c r="G476" s="95"/>
    </row>
    <row r="477" spans="1:7" ht="15.6" x14ac:dyDescent="0.25">
      <c r="A477" s="81" t="s">
        <v>3025</v>
      </c>
      <c r="B477" s="81" t="s">
        <v>3028</v>
      </c>
      <c r="C477" s="95" t="s">
        <v>7720</v>
      </c>
      <c r="D477" s="95" t="s">
        <v>7672</v>
      </c>
      <c r="E477" s="95" t="s">
        <v>7712</v>
      </c>
      <c r="F477" s="95" t="s">
        <v>7617</v>
      </c>
      <c r="G477" s="95"/>
    </row>
    <row r="478" spans="1:7" ht="15.6" x14ac:dyDescent="0.25">
      <c r="A478" s="81" t="s">
        <v>3025</v>
      </c>
      <c r="B478" s="81" t="s">
        <v>3028</v>
      </c>
      <c r="C478" s="95" t="s">
        <v>7750</v>
      </c>
      <c r="D478" s="95" t="s">
        <v>7736</v>
      </c>
      <c r="E478" s="95" t="s">
        <v>7707</v>
      </c>
      <c r="F478" s="95" t="s">
        <v>7617</v>
      </c>
      <c r="G478" s="95"/>
    </row>
    <row r="479" spans="1:7" ht="15.6" x14ac:dyDescent="0.25">
      <c r="A479" s="81" t="s">
        <v>3025</v>
      </c>
      <c r="B479" s="81" t="s">
        <v>3028</v>
      </c>
      <c r="C479" s="95" t="s">
        <v>7751</v>
      </c>
      <c r="D479" s="95" t="s">
        <v>1094</v>
      </c>
      <c r="E479" s="95" t="s">
        <v>7536</v>
      </c>
      <c r="F479" s="95" t="s">
        <v>7617</v>
      </c>
      <c r="G479" s="95"/>
    </row>
    <row r="480" spans="1:7" ht="15.6" x14ac:dyDescent="0.25">
      <c r="A480" s="81" t="s">
        <v>3025</v>
      </c>
      <c r="B480" s="81" t="s">
        <v>3028</v>
      </c>
      <c r="C480" s="95" t="s">
        <v>7755</v>
      </c>
      <c r="D480" s="95" t="s">
        <v>879</v>
      </c>
      <c r="E480" s="95" t="s">
        <v>1615</v>
      </c>
      <c r="F480" s="95" t="s">
        <v>7617</v>
      </c>
      <c r="G480" s="95"/>
    </row>
    <row r="481" spans="1:7" ht="15.6" x14ac:dyDescent="0.25">
      <c r="A481" s="81" t="s">
        <v>351</v>
      </c>
      <c r="B481" s="81" t="s">
        <v>363</v>
      </c>
      <c r="C481" s="95">
        <v>1</v>
      </c>
      <c r="D481" s="95" t="s">
        <v>359</v>
      </c>
      <c r="E481" s="95" t="s">
        <v>372</v>
      </c>
      <c r="F481" s="95" t="s">
        <v>7617</v>
      </c>
      <c r="G481" s="95"/>
    </row>
    <row r="482" spans="1:7" ht="15.6" x14ac:dyDescent="0.25">
      <c r="A482" s="81" t="s">
        <v>2231</v>
      </c>
      <c r="B482" s="81" t="s">
        <v>2235</v>
      </c>
      <c r="C482" s="95">
        <v>1</v>
      </c>
      <c r="D482" s="95" t="s">
        <v>578</v>
      </c>
      <c r="E482" s="95" t="s">
        <v>4000</v>
      </c>
      <c r="F482" s="95" t="s">
        <v>7617</v>
      </c>
      <c r="G482" s="95"/>
    </row>
    <row r="483" spans="1:7" ht="15.6" x14ac:dyDescent="0.25">
      <c r="A483" s="81" t="s">
        <v>2880</v>
      </c>
      <c r="B483" s="81" t="s">
        <v>2885</v>
      </c>
      <c r="C483" s="95">
        <v>1</v>
      </c>
      <c r="D483" s="95" t="s">
        <v>1680</v>
      </c>
      <c r="E483" s="95" t="s">
        <v>4000</v>
      </c>
      <c r="F483" s="95" t="s">
        <v>7617</v>
      </c>
      <c r="G483" s="95"/>
    </row>
    <row r="484" spans="1:7" ht="15.6" x14ac:dyDescent="0.25">
      <c r="A484" s="81" t="s">
        <v>1707</v>
      </c>
      <c r="B484" s="81" t="s">
        <v>1712</v>
      </c>
      <c r="C484" s="95">
        <v>1</v>
      </c>
      <c r="D484" s="95" t="s">
        <v>1710</v>
      </c>
      <c r="E484" s="95" t="s">
        <v>7595</v>
      </c>
      <c r="F484" s="95" t="s">
        <v>7617</v>
      </c>
      <c r="G484" s="95"/>
    </row>
    <row r="485" spans="1:7" ht="15.6" x14ac:dyDescent="0.25">
      <c r="A485" s="81" t="s">
        <v>1707</v>
      </c>
      <c r="B485" s="81" t="s">
        <v>1712</v>
      </c>
      <c r="C485" s="95" t="s">
        <v>7720</v>
      </c>
      <c r="D485" s="95" t="s">
        <v>7351</v>
      </c>
      <c r="E485" s="95" t="s">
        <v>7700</v>
      </c>
      <c r="F485" s="95" t="s">
        <v>7617</v>
      </c>
      <c r="G485" s="95"/>
    </row>
    <row r="486" spans="1:7" ht="15.6" x14ac:dyDescent="0.25">
      <c r="A486" s="81" t="s">
        <v>1707</v>
      </c>
      <c r="B486" s="81" t="s">
        <v>1712</v>
      </c>
      <c r="C486" s="95" t="s">
        <v>7750</v>
      </c>
      <c r="D486" s="95" t="s">
        <v>1274</v>
      </c>
      <c r="E486" s="95" t="s">
        <v>4000</v>
      </c>
      <c r="F486" s="95" t="s">
        <v>7617</v>
      </c>
      <c r="G486" s="95"/>
    </row>
    <row r="487" spans="1:7" ht="15.6" x14ac:dyDescent="0.25">
      <c r="A487" s="81" t="s">
        <v>1870</v>
      </c>
      <c r="B487" s="81" t="s">
        <v>1874</v>
      </c>
      <c r="C487" s="95">
        <v>1</v>
      </c>
      <c r="D487" s="95" t="s">
        <v>682</v>
      </c>
      <c r="E487" s="95" t="s">
        <v>7596</v>
      </c>
      <c r="F487" s="95" t="s">
        <v>7617</v>
      </c>
      <c r="G487" s="95"/>
    </row>
    <row r="488" spans="1:7" ht="15.6" x14ac:dyDescent="0.25">
      <c r="A488" s="81" t="s">
        <v>1870</v>
      </c>
      <c r="B488" s="81" t="s">
        <v>1874</v>
      </c>
      <c r="C488" s="95" t="s">
        <v>7720</v>
      </c>
      <c r="D488" s="95" t="s">
        <v>7565</v>
      </c>
      <c r="E488" s="95" t="s">
        <v>1298</v>
      </c>
      <c r="F488" s="95" t="s">
        <v>7617</v>
      </c>
      <c r="G488" s="95"/>
    </row>
    <row r="489" spans="1:7" ht="15.6" x14ac:dyDescent="0.25">
      <c r="A489" s="81" t="s">
        <v>1870</v>
      </c>
      <c r="B489" s="81" t="s">
        <v>1874</v>
      </c>
      <c r="C489" s="95" t="s">
        <v>7750</v>
      </c>
      <c r="D489" s="95" t="s">
        <v>7744</v>
      </c>
      <c r="E489" s="95" t="s">
        <v>1281</v>
      </c>
      <c r="F489" s="95" t="s">
        <v>7617</v>
      </c>
      <c r="G489" s="95"/>
    </row>
    <row r="490" spans="1:7" ht="15.6" x14ac:dyDescent="0.25">
      <c r="A490" s="81" t="s">
        <v>2399</v>
      </c>
      <c r="B490" s="81" t="s">
        <v>2404</v>
      </c>
      <c r="C490" s="95">
        <v>1</v>
      </c>
      <c r="D490" s="95" t="s">
        <v>1680</v>
      </c>
      <c r="E490" s="95" t="s">
        <v>7528</v>
      </c>
      <c r="F490" s="95" t="s">
        <v>7617</v>
      </c>
      <c r="G490" s="95"/>
    </row>
    <row r="491" spans="1:7" ht="15.6" x14ac:dyDescent="0.25">
      <c r="A491" s="81" t="s">
        <v>7719</v>
      </c>
      <c r="B491" s="81" t="s">
        <v>2404</v>
      </c>
      <c r="C491" s="95" t="s">
        <v>7720</v>
      </c>
      <c r="D491" s="95" t="s">
        <v>1430</v>
      </c>
      <c r="E491" s="95" t="s">
        <v>4000</v>
      </c>
      <c r="F491" s="95" t="s">
        <v>7617</v>
      </c>
      <c r="G491" s="95"/>
    </row>
    <row r="492" spans="1:7" ht="15.6" x14ac:dyDescent="0.25">
      <c r="A492" s="81" t="s">
        <v>2545</v>
      </c>
      <c r="B492" s="81" t="s">
        <v>2550</v>
      </c>
      <c r="C492" s="95">
        <v>1</v>
      </c>
      <c r="D492" s="95" t="s">
        <v>2539</v>
      </c>
      <c r="E492" s="95" t="s">
        <v>7597</v>
      </c>
      <c r="F492" s="95" t="s">
        <v>7617</v>
      </c>
      <c r="G492" s="95"/>
    </row>
    <row r="493" spans="1:7" ht="15.6" x14ac:dyDescent="0.25">
      <c r="A493" s="81" t="s">
        <v>2545</v>
      </c>
      <c r="B493" s="81" t="s">
        <v>2550</v>
      </c>
      <c r="C493" s="95" t="s">
        <v>7720</v>
      </c>
      <c r="D493" s="95" t="s">
        <v>7673</v>
      </c>
      <c r="E493" s="95" t="s">
        <v>7713</v>
      </c>
      <c r="F493" s="95" t="s">
        <v>7617</v>
      </c>
      <c r="G493" s="95"/>
    </row>
    <row r="494" spans="1:7" ht="15.6" x14ac:dyDescent="0.25">
      <c r="A494" s="81" t="s">
        <v>2545</v>
      </c>
      <c r="B494" s="81" t="s">
        <v>2550</v>
      </c>
      <c r="C494" s="95" t="s">
        <v>7750</v>
      </c>
      <c r="D494" s="95" t="s">
        <v>7735</v>
      </c>
      <c r="E494" s="95" t="s">
        <v>4000</v>
      </c>
      <c r="F494" s="95" t="s">
        <v>7617</v>
      </c>
      <c r="G494" s="95"/>
    </row>
    <row r="495" spans="1:7" ht="15.6" x14ac:dyDescent="0.25">
      <c r="A495" s="81" t="s">
        <v>2953</v>
      </c>
      <c r="B495" s="81" t="s">
        <v>2957</v>
      </c>
      <c r="C495" s="95">
        <v>1</v>
      </c>
      <c r="D495" s="95" t="s">
        <v>2955</v>
      </c>
      <c r="E495" s="95" t="s">
        <v>7598</v>
      </c>
      <c r="F495" s="95" t="s">
        <v>7617</v>
      </c>
      <c r="G495" s="95"/>
    </row>
    <row r="496" spans="1:7" ht="15.6" x14ac:dyDescent="0.25">
      <c r="A496" s="81" t="s">
        <v>2953</v>
      </c>
      <c r="B496" s="81" t="s">
        <v>2957</v>
      </c>
      <c r="C496" s="95" t="s">
        <v>7720</v>
      </c>
      <c r="D496" s="95" t="s">
        <v>7674</v>
      </c>
      <c r="E496" s="95" t="s">
        <v>7714</v>
      </c>
      <c r="F496" s="95" t="s">
        <v>7617</v>
      </c>
      <c r="G496" s="95"/>
    </row>
    <row r="497" spans="1:7" ht="15.6" x14ac:dyDescent="0.25">
      <c r="A497" s="81" t="s">
        <v>2953</v>
      </c>
      <c r="B497" s="81" t="s">
        <v>2957</v>
      </c>
      <c r="C497" s="95" t="s">
        <v>7750</v>
      </c>
      <c r="D497" s="95" t="s">
        <v>7726</v>
      </c>
      <c r="E497" s="95" t="s">
        <v>7748</v>
      </c>
      <c r="F497" s="95" t="s">
        <v>7617</v>
      </c>
      <c r="G497" s="95"/>
    </row>
    <row r="498" spans="1:7" ht="15.6" x14ac:dyDescent="0.25">
      <c r="A498" s="81" t="s">
        <v>2953</v>
      </c>
      <c r="B498" s="81" t="s">
        <v>2957</v>
      </c>
      <c r="C498" s="95" t="s">
        <v>7751</v>
      </c>
      <c r="D498" s="95" t="s">
        <v>7754</v>
      </c>
      <c r="E498" s="95" t="s">
        <v>4000</v>
      </c>
      <c r="F498" s="95" t="s">
        <v>7617</v>
      </c>
      <c r="G498" s="95"/>
    </row>
    <row r="499" spans="1:7" ht="15.6" x14ac:dyDescent="0.25">
      <c r="A499" s="81" t="s">
        <v>2133</v>
      </c>
      <c r="B499" s="81" t="s">
        <v>2138</v>
      </c>
      <c r="C499" s="95">
        <v>1</v>
      </c>
      <c r="D499" s="95" t="s">
        <v>1680</v>
      </c>
      <c r="E499" s="95" t="s">
        <v>3014</v>
      </c>
      <c r="F499" s="95" t="s">
        <v>7617</v>
      </c>
      <c r="G499" s="95" t="s">
        <v>10020</v>
      </c>
    </row>
    <row r="500" spans="1:7" ht="15.6" x14ac:dyDescent="0.25">
      <c r="A500" s="81" t="s">
        <v>2133</v>
      </c>
      <c r="B500" s="81" t="s">
        <v>2138</v>
      </c>
      <c r="C500" s="95" t="s">
        <v>7720</v>
      </c>
      <c r="D500" s="95" t="s">
        <v>1857</v>
      </c>
      <c r="E500" s="95" t="s">
        <v>4000</v>
      </c>
      <c r="F500" s="95" t="s">
        <v>7617</v>
      </c>
      <c r="G500" s="95"/>
    </row>
    <row r="501" spans="1:7" ht="15.6" x14ac:dyDescent="0.25">
      <c r="A501" s="81" t="s">
        <v>1218</v>
      </c>
      <c r="B501" s="81" t="s">
        <v>7043</v>
      </c>
      <c r="C501" s="95">
        <v>1</v>
      </c>
      <c r="D501" s="95" t="s">
        <v>1680</v>
      </c>
      <c r="E501" s="95" t="s">
        <v>4000</v>
      </c>
      <c r="F501" s="95" t="s">
        <v>7617</v>
      </c>
      <c r="G501" s="95"/>
    </row>
    <row r="502" spans="1:7" ht="15.6" x14ac:dyDescent="0.25">
      <c r="A502" s="81" t="s">
        <v>2294</v>
      </c>
      <c r="B502" s="81" t="s">
        <v>2298</v>
      </c>
      <c r="C502" s="95">
        <v>1</v>
      </c>
      <c r="D502" s="95" t="s">
        <v>140</v>
      </c>
      <c r="E502" s="95" t="s">
        <v>7571</v>
      </c>
      <c r="F502" s="95" t="s">
        <v>7617</v>
      </c>
      <c r="G502" s="95"/>
    </row>
    <row r="503" spans="1:7" ht="15.6" x14ac:dyDescent="0.25">
      <c r="A503" s="81" t="s">
        <v>2294</v>
      </c>
      <c r="B503" s="81" t="s">
        <v>2298</v>
      </c>
      <c r="C503" s="95" t="s">
        <v>7720</v>
      </c>
      <c r="D503" s="95" t="s">
        <v>682</v>
      </c>
      <c r="E503" s="95" t="s">
        <v>7707</v>
      </c>
      <c r="F503" s="95" t="s">
        <v>7617</v>
      </c>
      <c r="G503" s="95"/>
    </row>
    <row r="504" spans="1:7" ht="15.6" x14ac:dyDescent="0.25">
      <c r="A504" s="96" t="s">
        <v>2294</v>
      </c>
      <c r="B504" s="96" t="s">
        <v>2298</v>
      </c>
      <c r="C504" s="95" t="s">
        <v>7750</v>
      </c>
      <c r="D504" s="95" t="s">
        <v>1094</v>
      </c>
      <c r="E504" s="95" t="s">
        <v>7536</v>
      </c>
      <c r="F504" s="95" t="s">
        <v>7617</v>
      </c>
      <c r="G504" s="95"/>
    </row>
    <row r="505" spans="1:7" ht="15.6" x14ac:dyDescent="0.25">
      <c r="A505" s="96" t="s">
        <v>2294</v>
      </c>
      <c r="B505" s="96" t="s">
        <v>2298</v>
      </c>
      <c r="C505" s="95" t="s">
        <v>7751</v>
      </c>
      <c r="D505" s="95" t="s">
        <v>879</v>
      </c>
      <c r="E505" s="95" t="s">
        <v>4000</v>
      </c>
      <c r="F505" s="95" t="s">
        <v>7617</v>
      </c>
      <c r="G505" s="95"/>
    </row>
    <row r="506" spans="1:7" ht="15.6" x14ac:dyDescent="0.25">
      <c r="A506" s="96" t="s">
        <v>2384</v>
      </c>
      <c r="B506" s="96" t="s">
        <v>2388</v>
      </c>
      <c r="C506" s="95">
        <v>1</v>
      </c>
      <c r="D506" s="95" t="s">
        <v>2105</v>
      </c>
      <c r="E506" s="95" t="s">
        <v>872</v>
      </c>
      <c r="F506" s="95" t="s">
        <v>7617</v>
      </c>
      <c r="G506" s="95"/>
    </row>
    <row r="507" spans="1:7" ht="15.6" x14ac:dyDescent="0.25">
      <c r="A507" s="81" t="s">
        <v>1468</v>
      </c>
      <c r="B507" s="81" t="s">
        <v>1473</v>
      </c>
      <c r="C507" s="95">
        <v>1</v>
      </c>
      <c r="D507" s="95" t="s">
        <v>1471</v>
      </c>
      <c r="E507" s="95" t="s">
        <v>7599</v>
      </c>
      <c r="F507" s="95" t="s">
        <v>7617</v>
      </c>
      <c r="G507" s="95"/>
    </row>
    <row r="508" spans="1:7" ht="15.6" x14ac:dyDescent="0.25">
      <c r="A508" s="81" t="s">
        <v>1468</v>
      </c>
      <c r="B508" s="81" t="s">
        <v>1473</v>
      </c>
      <c r="C508" s="95" t="s">
        <v>7720</v>
      </c>
      <c r="D508" s="95" t="s">
        <v>7675</v>
      </c>
      <c r="E508" s="95" t="s">
        <v>1478</v>
      </c>
      <c r="F508" s="95" t="s">
        <v>7617</v>
      </c>
      <c r="G508" s="95"/>
    </row>
    <row r="509" spans="1:7" ht="15.6" x14ac:dyDescent="0.25">
      <c r="A509" s="81" t="s">
        <v>2359</v>
      </c>
      <c r="B509" s="81" t="s">
        <v>2363</v>
      </c>
      <c r="C509" s="95">
        <v>1</v>
      </c>
      <c r="D509" s="95" t="s">
        <v>1680</v>
      </c>
      <c r="E509" s="95" t="s">
        <v>3014</v>
      </c>
      <c r="F509" s="95" t="s">
        <v>7617</v>
      </c>
      <c r="G509" s="95"/>
    </row>
    <row r="510" spans="1:7" ht="15.6" x14ac:dyDescent="0.25">
      <c r="A510" s="81" t="s">
        <v>2359</v>
      </c>
      <c r="B510" s="81" t="s">
        <v>2363</v>
      </c>
      <c r="C510" s="95" t="s">
        <v>7720</v>
      </c>
      <c r="D510" s="95" t="s">
        <v>1857</v>
      </c>
      <c r="E510" s="95" t="s">
        <v>1166</v>
      </c>
      <c r="F510" s="95" t="s">
        <v>7617</v>
      </c>
      <c r="G510" s="95"/>
    </row>
    <row r="511" spans="1:7" ht="15.6" x14ac:dyDescent="0.25">
      <c r="A511" s="81" t="s">
        <v>1941</v>
      </c>
      <c r="B511" s="81" t="s">
        <v>1944</v>
      </c>
      <c r="C511" s="95">
        <v>1</v>
      </c>
      <c r="D511" s="95" t="s">
        <v>1680</v>
      </c>
      <c r="E511" s="95" t="s">
        <v>3014</v>
      </c>
      <c r="F511" s="95" t="s">
        <v>7617</v>
      </c>
      <c r="G511" s="95"/>
    </row>
    <row r="512" spans="1:7" ht="15.6" x14ac:dyDescent="0.25">
      <c r="A512" s="81" t="s">
        <v>1941</v>
      </c>
      <c r="B512" s="81" t="s">
        <v>1944</v>
      </c>
      <c r="C512" s="95" t="s">
        <v>7720</v>
      </c>
      <c r="D512" s="95" t="s">
        <v>1857</v>
      </c>
      <c r="E512" s="95" t="s">
        <v>4000</v>
      </c>
      <c r="F512" s="95" t="s">
        <v>7617</v>
      </c>
      <c r="G512" s="95"/>
    </row>
    <row r="513" spans="1:7" ht="15.6" x14ac:dyDescent="0.25">
      <c r="A513" s="81" t="s">
        <v>971</v>
      </c>
      <c r="B513" s="81" t="s">
        <v>978</v>
      </c>
      <c r="C513" s="95">
        <v>1</v>
      </c>
      <c r="D513" s="95" t="s">
        <v>466</v>
      </c>
      <c r="E513" s="95" t="s">
        <v>273</v>
      </c>
      <c r="F513" s="95" t="s">
        <v>7617</v>
      </c>
      <c r="G513" s="95"/>
    </row>
    <row r="514" spans="1:7" ht="15.6" x14ac:dyDescent="0.25">
      <c r="A514" s="81" t="s">
        <v>971</v>
      </c>
      <c r="B514" s="81" t="s">
        <v>978</v>
      </c>
      <c r="C514" s="95" t="s">
        <v>7720</v>
      </c>
      <c r="D514" s="95" t="s">
        <v>554</v>
      </c>
      <c r="E514" s="95" t="s">
        <v>923</v>
      </c>
      <c r="F514" s="95" t="s">
        <v>7617</v>
      </c>
      <c r="G514" s="95"/>
    </row>
    <row r="515" spans="1:7" ht="15.6" x14ac:dyDescent="0.25">
      <c r="A515" s="81" t="s">
        <v>3047</v>
      </c>
      <c r="B515" s="81" t="s">
        <v>3052</v>
      </c>
      <c r="C515" s="95">
        <v>1</v>
      </c>
      <c r="D515" s="95" t="s">
        <v>3055</v>
      </c>
      <c r="E515" s="95" t="s">
        <v>7600</v>
      </c>
      <c r="F515" s="95" t="s">
        <v>7617</v>
      </c>
      <c r="G515" s="95"/>
    </row>
    <row r="516" spans="1:7" ht="15.6" x14ac:dyDescent="0.25">
      <c r="A516" s="81" t="s">
        <v>3047</v>
      </c>
      <c r="B516" s="81" t="s">
        <v>3052</v>
      </c>
      <c r="C516" s="95" t="s">
        <v>7720</v>
      </c>
      <c r="D516" s="95" t="s">
        <v>7676</v>
      </c>
      <c r="E516" s="95" t="s">
        <v>4000</v>
      </c>
      <c r="F516" s="95" t="s">
        <v>7617</v>
      </c>
      <c r="G516" s="95"/>
    </row>
    <row r="517" spans="1:7" ht="15.6" x14ac:dyDescent="0.25">
      <c r="A517" s="81" t="s">
        <v>719</v>
      </c>
      <c r="B517" s="81" t="s">
        <v>727</v>
      </c>
      <c r="C517" s="95">
        <v>1</v>
      </c>
      <c r="D517" s="95" t="s">
        <v>710</v>
      </c>
      <c r="E517" s="95" t="s">
        <v>718</v>
      </c>
      <c r="F517" s="95" t="s">
        <v>7617</v>
      </c>
      <c r="G517" s="95"/>
    </row>
    <row r="518" spans="1:7" ht="15.6" x14ac:dyDescent="0.25">
      <c r="A518" s="81" t="s">
        <v>719</v>
      </c>
      <c r="B518" s="81" t="s">
        <v>727</v>
      </c>
      <c r="C518" s="95" t="s">
        <v>7720</v>
      </c>
      <c r="D518" s="95" t="s">
        <v>7656</v>
      </c>
      <c r="E518" s="95" t="s">
        <v>7703</v>
      </c>
      <c r="F518" s="95" t="s">
        <v>7617</v>
      </c>
      <c r="G518" s="95"/>
    </row>
    <row r="519" spans="1:7" ht="15.6" x14ac:dyDescent="0.25">
      <c r="A519" s="81" t="s">
        <v>3491</v>
      </c>
      <c r="B519" s="81" t="s">
        <v>3496</v>
      </c>
      <c r="C519" s="95">
        <v>1</v>
      </c>
      <c r="D519" s="95" t="s">
        <v>3490</v>
      </c>
      <c r="E519" s="95" t="s">
        <v>4000</v>
      </c>
      <c r="F519" s="95" t="s">
        <v>7617</v>
      </c>
      <c r="G519" s="95"/>
    </row>
    <row r="520" spans="1:7" ht="15.6" x14ac:dyDescent="0.25">
      <c r="A520" s="81" t="s">
        <v>3395</v>
      </c>
      <c r="B520" s="81" t="s">
        <v>3398</v>
      </c>
      <c r="C520" s="95">
        <v>1</v>
      </c>
      <c r="D520" s="95" t="s">
        <v>1680</v>
      </c>
      <c r="E520" s="95" t="s">
        <v>4000</v>
      </c>
      <c r="F520" s="95" t="s">
        <v>7617</v>
      </c>
      <c r="G520" s="95"/>
    </row>
    <row r="521" spans="1:7" ht="15.6" x14ac:dyDescent="0.25">
      <c r="A521" s="81" t="s">
        <v>2253</v>
      </c>
      <c r="B521" s="81" t="s">
        <v>2257</v>
      </c>
      <c r="C521" s="95">
        <v>1</v>
      </c>
      <c r="D521" s="95" t="s">
        <v>1680</v>
      </c>
      <c r="E521" s="95" t="s">
        <v>7528</v>
      </c>
      <c r="F521" s="95" t="s">
        <v>7617</v>
      </c>
      <c r="G521" s="95"/>
    </row>
    <row r="522" spans="1:7" ht="15.6" x14ac:dyDescent="0.25">
      <c r="A522" s="81" t="s">
        <v>2253</v>
      </c>
      <c r="B522" s="81" t="s">
        <v>2257</v>
      </c>
      <c r="C522" s="95" t="s">
        <v>7720</v>
      </c>
      <c r="D522" s="95" t="s">
        <v>1430</v>
      </c>
      <c r="E522" s="95" t="s">
        <v>1090</v>
      </c>
      <c r="F522" s="95" t="s">
        <v>7617</v>
      </c>
      <c r="G522" s="95"/>
    </row>
    <row r="523" spans="1:7" ht="15.6" x14ac:dyDescent="0.25">
      <c r="A523" s="81" t="s">
        <v>652</v>
      </c>
      <c r="B523" s="81" t="s">
        <v>658</v>
      </c>
      <c r="C523" s="95">
        <v>1</v>
      </c>
      <c r="D523" s="95" t="s">
        <v>656</v>
      </c>
      <c r="E523" s="95" t="s">
        <v>1090</v>
      </c>
      <c r="F523" s="95" t="s">
        <v>7617</v>
      </c>
      <c r="G523" s="95"/>
    </row>
    <row r="524" spans="1:7" ht="15.6" x14ac:dyDescent="0.25">
      <c r="A524" s="81" t="s">
        <v>548</v>
      </c>
      <c r="B524" s="81" t="s">
        <v>557</v>
      </c>
      <c r="C524" s="95">
        <v>1</v>
      </c>
      <c r="D524" s="95" t="s">
        <v>461</v>
      </c>
      <c r="E524" s="95" t="s">
        <v>561</v>
      </c>
      <c r="F524" s="95" t="s">
        <v>7617</v>
      </c>
      <c r="G524" s="95"/>
    </row>
    <row r="525" spans="1:7" ht="15.6" x14ac:dyDescent="0.25">
      <c r="A525" s="81" t="s">
        <v>3387</v>
      </c>
      <c r="B525" s="81" t="s">
        <v>3392</v>
      </c>
      <c r="C525" s="95">
        <v>1</v>
      </c>
      <c r="D525" s="95" t="s">
        <v>1680</v>
      </c>
      <c r="E525" s="95" t="s">
        <v>4000</v>
      </c>
      <c r="F525" s="95" t="s">
        <v>7617</v>
      </c>
      <c r="G525" s="95"/>
    </row>
    <row r="526" spans="1:7" ht="15.6" x14ac:dyDescent="0.25">
      <c r="A526" s="81" t="s">
        <v>2962</v>
      </c>
      <c r="B526" s="81" t="s">
        <v>2966</v>
      </c>
      <c r="C526" s="95">
        <v>1</v>
      </c>
      <c r="D526" s="95" t="s">
        <v>1680</v>
      </c>
      <c r="E526" s="95" t="s">
        <v>4000</v>
      </c>
      <c r="F526" s="95" t="s">
        <v>7617</v>
      </c>
      <c r="G526" s="95"/>
    </row>
    <row r="527" spans="1:7" ht="15.6" x14ac:dyDescent="0.25">
      <c r="A527" s="81" t="s">
        <v>2050</v>
      </c>
      <c r="B527" s="81" t="s">
        <v>2055</v>
      </c>
      <c r="C527" s="95">
        <v>1</v>
      </c>
      <c r="D527" s="95" t="s">
        <v>1680</v>
      </c>
      <c r="E527" s="95" t="s">
        <v>7528</v>
      </c>
      <c r="F527" s="95" t="s">
        <v>7617</v>
      </c>
      <c r="G527" s="95"/>
    </row>
    <row r="528" spans="1:7" ht="15.6" x14ac:dyDescent="0.25">
      <c r="A528" s="81" t="s">
        <v>2050</v>
      </c>
      <c r="B528" s="81" t="s">
        <v>2055</v>
      </c>
      <c r="C528" s="95" t="s">
        <v>7720</v>
      </c>
      <c r="D528" s="95" t="s">
        <v>1430</v>
      </c>
      <c r="E528" s="95" t="s">
        <v>4000</v>
      </c>
      <c r="F528" s="95" t="s">
        <v>7617</v>
      </c>
      <c r="G528" s="95"/>
    </row>
    <row r="529" spans="1:7" ht="15.6" x14ac:dyDescent="0.25">
      <c r="A529" s="81" t="s">
        <v>873</v>
      </c>
      <c r="B529" s="81" t="s">
        <v>884</v>
      </c>
      <c r="C529" s="95">
        <v>1</v>
      </c>
      <c r="D529" s="95" t="s">
        <v>879</v>
      </c>
      <c r="E529" s="95" t="s">
        <v>450</v>
      </c>
      <c r="F529" s="95" t="s">
        <v>7617</v>
      </c>
      <c r="G529" s="95"/>
    </row>
    <row r="530" spans="1:7" ht="15.6" x14ac:dyDescent="0.25">
      <c r="A530" s="81" t="s">
        <v>873</v>
      </c>
      <c r="B530" s="81" t="s">
        <v>884</v>
      </c>
      <c r="C530" s="95" t="s">
        <v>7720</v>
      </c>
      <c r="D530" s="95" t="s">
        <v>578</v>
      </c>
      <c r="E530" s="95" t="s">
        <v>894</v>
      </c>
      <c r="F530" s="95" t="s">
        <v>7617</v>
      </c>
      <c r="G530" s="95"/>
    </row>
    <row r="531" spans="1:7" ht="15.6" x14ac:dyDescent="0.25">
      <c r="A531" s="81" t="s">
        <v>1501</v>
      </c>
      <c r="B531" s="81" t="s">
        <v>1506</v>
      </c>
      <c r="C531" s="95">
        <v>1</v>
      </c>
      <c r="D531" s="95" t="s">
        <v>1504</v>
      </c>
      <c r="E531" s="95" t="s">
        <v>7601</v>
      </c>
      <c r="F531" s="95" t="s">
        <v>7617</v>
      </c>
      <c r="G531" s="95"/>
    </row>
    <row r="532" spans="1:7" ht="15.6" x14ac:dyDescent="0.25">
      <c r="A532" s="81" t="s">
        <v>1501</v>
      </c>
      <c r="B532" s="81" t="s">
        <v>1506</v>
      </c>
      <c r="C532" s="95" t="s">
        <v>7720</v>
      </c>
      <c r="D532" s="95" t="s">
        <v>7590</v>
      </c>
      <c r="E532" s="95" t="s">
        <v>1478</v>
      </c>
      <c r="F532" s="95" t="s">
        <v>7617</v>
      </c>
      <c r="G532" s="95"/>
    </row>
    <row r="533" spans="1:7" ht="15.6" x14ac:dyDescent="0.25">
      <c r="A533" s="81" t="s">
        <v>2889</v>
      </c>
      <c r="B533" s="81" t="s">
        <v>2894</v>
      </c>
      <c r="C533" s="95">
        <v>1</v>
      </c>
      <c r="D533" s="95" t="s">
        <v>1680</v>
      </c>
      <c r="E533" s="95" t="s">
        <v>3014</v>
      </c>
      <c r="F533" s="95" t="s">
        <v>7617</v>
      </c>
      <c r="G533" s="95"/>
    </row>
    <row r="534" spans="1:7" ht="15.6" x14ac:dyDescent="0.25">
      <c r="A534" s="81" t="s">
        <v>2889</v>
      </c>
      <c r="B534" s="81" t="s">
        <v>2894</v>
      </c>
      <c r="C534" s="95" t="s">
        <v>7720</v>
      </c>
      <c r="D534" s="95" t="s">
        <v>1857</v>
      </c>
      <c r="E534" s="95" t="s">
        <v>1166</v>
      </c>
      <c r="F534" s="95" t="s">
        <v>7617</v>
      </c>
      <c r="G534" s="95"/>
    </row>
    <row r="535" spans="1:7" ht="15.6" x14ac:dyDescent="0.25">
      <c r="A535" s="81" t="s">
        <v>2193</v>
      </c>
      <c r="B535" s="81" t="s">
        <v>2199</v>
      </c>
      <c r="C535" s="95">
        <v>1</v>
      </c>
      <c r="D535" s="95" t="s">
        <v>2197</v>
      </c>
      <c r="E535" s="95" t="s">
        <v>7602</v>
      </c>
      <c r="F535" s="95" t="s">
        <v>7617</v>
      </c>
      <c r="G535" s="95"/>
    </row>
    <row r="536" spans="1:7" ht="15.6" x14ac:dyDescent="0.25">
      <c r="A536" s="81" t="s">
        <v>2193</v>
      </c>
      <c r="B536" s="81" t="s">
        <v>2199</v>
      </c>
      <c r="C536" s="95" t="s">
        <v>7720</v>
      </c>
      <c r="D536" s="95" t="s">
        <v>7677</v>
      </c>
      <c r="E536" s="95" t="s">
        <v>7700</v>
      </c>
      <c r="F536" s="95" t="s">
        <v>7617</v>
      </c>
      <c r="G536" s="95"/>
    </row>
    <row r="537" spans="1:7" ht="15.6" x14ac:dyDescent="0.25">
      <c r="A537" s="81" t="s">
        <v>2193</v>
      </c>
      <c r="B537" s="81" t="s">
        <v>2199</v>
      </c>
      <c r="C537" s="95" t="s">
        <v>7750</v>
      </c>
      <c r="D537" s="95" t="s">
        <v>1274</v>
      </c>
      <c r="E537" s="95" t="s">
        <v>4000</v>
      </c>
      <c r="F537" s="95" t="s">
        <v>7617</v>
      </c>
      <c r="G537" s="95"/>
    </row>
    <row r="538" spans="1:7" ht="15.6" x14ac:dyDescent="0.25">
      <c r="A538" s="81" t="s">
        <v>315</v>
      </c>
      <c r="B538" s="81" t="s">
        <v>326</v>
      </c>
      <c r="C538" s="95">
        <v>1</v>
      </c>
      <c r="D538" s="95" t="s">
        <v>321</v>
      </c>
      <c r="E538" s="95" t="s">
        <v>338</v>
      </c>
      <c r="F538" s="95" t="s">
        <v>7617</v>
      </c>
      <c r="G538" s="95"/>
    </row>
    <row r="539" spans="1:7" ht="15.6" x14ac:dyDescent="0.25">
      <c r="A539" s="81" t="s">
        <v>2620</v>
      </c>
      <c r="B539" s="81" t="s">
        <v>2626</v>
      </c>
      <c r="C539" s="95">
        <v>1</v>
      </c>
      <c r="D539" s="95" t="s">
        <v>578</v>
      </c>
      <c r="E539" s="95" t="s">
        <v>1090</v>
      </c>
      <c r="F539" s="95" t="s">
        <v>7617</v>
      </c>
      <c r="G539" s="95"/>
    </row>
    <row r="540" spans="1:7" ht="15.6" x14ac:dyDescent="0.25">
      <c r="A540" s="81" t="s">
        <v>1697</v>
      </c>
      <c r="B540" s="81" t="s">
        <v>1703</v>
      </c>
      <c r="C540" s="95">
        <v>1</v>
      </c>
      <c r="D540" s="95" t="s">
        <v>578</v>
      </c>
      <c r="E540" s="95" t="s">
        <v>1311</v>
      </c>
      <c r="F540" s="95" t="s">
        <v>7617</v>
      </c>
      <c r="G540" s="95"/>
    </row>
    <row r="541" spans="1:7" ht="15.6" x14ac:dyDescent="0.25">
      <c r="A541" s="81" t="s">
        <v>2679</v>
      </c>
      <c r="B541" s="81" t="s">
        <v>2682</v>
      </c>
      <c r="C541" s="95">
        <v>1</v>
      </c>
      <c r="D541" s="95" t="s">
        <v>578</v>
      </c>
      <c r="E541" s="95" t="s">
        <v>1090</v>
      </c>
      <c r="F541" s="95" t="s">
        <v>7617</v>
      </c>
      <c r="G541" s="95"/>
    </row>
    <row r="542" spans="1:7" ht="15.6" x14ac:dyDescent="0.25">
      <c r="A542" s="81" t="s">
        <v>2375</v>
      </c>
      <c r="B542" s="81" t="s">
        <v>2379</v>
      </c>
      <c r="C542" s="95">
        <v>1</v>
      </c>
      <c r="D542" s="95" t="s">
        <v>2105</v>
      </c>
      <c r="E542" s="95" t="s">
        <v>872</v>
      </c>
      <c r="F542" s="95" t="s">
        <v>7617</v>
      </c>
      <c r="G542" s="95"/>
    </row>
    <row r="543" spans="1:7" ht="15.6" x14ac:dyDescent="0.25">
      <c r="A543" s="81" t="s">
        <v>391</v>
      </c>
      <c r="B543" s="81" t="s">
        <v>401</v>
      </c>
      <c r="C543" s="95">
        <v>1</v>
      </c>
      <c r="D543" s="95" t="s">
        <v>396</v>
      </c>
      <c r="E543" s="95" t="s">
        <v>411</v>
      </c>
      <c r="F543" s="95" t="s">
        <v>7617</v>
      </c>
      <c r="G543" s="95"/>
    </row>
    <row r="544" spans="1:7" ht="15.6" x14ac:dyDescent="0.25">
      <c r="A544" s="81" t="s">
        <v>3380</v>
      </c>
      <c r="B544" s="81" t="s">
        <v>3384</v>
      </c>
      <c r="C544" s="95">
        <v>1</v>
      </c>
      <c r="D544" s="95" t="s">
        <v>578</v>
      </c>
      <c r="E544" s="95" t="s">
        <v>4000</v>
      </c>
      <c r="F544" s="95" t="s">
        <v>7617</v>
      </c>
      <c r="G544" s="95"/>
    </row>
    <row r="545" spans="1:7" ht="15.6" x14ac:dyDescent="0.25">
      <c r="A545" s="81" t="s">
        <v>3562</v>
      </c>
      <c r="B545" s="81" t="s">
        <v>3566</v>
      </c>
      <c r="C545" s="95">
        <v>1</v>
      </c>
      <c r="D545" s="95" t="s">
        <v>1048</v>
      </c>
      <c r="E545" s="95" t="s">
        <v>7603</v>
      </c>
      <c r="F545" s="95" t="s">
        <v>4110</v>
      </c>
      <c r="G545" s="95"/>
    </row>
    <row r="546" spans="1:7" ht="15.6" x14ac:dyDescent="0.25">
      <c r="A546" s="81" t="s">
        <v>3562</v>
      </c>
      <c r="B546" s="81" t="s">
        <v>3566</v>
      </c>
      <c r="C546" s="95" t="s">
        <v>7720</v>
      </c>
      <c r="D546" s="95" t="s">
        <v>980</v>
      </c>
      <c r="E546" s="95" t="s">
        <v>7715</v>
      </c>
      <c r="F546" s="95" t="s">
        <v>4110</v>
      </c>
      <c r="G546" s="95"/>
    </row>
    <row r="547" spans="1:7" ht="15.6" x14ac:dyDescent="0.25">
      <c r="A547" s="81" t="s">
        <v>3562</v>
      </c>
      <c r="B547" s="81" t="s">
        <v>3566</v>
      </c>
      <c r="C547" s="95" t="s">
        <v>7750</v>
      </c>
      <c r="D547" s="95" t="s">
        <v>674</v>
      </c>
      <c r="E547" s="95" t="s">
        <v>561</v>
      </c>
      <c r="F547" s="95" t="s">
        <v>4110</v>
      </c>
      <c r="G547" s="95"/>
    </row>
    <row r="548" spans="1:7" ht="15.6" x14ac:dyDescent="0.25">
      <c r="A548" s="81" t="s">
        <v>3523</v>
      </c>
      <c r="B548" s="81" t="s">
        <v>3529</v>
      </c>
      <c r="C548" s="95">
        <v>1</v>
      </c>
      <c r="D548" s="95" t="s">
        <v>3535</v>
      </c>
      <c r="E548" s="95" t="s">
        <v>4000</v>
      </c>
      <c r="F548" s="95" t="s">
        <v>7617</v>
      </c>
      <c r="G548" s="95"/>
    </row>
    <row r="549" spans="1:7" ht="15.6" x14ac:dyDescent="0.25">
      <c r="A549" s="81" t="s">
        <v>2907</v>
      </c>
      <c r="B549" s="81" t="s">
        <v>2910</v>
      </c>
      <c r="C549" s="95">
        <v>1</v>
      </c>
      <c r="D549" s="95" t="s">
        <v>1853</v>
      </c>
      <c r="E549" s="95" t="s">
        <v>2301</v>
      </c>
      <c r="F549" s="95" t="s">
        <v>7617</v>
      </c>
      <c r="G549" s="95"/>
    </row>
    <row r="550" spans="1:7" ht="15.6" x14ac:dyDescent="0.25">
      <c r="A550" s="81" t="s">
        <v>2907</v>
      </c>
      <c r="B550" s="81" t="s">
        <v>2910</v>
      </c>
      <c r="C550" s="95" t="s">
        <v>7720</v>
      </c>
      <c r="D550" s="95" t="s">
        <v>2140</v>
      </c>
      <c r="E550" s="95" t="s">
        <v>1566</v>
      </c>
      <c r="F550" s="95" t="s">
        <v>7617</v>
      </c>
      <c r="G550" s="95"/>
    </row>
    <row r="551" spans="1:7" ht="15.6" x14ac:dyDescent="0.25">
      <c r="A551" s="81" t="s">
        <v>2907</v>
      </c>
      <c r="B551" s="81" t="s">
        <v>2910</v>
      </c>
      <c r="C551" s="95" t="s">
        <v>7750</v>
      </c>
      <c r="D551" s="95" t="s">
        <v>1614</v>
      </c>
      <c r="E551" s="95" t="s">
        <v>7707</v>
      </c>
      <c r="F551" s="95" t="s">
        <v>7617</v>
      </c>
      <c r="G551" s="95"/>
    </row>
    <row r="552" spans="1:7" ht="15.6" x14ac:dyDescent="0.25">
      <c r="A552" s="81" t="s">
        <v>2907</v>
      </c>
      <c r="B552" s="81" t="s">
        <v>2910</v>
      </c>
      <c r="C552" s="95" t="s">
        <v>7751</v>
      </c>
      <c r="D552" s="95" t="s">
        <v>1094</v>
      </c>
      <c r="E552" s="95" t="s">
        <v>1478</v>
      </c>
      <c r="F552" s="95" t="s">
        <v>7617</v>
      </c>
      <c r="G552" s="95"/>
    </row>
    <row r="553" spans="1:7" ht="15.6" x14ac:dyDescent="0.25">
      <c r="A553" s="81" t="s">
        <v>3073</v>
      </c>
      <c r="B553" s="81" t="s">
        <v>3077</v>
      </c>
      <c r="C553" s="95">
        <v>1</v>
      </c>
      <c r="D553" s="95" t="s">
        <v>1680</v>
      </c>
      <c r="E553" s="95" t="s">
        <v>3014</v>
      </c>
      <c r="F553" s="95" t="s">
        <v>7617</v>
      </c>
      <c r="G553" s="95"/>
    </row>
    <row r="554" spans="1:7" ht="15.6" x14ac:dyDescent="0.25">
      <c r="A554" s="81" t="s">
        <v>3073</v>
      </c>
      <c r="B554" s="81" t="s">
        <v>3077</v>
      </c>
      <c r="C554" s="95" t="s">
        <v>7720</v>
      </c>
      <c r="D554" s="95" t="s">
        <v>1857</v>
      </c>
      <c r="E554" s="95" t="s">
        <v>1090</v>
      </c>
      <c r="F554" s="95" t="s">
        <v>7617</v>
      </c>
      <c r="G554" s="95"/>
    </row>
    <row r="555" spans="1:7" ht="15.6" x14ac:dyDescent="0.25">
      <c r="A555" s="81" t="s">
        <v>3229</v>
      </c>
      <c r="B555" s="81" t="s">
        <v>3234</v>
      </c>
      <c r="C555" s="95">
        <v>1</v>
      </c>
      <c r="D555" s="95" t="s">
        <v>2238</v>
      </c>
      <c r="E555" s="95" t="s">
        <v>4000</v>
      </c>
      <c r="F555" s="95" t="s">
        <v>7617</v>
      </c>
      <c r="G555" s="95"/>
    </row>
    <row r="556" spans="1:7" ht="15.6" x14ac:dyDescent="0.25">
      <c r="A556" s="81" t="s">
        <v>3119</v>
      </c>
      <c r="B556" s="81" t="s">
        <v>3124</v>
      </c>
      <c r="C556" s="95">
        <v>1</v>
      </c>
      <c r="D556" s="95" t="s">
        <v>578</v>
      </c>
      <c r="E556" s="95" t="s">
        <v>1166</v>
      </c>
      <c r="F556" s="95" t="s">
        <v>7617</v>
      </c>
      <c r="G556" s="95"/>
    </row>
    <row r="557" spans="1:7" ht="15.6" x14ac:dyDescent="0.25">
      <c r="A557" s="81" t="s">
        <v>2060</v>
      </c>
      <c r="B557" s="81" t="s">
        <v>2065</v>
      </c>
      <c r="C557" s="95">
        <v>1</v>
      </c>
      <c r="D557" s="95" t="s">
        <v>1680</v>
      </c>
      <c r="E557" s="95" t="s">
        <v>3014</v>
      </c>
      <c r="F557" s="95" t="s">
        <v>7617</v>
      </c>
      <c r="G557" s="95"/>
    </row>
    <row r="558" spans="1:7" ht="15.6" x14ac:dyDescent="0.25">
      <c r="A558" s="81" t="s">
        <v>2060</v>
      </c>
      <c r="B558" s="81" t="s">
        <v>2065</v>
      </c>
      <c r="C558" s="95" t="s">
        <v>7720</v>
      </c>
      <c r="D558" s="95" t="s">
        <v>1857</v>
      </c>
      <c r="E558" s="95" t="s">
        <v>1166</v>
      </c>
      <c r="F558" s="95" t="s">
        <v>7617</v>
      </c>
      <c r="G558" s="95"/>
    </row>
    <row r="559" spans="1:7" ht="15.6" x14ac:dyDescent="0.25">
      <c r="A559" s="81" t="s">
        <v>2260</v>
      </c>
      <c r="B559" s="81" t="s">
        <v>2265</v>
      </c>
      <c r="C559" s="95">
        <v>1</v>
      </c>
      <c r="D559" s="95" t="s">
        <v>1680</v>
      </c>
      <c r="E559" s="95" t="s">
        <v>7528</v>
      </c>
      <c r="F559" s="95" t="s">
        <v>7617</v>
      </c>
      <c r="G559" s="95"/>
    </row>
    <row r="560" spans="1:7" ht="15.6" x14ac:dyDescent="0.25">
      <c r="A560" s="81" t="s">
        <v>2260</v>
      </c>
      <c r="B560" s="81" t="s">
        <v>2265</v>
      </c>
      <c r="C560" s="95" t="s">
        <v>7720</v>
      </c>
      <c r="D560" s="95" t="s">
        <v>1430</v>
      </c>
      <c r="E560" s="95" t="s">
        <v>1090</v>
      </c>
      <c r="F560" s="95" t="s">
        <v>7617</v>
      </c>
      <c r="G560" s="95"/>
    </row>
    <row r="561" spans="1:7" ht="15.6" x14ac:dyDescent="0.25">
      <c r="A561" s="81" t="s">
        <v>1456</v>
      </c>
      <c r="B561" s="81" t="s">
        <v>1463</v>
      </c>
      <c r="C561" s="95">
        <v>1</v>
      </c>
      <c r="D561" s="95" t="s">
        <v>1461</v>
      </c>
      <c r="E561" s="95" t="s">
        <v>7604</v>
      </c>
      <c r="F561" s="95" t="s">
        <v>7617</v>
      </c>
      <c r="G561" s="95"/>
    </row>
    <row r="562" spans="1:7" ht="15.6" x14ac:dyDescent="0.25">
      <c r="A562" s="81" t="s">
        <v>1456</v>
      </c>
      <c r="B562" s="81" t="s">
        <v>1463</v>
      </c>
      <c r="C562" s="95" t="s">
        <v>7720</v>
      </c>
      <c r="D562" s="95" t="s">
        <v>7678</v>
      </c>
      <c r="E562" s="95" t="s">
        <v>872</v>
      </c>
      <c r="F562" s="95" t="s">
        <v>7617</v>
      </c>
      <c r="G562" s="95"/>
    </row>
    <row r="563" spans="1:7" ht="15.6" x14ac:dyDescent="0.25">
      <c r="A563" s="81" t="s">
        <v>1777</v>
      </c>
      <c r="B563" s="81" t="s">
        <v>1780</v>
      </c>
      <c r="C563" s="95">
        <v>1</v>
      </c>
      <c r="D563" s="95" t="s">
        <v>656</v>
      </c>
      <c r="E563" s="95" t="s">
        <v>1090</v>
      </c>
      <c r="F563" s="95" t="s">
        <v>7617</v>
      </c>
      <c r="G563" s="95"/>
    </row>
    <row r="564" spans="1:7" ht="15.6" x14ac:dyDescent="0.25">
      <c r="A564" s="81" t="s">
        <v>2945</v>
      </c>
      <c r="B564" s="81" t="s">
        <v>2950</v>
      </c>
      <c r="C564" s="95">
        <v>1</v>
      </c>
      <c r="D564" s="95" t="s">
        <v>1680</v>
      </c>
      <c r="E564" s="95" t="s">
        <v>7528</v>
      </c>
      <c r="F564" s="95" t="s">
        <v>7617</v>
      </c>
      <c r="G564" s="95"/>
    </row>
    <row r="565" spans="1:7" ht="15.6" x14ac:dyDescent="0.25">
      <c r="A565" s="81" t="s">
        <v>2945</v>
      </c>
      <c r="B565" s="81" t="s">
        <v>2950</v>
      </c>
      <c r="C565" s="95" t="s">
        <v>7720</v>
      </c>
      <c r="D565" s="95" t="s">
        <v>1430</v>
      </c>
      <c r="E565" s="95" t="s">
        <v>663</v>
      </c>
      <c r="F565" s="95" t="s">
        <v>7617</v>
      </c>
      <c r="G565" s="95"/>
    </row>
    <row r="566" spans="1:7" ht="15.6" x14ac:dyDescent="0.25">
      <c r="A566" s="81" t="s">
        <v>3110</v>
      </c>
      <c r="B566" s="81" t="s">
        <v>3114</v>
      </c>
      <c r="C566" s="95">
        <v>1</v>
      </c>
      <c r="D566" s="95" t="s">
        <v>2238</v>
      </c>
      <c r="E566" s="95" t="s">
        <v>4000</v>
      </c>
      <c r="F566" s="95" t="s">
        <v>7617</v>
      </c>
      <c r="G566" s="95"/>
    </row>
    <row r="567" spans="1:7" ht="15.6" x14ac:dyDescent="0.25">
      <c r="A567" s="81" t="s">
        <v>2528</v>
      </c>
      <c r="B567" s="81" t="s">
        <v>2533</v>
      </c>
      <c r="C567" s="95">
        <v>1</v>
      </c>
      <c r="D567" s="95" t="s">
        <v>1680</v>
      </c>
      <c r="E567" s="95" t="s">
        <v>7528</v>
      </c>
      <c r="F567" s="95" t="s">
        <v>7617</v>
      </c>
      <c r="G567" s="95"/>
    </row>
    <row r="568" spans="1:7" ht="15.6" x14ac:dyDescent="0.25">
      <c r="A568" s="81" t="s">
        <v>2528</v>
      </c>
      <c r="B568" s="81" t="s">
        <v>2533</v>
      </c>
      <c r="C568" s="95" t="s">
        <v>7720</v>
      </c>
      <c r="D568" s="95" t="s">
        <v>1430</v>
      </c>
      <c r="E568" s="95" t="s">
        <v>663</v>
      </c>
      <c r="F568" s="95" t="s">
        <v>7617</v>
      </c>
      <c r="G568" s="95"/>
    </row>
    <row r="569" spans="1:7" ht="15.6" x14ac:dyDescent="0.25">
      <c r="A569" s="81" t="s">
        <v>2477</v>
      </c>
      <c r="B569" s="81" t="s">
        <v>2482</v>
      </c>
      <c r="C569" s="95">
        <v>1</v>
      </c>
      <c r="D569" s="95" t="s">
        <v>1680</v>
      </c>
      <c r="E569" s="95" t="s">
        <v>3014</v>
      </c>
      <c r="F569" s="95" t="s">
        <v>7617</v>
      </c>
      <c r="G569" s="95"/>
    </row>
    <row r="570" spans="1:7" ht="15.6" x14ac:dyDescent="0.25">
      <c r="A570" s="81" t="s">
        <v>2477</v>
      </c>
      <c r="B570" s="81" t="s">
        <v>2482</v>
      </c>
      <c r="C570" s="95" t="s">
        <v>7720</v>
      </c>
      <c r="D570" s="95" t="s">
        <v>1857</v>
      </c>
      <c r="E570" s="95" t="s">
        <v>4000</v>
      </c>
      <c r="F570" s="95" t="s">
        <v>7617</v>
      </c>
      <c r="G570" s="95"/>
    </row>
    <row r="571" spans="1:7" ht="15.6" x14ac:dyDescent="0.25">
      <c r="A571" s="81" t="s">
        <v>1523</v>
      </c>
      <c r="B571" s="81" t="s">
        <v>1529</v>
      </c>
      <c r="C571" s="95">
        <v>1</v>
      </c>
      <c r="D571" s="95" t="s">
        <v>1527</v>
      </c>
      <c r="E571" s="95" t="s">
        <v>1130</v>
      </c>
      <c r="F571" s="95" t="s">
        <v>7617</v>
      </c>
      <c r="G571" s="95"/>
    </row>
    <row r="572" spans="1:7" ht="15.6" x14ac:dyDescent="0.25">
      <c r="A572" s="81" t="s">
        <v>1523</v>
      </c>
      <c r="B572" s="81" t="s">
        <v>1529</v>
      </c>
      <c r="C572" s="95" t="s">
        <v>7720</v>
      </c>
      <c r="D572" s="95" t="s">
        <v>7679</v>
      </c>
      <c r="E572" s="95" t="s">
        <v>7356</v>
      </c>
      <c r="F572" s="95" t="s">
        <v>7617</v>
      </c>
      <c r="G572" s="95"/>
    </row>
    <row r="573" spans="1:7" ht="15.6" x14ac:dyDescent="0.25">
      <c r="A573" s="81" t="s">
        <v>1523</v>
      </c>
      <c r="B573" s="81" t="s">
        <v>1529</v>
      </c>
      <c r="C573" s="95" t="s">
        <v>7750</v>
      </c>
      <c r="D573" s="95" t="s">
        <v>656</v>
      </c>
      <c r="E573" s="95" t="s">
        <v>1166</v>
      </c>
      <c r="F573" s="95" t="s">
        <v>7617</v>
      </c>
      <c r="G573" s="95"/>
    </row>
    <row r="574" spans="1:7" ht="15.6" x14ac:dyDescent="0.25">
      <c r="A574" s="81" t="s">
        <v>1607</v>
      </c>
      <c r="B574" s="81" t="s">
        <v>1612</v>
      </c>
      <c r="C574" s="95">
        <v>1</v>
      </c>
      <c r="D574" s="95" t="s">
        <v>1610</v>
      </c>
      <c r="E574" s="95" t="s">
        <v>7605</v>
      </c>
      <c r="F574" s="95" t="s">
        <v>7617</v>
      </c>
      <c r="G574" s="95"/>
    </row>
    <row r="575" spans="1:7" ht="15.6" x14ac:dyDescent="0.25">
      <c r="A575" s="81" t="s">
        <v>1607</v>
      </c>
      <c r="B575" s="81" t="s">
        <v>1612</v>
      </c>
      <c r="C575" s="95" t="s">
        <v>7720</v>
      </c>
      <c r="D575" s="95" t="s">
        <v>7680</v>
      </c>
      <c r="E575" s="95" t="s">
        <v>7536</v>
      </c>
      <c r="F575" s="95" t="s">
        <v>7617</v>
      </c>
      <c r="G575" s="95"/>
    </row>
    <row r="576" spans="1:7" ht="15.6" x14ac:dyDescent="0.25">
      <c r="A576" s="81" t="s">
        <v>1607</v>
      </c>
      <c r="B576" s="81" t="s">
        <v>1612</v>
      </c>
      <c r="C576" s="95" t="s">
        <v>7750</v>
      </c>
      <c r="D576" s="95" t="s">
        <v>879</v>
      </c>
      <c r="E576" s="95" t="s">
        <v>1615</v>
      </c>
      <c r="F576" s="95" t="s">
        <v>7617</v>
      </c>
      <c r="G576" s="95"/>
    </row>
    <row r="577" spans="1:7" ht="15.6" x14ac:dyDescent="0.25">
      <c r="A577" s="81" t="s">
        <v>835</v>
      </c>
      <c r="B577" s="81" t="s">
        <v>846</v>
      </c>
      <c r="C577" s="95">
        <v>1</v>
      </c>
      <c r="D577" s="95" t="s">
        <v>842</v>
      </c>
      <c r="E577" s="95" t="s">
        <v>7606</v>
      </c>
      <c r="F577" s="95" t="s">
        <v>7617</v>
      </c>
      <c r="G577" s="95"/>
    </row>
    <row r="578" spans="1:7" ht="15.6" x14ac:dyDescent="0.25">
      <c r="A578" s="81" t="s">
        <v>835</v>
      </c>
      <c r="B578" s="81" t="s">
        <v>846</v>
      </c>
      <c r="C578" s="95" t="s">
        <v>7720</v>
      </c>
      <c r="D578" s="95" t="s">
        <v>856</v>
      </c>
      <c r="E578" s="95" t="s">
        <v>834</v>
      </c>
      <c r="F578" s="95" t="s">
        <v>7617</v>
      </c>
      <c r="G578" s="95"/>
    </row>
    <row r="579" spans="1:7" ht="15.6" x14ac:dyDescent="0.25">
      <c r="A579" s="81" t="s">
        <v>2750</v>
      </c>
      <c r="B579" s="81" t="s">
        <v>2754</v>
      </c>
      <c r="C579" s="95">
        <v>1</v>
      </c>
      <c r="D579" s="95" t="s">
        <v>1680</v>
      </c>
      <c r="E579" s="95" t="s">
        <v>4000</v>
      </c>
      <c r="F579" s="95" t="s">
        <v>7617</v>
      </c>
      <c r="G579" s="95"/>
    </row>
    <row r="580" spans="1:7" ht="15.6" x14ac:dyDescent="0.25">
      <c r="A580" s="81" t="s">
        <v>2936</v>
      </c>
      <c r="B580" s="81" t="s">
        <v>2941</v>
      </c>
      <c r="C580" s="95">
        <v>1</v>
      </c>
      <c r="D580" s="95" t="s">
        <v>578</v>
      </c>
      <c r="E580" s="95" t="s">
        <v>4000</v>
      </c>
      <c r="F580" s="95" t="s">
        <v>7617</v>
      </c>
      <c r="G580" s="95"/>
    </row>
    <row r="581" spans="1:7" ht="15.6" x14ac:dyDescent="0.25">
      <c r="A581" s="81" t="s">
        <v>1596</v>
      </c>
      <c r="B581" s="81" t="s">
        <v>1601</v>
      </c>
      <c r="C581" s="95">
        <v>1</v>
      </c>
      <c r="D581" s="95" t="s">
        <v>1599</v>
      </c>
      <c r="E581" s="95" t="s">
        <v>7607</v>
      </c>
      <c r="F581" s="95" t="s">
        <v>7617</v>
      </c>
      <c r="G581" s="95"/>
    </row>
    <row r="582" spans="1:7" ht="15.6" x14ac:dyDescent="0.25">
      <c r="A582" s="81" t="s">
        <v>1596</v>
      </c>
      <c r="B582" s="81" t="s">
        <v>1601</v>
      </c>
      <c r="C582" s="95" t="s">
        <v>7720</v>
      </c>
      <c r="D582" s="95" t="s">
        <v>7681</v>
      </c>
      <c r="E582" s="95" t="s">
        <v>1281</v>
      </c>
      <c r="F582" s="95" t="s">
        <v>7617</v>
      </c>
      <c r="G582" s="95"/>
    </row>
    <row r="583" spans="1:7" ht="15.6" x14ac:dyDescent="0.25">
      <c r="A583" s="81" t="s">
        <v>3536</v>
      </c>
      <c r="B583" s="81" t="s">
        <v>3540</v>
      </c>
      <c r="C583" s="95">
        <v>1</v>
      </c>
      <c r="D583" s="95" t="s">
        <v>1680</v>
      </c>
      <c r="E583" s="95" t="s">
        <v>4000</v>
      </c>
      <c r="F583" s="95" t="s">
        <v>7617</v>
      </c>
      <c r="G583" s="95"/>
    </row>
    <row r="584" spans="1:7" ht="15.6" x14ac:dyDescent="0.25">
      <c r="A584" s="81" t="s">
        <v>1793</v>
      </c>
      <c r="B584" s="81" t="s">
        <v>1799</v>
      </c>
      <c r="C584" s="95">
        <v>1</v>
      </c>
      <c r="D584" s="95" t="s">
        <v>1797</v>
      </c>
      <c r="E584" s="95" t="s">
        <v>7608</v>
      </c>
      <c r="F584" s="95" t="s">
        <v>7617</v>
      </c>
      <c r="G584" s="95"/>
    </row>
    <row r="585" spans="1:7" ht="15.6" x14ac:dyDescent="0.25">
      <c r="A585" s="81" t="s">
        <v>1793</v>
      </c>
      <c r="B585" s="81" t="s">
        <v>1799</v>
      </c>
      <c r="C585" s="95" t="s">
        <v>7720</v>
      </c>
      <c r="D585" s="95" t="s">
        <v>7682</v>
      </c>
      <c r="E585" s="95" t="s">
        <v>1478</v>
      </c>
      <c r="F585" s="95" t="s">
        <v>7617</v>
      </c>
      <c r="G585" s="95"/>
    </row>
    <row r="586" spans="1:7" ht="15.6" x14ac:dyDescent="0.25">
      <c r="A586" s="96" t="s">
        <v>1479</v>
      </c>
      <c r="B586" s="96" t="s">
        <v>1485</v>
      </c>
      <c r="C586" s="95">
        <v>1</v>
      </c>
      <c r="D586" s="95" t="s">
        <v>1483</v>
      </c>
      <c r="E586" s="95" t="s">
        <v>7609</v>
      </c>
      <c r="F586" s="95" t="s">
        <v>7617</v>
      </c>
      <c r="G586" s="95"/>
    </row>
    <row r="587" spans="1:7" ht="15.6" x14ac:dyDescent="0.25">
      <c r="A587" s="96" t="s">
        <v>1479</v>
      </c>
      <c r="B587" s="96" t="s">
        <v>1485</v>
      </c>
      <c r="C587" s="95" t="s">
        <v>7720</v>
      </c>
      <c r="D587" s="95" t="s">
        <v>7683</v>
      </c>
      <c r="E587" s="95" t="s">
        <v>663</v>
      </c>
      <c r="F587" s="95" t="s">
        <v>7617</v>
      </c>
      <c r="G587" s="95"/>
    </row>
    <row r="588" spans="1:7" ht="15.6" x14ac:dyDescent="0.25">
      <c r="A588" s="96" t="s">
        <v>1337</v>
      </c>
      <c r="B588" s="96" t="s">
        <v>1341</v>
      </c>
      <c r="C588" s="95">
        <v>1</v>
      </c>
      <c r="D588" s="95" t="s">
        <v>461</v>
      </c>
      <c r="E588" s="95" t="s">
        <v>1229</v>
      </c>
      <c r="F588" s="95" t="s">
        <v>7617</v>
      </c>
      <c r="G588" s="95"/>
    </row>
    <row r="589" spans="1:7" ht="15.6" x14ac:dyDescent="0.25">
      <c r="A589" s="81" t="s">
        <v>1194</v>
      </c>
      <c r="B589" s="81" t="s">
        <v>1198</v>
      </c>
      <c r="C589" s="95">
        <v>1</v>
      </c>
      <c r="D589" s="95" t="s">
        <v>1196</v>
      </c>
      <c r="E589" s="95" t="s">
        <v>7610</v>
      </c>
      <c r="F589" s="95" t="s">
        <v>7617</v>
      </c>
      <c r="G589" s="95"/>
    </row>
    <row r="590" spans="1:7" ht="15.6" x14ac:dyDescent="0.25">
      <c r="A590" s="81" t="s">
        <v>1194</v>
      </c>
      <c r="B590" s="81" t="s">
        <v>1198</v>
      </c>
      <c r="C590" s="95" t="s">
        <v>7720</v>
      </c>
      <c r="D590" s="95" t="s">
        <v>1203</v>
      </c>
      <c r="E590" s="95" t="s">
        <v>1204</v>
      </c>
      <c r="F590" s="95" t="s">
        <v>7617</v>
      </c>
      <c r="G590" s="95"/>
    </row>
    <row r="591" spans="1:7" ht="15.6" x14ac:dyDescent="0.25">
      <c r="A591" s="81" t="s">
        <v>994</v>
      </c>
      <c r="B591" s="81" t="s">
        <v>1002</v>
      </c>
      <c r="C591" s="95">
        <v>1</v>
      </c>
      <c r="D591" s="95" t="s">
        <v>998</v>
      </c>
      <c r="E591" s="95" t="s">
        <v>1009</v>
      </c>
      <c r="F591" s="95" t="s">
        <v>7617</v>
      </c>
      <c r="G591" s="95"/>
    </row>
    <row r="592" spans="1:7" ht="15.6" x14ac:dyDescent="0.25">
      <c r="A592" s="81" t="s">
        <v>607</v>
      </c>
      <c r="B592" s="81" t="s">
        <v>611</v>
      </c>
      <c r="C592" s="95">
        <v>1</v>
      </c>
      <c r="D592" s="95" t="s">
        <v>554</v>
      </c>
      <c r="E592" s="95" t="s">
        <v>561</v>
      </c>
      <c r="F592" s="95" t="s">
        <v>7617</v>
      </c>
      <c r="G592" s="95"/>
    </row>
    <row r="593" spans="1:7" ht="15.6" x14ac:dyDescent="0.25">
      <c r="A593" s="81" t="s">
        <v>2117</v>
      </c>
      <c r="B593" s="81" t="s">
        <v>2121</v>
      </c>
      <c r="C593" s="95">
        <v>1</v>
      </c>
      <c r="D593" s="95" t="s">
        <v>1680</v>
      </c>
      <c r="E593" s="95" t="s">
        <v>3014</v>
      </c>
      <c r="F593" s="95" t="s">
        <v>7617</v>
      </c>
      <c r="G593" s="95"/>
    </row>
    <row r="594" spans="1:7" ht="15.6" x14ac:dyDescent="0.25">
      <c r="A594" s="81" t="s">
        <v>2117</v>
      </c>
      <c r="B594" s="81" t="s">
        <v>2121</v>
      </c>
      <c r="C594" s="95" t="s">
        <v>7720</v>
      </c>
      <c r="D594" s="95" t="s">
        <v>1857</v>
      </c>
      <c r="E594" s="95" t="s">
        <v>1166</v>
      </c>
      <c r="F594" s="95" t="s">
        <v>7617</v>
      </c>
      <c r="G594" s="95"/>
    </row>
    <row r="595" spans="1:7" ht="15.6" x14ac:dyDescent="0.25">
      <c r="A595" s="81" t="s">
        <v>2447</v>
      </c>
      <c r="B595" s="81" t="s">
        <v>2452</v>
      </c>
      <c r="C595" s="95">
        <v>1</v>
      </c>
      <c r="D595" s="95" t="s">
        <v>62</v>
      </c>
      <c r="E595" s="95" t="s">
        <v>7561</v>
      </c>
      <c r="F595" s="95" t="s">
        <v>7617</v>
      </c>
      <c r="G595" s="95"/>
    </row>
    <row r="596" spans="1:7" ht="15.6" x14ac:dyDescent="0.25">
      <c r="A596" s="81" t="s">
        <v>2447</v>
      </c>
      <c r="B596" s="81" t="s">
        <v>2452</v>
      </c>
      <c r="C596" s="95" t="s">
        <v>7720</v>
      </c>
      <c r="D596" s="95" t="s">
        <v>7649</v>
      </c>
      <c r="E596" s="95" t="s">
        <v>7691</v>
      </c>
      <c r="F596" s="95" t="s">
        <v>7617</v>
      </c>
      <c r="G596" s="95"/>
    </row>
    <row r="597" spans="1:7" ht="15.6" x14ac:dyDescent="0.25">
      <c r="A597" s="81" t="s">
        <v>2447</v>
      </c>
      <c r="B597" s="81" t="s">
        <v>2452</v>
      </c>
      <c r="C597" s="95" t="s">
        <v>7750</v>
      </c>
      <c r="D597" s="95" t="s">
        <v>1621</v>
      </c>
      <c r="E597" s="95" t="s">
        <v>4000</v>
      </c>
      <c r="F597" s="95" t="s">
        <v>7617</v>
      </c>
      <c r="G597" s="95"/>
    </row>
    <row r="598" spans="1:7" ht="15.6" x14ac:dyDescent="0.25">
      <c r="A598" s="81" t="s">
        <v>1127</v>
      </c>
      <c r="B598" s="81" t="s">
        <v>1135</v>
      </c>
      <c r="C598" s="95">
        <v>1</v>
      </c>
      <c r="D598" s="95" t="s">
        <v>1106</v>
      </c>
      <c r="E598" s="95" t="s">
        <v>7583</v>
      </c>
      <c r="F598" s="95" t="s">
        <v>7617</v>
      </c>
      <c r="G598" s="95"/>
    </row>
    <row r="599" spans="1:7" ht="15.6" x14ac:dyDescent="0.25">
      <c r="A599" s="81" t="s">
        <v>1127</v>
      </c>
      <c r="B599" s="81" t="s">
        <v>1135</v>
      </c>
      <c r="C599" s="95" t="s">
        <v>7720</v>
      </c>
      <c r="D599" s="95" t="s">
        <v>1125</v>
      </c>
      <c r="E599" s="95" t="s">
        <v>1126</v>
      </c>
      <c r="F599" s="95" t="s">
        <v>7617</v>
      </c>
      <c r="G599" s="95"/>
    </row>
    <row r="600" spans="1:7" ht="15.6" x14ac:dyDescent="0.25">
      <c r="A600" s="81" t="s">
        <v>2734</v>
      </c>
      <c r="B600" s="81" t="s">
        <v>2738</v>
      </c>
      <c r="C600" s="95">
        <v>1</v>
      </c>
      <c r="D600" s="95" t="s">
        <v>2140</v>
      </c>
      <c r="E600" s="95" t="s">
        <v>59</v>
      </c>
      <c r="F600" s="95" t="s">
        <v>7617</v>
      </c>
      <c r="G600" s="95"/>
    </row>
    <row r="601" spans="1:7" ht="15.6" x14ac:dyDescent="0.25">
      <c r="A601" s="81" t="s">
        <v>2734</v>
      </c>
      <c r="B601" s="81" t="s">
        <v>2738</v>
      </c>
      <c r="C601" s="95" t="s">
        <v>7720</v>
      </c>
      <c r="D601" s="95" t="s">
        <v>62</v>
      </c>
      <c r="E601" s="95" t="s">
        <v>7716</v>
      </c>
      <c r="F601" s="95" t="s">
        <v>7617</v>
      </c>
      <c r="G601" s="95"/>
    </row>
    <row r="602" spans="1:7" ht="15.6" x14ac:dyDescent="0.25">
      <c r="A602" s="81" t="s">
        <v>2734</v>
      </c>
      <c r="B602" s="81" t="s">
        <v>2738</v>
      </c>
      <c r="C602" s="95" t="s">
        <v>7750</v>
      </c>
      <c r="D602" s="95" t="s">
        <v>1834</v>
      </c>
      <c r="E602" s="95" t="s">
        <v>7571</v>
      </c>
      <c r="F602" s="95" t="s">
        <v>7617</v>
      </c>
      <c r="G602" s="95"/>
    </row>
    <row r="603" spans="1:7" ht="15.6" x14ac:dyDescent="0.25">
      <c r="A603" s="81" t="s">
        <v>2734</v>
      </c>
      <c r="B603" s="81" t="s">
        <v>2738</v>
      </c>
      <c r="C603" s="95" t="s">
        <v>7751</v>
      </c>
      <c r="D603" s="95" t="s">
        <v>682</v>
      </c>
      <c r="E603" s="95" t="s">
        <v>4000</v>
      </c>
      <c r="F603" s="95" t="s">
        <v>7617</v>
      </c>
      <c r="G603" s="95"/>
    </row>
    <row r="604" spans="1:7" ht="15.6" x14ac:dyDescent="0.25">
      <c r="A604" s="81" t="s">
        <v>3482</v>
      </c>
      <c r="B604" s="81" t="s">
        <v>3485</v>
      </c>
      <c r="C604" s="95">
        <v>1</v>
      </c>
      <c r="D604" s="95" t="s">
        <v>3490</v>
      </c>
      <c r="E604" s="95" t="s">
        <v>4000</v>
      </c>
      <c r="F604" s="95" t="s">
        <v>7617</v>
      </c>
      <c r="G604" s="95"/>
    </row>
    <row r="605" spans="1:7" ht="15.6" x14ac:dyDescent="0.25">
      <c r="A605" s="81" t="s">
        <v>1919</v>
      </c>
      <c r="B605" s="81" t="s">
        <v>1922</v>
      </c>
      <c r="C605" s="95">
        <v>1</v>
      </c>
      <c r="D605" s="95" t="s">
        <v>1680</v>
      </c>
      <c r="E605" s="95" t="s">
        <v>3014</v>
      </c>
      <c r="F605" s="95" t="s">
        <v>7617</v>
      </c>
      <c r="G605" s="95"/>
    </row>
    <row r="606" spans="1:7" ht="15.6" x14ac:dyDescent="0.25">
      <c r="A606" s="81" t="s">
        <v>1919</v>
      </c>
      <c r="B606" s="81" t="s">
        <v>1922</v>
      </c>
      <c r="C606" s="95" t="s">
        <v>7720</v>
      </c>
      <c r="D606" s="95" t="s">
        <v>1857</v>
      </c>
      <c r="E606" s="95" t="s">
        <v>1166</v>
      </c>
      <c r="F606" s="95" t="s">
        <v>7617</v>
      </c>
      <c r="G606" s="95"/>
    </row>
    <row r="607" spans="1:7" ht="15.6" x14ac:dyDescent="0.25">
      <c r="A607" s="81" t="s">
        <v>432</v>
      </c>
      <c r="B607" s="81" t="s">
        <v>444</v>
      </c>
      <c r="C607" s="95">
        <v>1</v>
      </c>
      <c r="D607" s="95" t="s">
        <v>440</v>
      </c>
      <c r="E607" s="95" t="s">
        <v>453</v>
      </c>
      <c r="F607" s="95" t="s">
        <v>7617</v>
      </c>
      <c r="G607" s="95"/>
    </row>
    <row r="608" spans="1:7" ht="15.6" x14ac:dyDescent="0.25">
      <c r="A608" s="81" t="s">
        <v>1272</v>
      </c>
      <c r="B608" s="81" t="s">
        <v>1276</v>
      </c>
      <c r="C608" s="95">
        <v>1</v>
      </c>
      <c r="D608" s="95" t="s">
        <v>1274</v>
      </c>
      <c r="E608" s="95" t="s">
        <v>7536</v>
      </c>
      <c r="F608" s="95" t="s">
        <v>7617</v>
      </c>
      <c r="G608" s="95"/>
    </row>
    <row r="609" spans="1:7" ht="15.6" x14ac:dyDescent="0.25">
      <c r="A609" s="81" t="s">
        <v>1272</v>
      </c>
      <c r="B609" s="81" t="s">
        <v>1276</v>
      </c>
      <c r="C609" s="95" t="s">
        <v>7720</v>
      </c>
      <c r="D609" s="95" t="s">
        <v>879</v>
      </c>
      <c r="E609" s="95" t="s">
        <v>1281</v>
      </c>
      <c r="F609" s="95" t="s">
        <v>7617</v>
      </c>
      <c r="G609" s="95"/>
    </row>
    <row r="610" spans="1:7" ht="15.6" x14ac:dyDescent="0.25">
      <c r="A610" s="81" t="s">
        <v>1736</v>
      </c>
      <c r="B610" s="81" t="s">
        <v>1742</v>
      </c>
      <c r="C610" s="95">
        <v>1</v>
      </c>
      <c r="D610" s="95" t="s">
        <v>578</v>
      </c>
      <c r="E610" s="95" t="s">
        <v>663</v>
      </c>
      <c r="F610" s="95" t="s">
        <v>7617</v>
      </c>
      <c r="G610" s="95"/>
    </row>
    <row r="611" spans="1:7" ht="15.6" x14ac:dyDescent="0.25">
      <c r="A611" s="81" t="s">
        <v>3335</v>
      </c>
      <c r="B611" s="81" t="s">
        <v>3340</v>
      </c>
      <c r="C611" s="95">
        <v>1</v>
      </c>
      <c r="D611" s="95" t="s">
        <v>3345</v>
      </c>
      <c r="E611" s="95" t="s">
        <v>4000</v>
      </c>
      <c r="F611" s="95" t="s">
        <v>7617</v>
      </c>
      <c r="G611" s="95"/>
    </row>
    <row r="612" spans="1:7" ht="15.6" x14ac:dyDescent="0.25">
      <c r="A612" s="81" t="s">
        <v>2536</v>
      </c>
      <c r="B612" s="81" t="s">
        <v>2541</v>
      </c>
      <c r="C612" s="95">
        <v>1</v>
      </c>
      <c r="D612" s="95" t="s">
        <v>1680</v>
      </c>
      <c r="E612" s="95" t="s">
        <v>4000</v>
      </c>
      <c r="F612" s="95" t="s">
        <v>7617</v>
      </c>
      <c r="G612" s="95"/>
    </row>
    <row r="613" spans="1:7" ht="15.6" x14ac:dyDescent="0.25">
      <c r="A613" s="81" t="s">
        <v>2431</v>
      </c>
      <c r="B613" s="81" t="s">
        <v>2436</v>
      </c>
      <c r="C613" s="95">
        <v>1</v>
      </c>
      <c r="D613" s="95" t="s">
        <v>1680</v>
      </c>
      <c r="E613" s="95" t="s">
        <v>7528</v>
      </c>
      <c r="F613" s="95" t="s">
        <v>7617</v>
      </c>
      <c r="G613" s="95"/>
    </row>
    <row r="614" spans="1:7" ht="15.6" x14ac:dyDescent="0.25">
      <c r="A614" s="81" t="s">
        <v>2431</v>
      </c>
      <c r="B614" s="81" t="s">
        <v>2436</v>
      </c>
      <c r="C614" s="95" t="s">
        <v>7720</v>
      </c>
      <c r="D614" s="95" t="s">
        <v>1430</v>
      </c>
      <c r="E614" s="95" t="s">
        <v>1090</v>
      </c>
      <c r="F614" s="95" t="s">
        <v>7617</v>
      </c>
      <c r="G614" s="95"/>
    </row>
    <row r="615" spans="1:7" ht="15.6" x14ac:dyDescent="0.25">
      <c r="A615" s="81" t="s">
        <v>940</v>
      </c>
      <c r="B615" s="81" t="s">
        <v>943</v>
      </c>
      <c r="C615" s="95">
        <v>1</v>
      </c>
      <c r="D615" s="95" t="s">
        <v>578</v>
      </c>
      <c r="E615" s="95" t="s">
        <v>561</v>
      </c>
      <c r="F615" s="95" t="s">
        <v>7617</v>
      </c>
      <c r="G615" s="95"/>
    </row>
    <row r="616" spans="1:7" ht="15.6" x14ac:dyDescent="0.25">
      <c r="A616" s="81" t="s">
        <v>1545</v>
      </c>
      <c r="B616" s="81" t="s">
        <v>1551</v>
      </c>
      <c r="C616" s="95">
        <v>1</v>
      </c>
      <c r="D616" s="95" t="s">
        <v>1549</v>
      </c>
      <c r="E616" s="95" t="s">
        <v>7611</v>
      </c>
      <c r="F616" s="95" t="s">
        <v>7617</v>
      </c>
      <c r="G616" s="95"/>
    </row>
    <row r="617" spans="1:7" ht="15.6" x14ac:dyDescent="0.25">
      <c r="A617" s="81" t="s">
        <v>1545</v>
      </c>
      <c r="B617" s="81" t="s">
        <v>1551</v>
      </c>
      <c r="C617" s="95" t="s">
        <v>7720</v>
      </c>
      <c r="D617" s="95" t="s">
        <v>7684</v>
      </c>
      <c r="E617" s="95" t="s">
        <v>450</v>
      </c>
      <c r="F617" s="95" t="s">
        <v>7617</v>
      </c>
      <c r="G617" s="95"/>
    </row>
    <row r="618" spans="1:7" ht="15.6" x14ac:dyDescent="0.25">
      <c r="A618" s="81" t="s">
        <v>1545</v>
      </c>
      <c r="B618" s="81" t="s">
        <v>1551</v>
      </c>
      <c r="C618" s="95" t="s">
        <v>7750</v>
      </c>
      <c r="D618" s="95" t="s">
        <v>578</v>
      </c>
      <c r="E618" s="95" t="s">
        <v>4000</v>
      </c>
      <c r="F618" s="95" t="s">
        <v>7617</v>
      </c>
      <c r="G618" s="95"/>
    </row>
    <row r="619" spans="1:7" ht="15.6" x14ac:dyDescent="0.25">
      <c r="A619" s="81" t="s">
        <v>584</v>
      </c>
      <c r="B619" s="81" t="s">
        <v>587</v>
      </c>
      <c r="C619" s="95">
        <v>1</v>
      </c>
      <c r="D619" s="95" t="s">
        <v>461</v>
      </c>
      <c r="E619" s="95" t="s">
        <v>561</v>
      </c>
      <c r="F619" s="95" t="s">
        <v>7617</v>
      </c>
      <c r="G619" s="95"/>
    </row>
    <row r="620" spans="1:7" ht="15.6" x14ac:dyDescent="0.25">
      <c r="A620" s="81" t="s">
        <v>3035</v>
      </c>
      <c r="B620" s="81" t="s">
        <v>3041</v>
      </c>
      <c r="C620" s="95">
        <v>1</v>
      </c>
      <c r="D620" s="95" t="s">
        <v>3039</v>
      </c>
      <c r="E620" s="95" t="s">
        <v>7612</v>
      </c>
      <c r="F620" s="95" t="s">
        <v>7617</v>
      </c>
      <c r="G620" s="95"/>
    </row>
    <row r="621" spans="1:7" ht="15.6" x14ac:dyDescent="0.25">
      <c r="A621" s="81" t="s">
        <v>3035</v>
      </c>
      <c r="B621" s="81" t="s">
        <v>3041</v>
      </c>
      <c r="C621" s="95" t="s">
        <v>7720</v>
      </c>
      <c r="D621" s="95" t="s">
        <v>7685</v>
      </c>
      <c r="E621" s="95" t="s">
        <v>7717</v>
      </c>
      <c r="F621" s="95" t="s">
        <v>7617</v>
      </c>
      <c r="G621" s="95"/>
    </row>
    <row r="622" spans="1:7" ht="15.6" x14ac:dyDescent="0.25">
      <c r="A622" s="81" t="s">
        <v>3035</v>
      </c>
      <c r="B622" s="81" t="s">
        <v>3041</v>
      </c>
      <c r="C622" s="95" t="s">
        <v>7750</v>
      </c>
      <c r="D622" s="95" t="s">
        <v>7732</v>
      </c>
      <c r="E622" s="95" t="s">
        <v>7691</v>
      </c>
      <c r="F622" s="95" t="s">
        <v>7617</v>
      </c>
      <c r="G622" s="95"/>
    </row>
    <row r="623" spans="1:7" ht="15.6" x14ac:dyDescent="0.25">
      <c r="A623" s="81" t="s">
        <v>3035</v>
      </c>
      <c r="B623" s="81" t="s">
        <v>3041</v>
      </c>
      <c r="C623" s="95" t="s">
        <v>7751</v>
      </c>
      <c r="D623" s="95" t="s">
        <v>1621</v>
      </c>
      <c r="E623" s="95" t="s">
        <v>4000</v>
      </c>
      <c r="F623" s="95" t="s">
        <v>7617</v>
      </c>
      <c r="G623" s="95"/>
    </row>
    <row r="624" spans="1:7" ht="15.6" x14ac:dyDescent="0.25">
      <c r="A624" s="81" t="s">
        <v>2278</v>
      </c>
      <c r="B624" s="81" t="s">
        <v>2284</v>
      </c>
      <c r="C624" s="95">
        <v>1</v>
      </c>
      <c r="D624" s="95" t="s">
        <v>2282</v>
      </c>
      <c r="E624" s="95" t="s">
        <v>7571</v>
      </c>
      <c r="F624" s="95" t="s">
        <v>7617</v>
      </c>
      <c r="G624" s="95"/>
    </row>
    <row r="625" spans="1:7" ht="15.6" x14ac:dyDescent="0.25">
      <c r="A625" s="81" t="s">
        <v>2278</v>
      </c>
      <c r="B625" s="81" t="s">
        <v>2284</v>
      </c>
      <c r="C625" s="95" t="s">
        <v>7720</v>
      </c>
      <c r="D625" s="95" t="s">
        <v>682</v>
      </c>
      <c r="E625" s="95" t="s">
        <v>7707</v>
      </c>
      <c r="F625" s="95" t="s">
        <v>7617</v>
      </c>
      <c r="G625" s="95"/>
    </row>
    <row r="626" spans="1:7" ht="15.6" x14ac:dyDescent="0.25">
      <c r="A626" s="81" t="s">
        <v>2278</v>
      </c>
      <c r="B626" s="81" t="s">
        <v>2284</v>
      </c>
      <c r="C626" s="95" t="s">
        <v>7750</v>
      </c>
      <c r="D626" s="95" t="s">
        <v>1094</v>
      </c>
      <c r="E626" s="95" t="s">
        <v>4000</v>
      </c>
      <c r="F626" s="95" t="s">
        <v>7617</v>
      </c>
      <c r="G626" s="95"/>
    </row>
    <row r="627" spans="1:7" ht="15.6" x14ac:dyDescent="0.25">
      <c r="A627" s="81" t="s">
        <v>2669</v>
      </c>
      <c r="B627" s="81" t="s">
        <v>2674</v>
      </c>
      <c r="C627" s="95">
        <v>1</v>
      </c>
      <c r="D627" s="95" t="s">
        <v>1680</v>
      </c>
      <c r="E627" s="95" t="s">
        <v>4000</v>
      </c>
      <c r="F627" s="95" t="s">
        <v>7617</v>
      </c>
      <c r="G627" s="95"/>
    </row>
    <row r="628" spans="1:7" ht="15.6" x14ac:dyDescent="0.25">
      <c r="A628" s="81" t="s">
        <v>777</v>
      </c>
      <c r="B628" s="81" t="s">
        <v>784</v>
      </c>
      <c r="C628" s="95">
        <v>1</v>
      </c>
      <c r="D628" s="95" t="s">
        <v>780</v>
      </c>
      <c r="E628" s="95" t="s">
        <v>7613</v>
      </c>
      <c r="F628" s="95" t="s">
        <v>7617</v>
      </c>
      <c r="G628" s="95"/>
    </row>
    <row r="629" spans="1:7" ht="15.6" x14ac:dyDescent="0.25">
      <c r="A629" s="81" t="s">
        <v>777</v>
      </c>
      <c r="B629" s="81" t="s">
        <v>784</v>
      </c>
      <c r="C629" s="95" t="s">
        <v>7720</v>
      </c>
      <c r="D629" s="95" t="s">
        <v>791</v>
      </c>
      <c r="E629" s="95" t="s">
        <v>792</v>
      </c>
      <c r="F629" s="95" t="s">
        <v>7617</v>
      </c>
      <c r="G629" s="95"/>
    </row>
    <row r="630" spans="1:7" ht="15.6" x14ac:dyDescent="0.25">
      <c r="A630" s="81" t="s">
        <v>793</v>
      </c>
      <c r="B630" s="81" t="s">
        <v>800</v>
      </c>
      <c r="C630" s="95">
        <v>1</v>
      </c>
      <c r="D630" s="95" t="s">
        <v>795</v>
      </c>
      <c r="E630" s="95" t="s">
        <v>7614</v>
      </c>
      <c r="F630" s="95" t="s">
        <v>7617</v>
      </c>
      <c r="G630" s="95"/>
    </row>
    <row r="631" spans="1:7" ht="15.6" x14ac:dyDescent="0.25">
      <c r="A631" s="81" t="s">
        <v>793</v>
      </c>
      <c r="B631" s="81" t="s">
        <v>800</v>
      </c>
      <c r="C631" s="95" t="s">
        <v>7720</v>
      </c>
      <c r="D631" s="95" t="s">
        <v>805</v>
      </c>
      <c r="E631" s="95" t="s">
        <v>806</v>
      </c>
      <c r="F631" s="95" t="s">
        <v>7617</v>
      </c>
      <c r="G631" s="95"/>
    </row>
    <row r="632" spans="1:7" ht="15.6" x14ac:dyDescent="0.25">
      <c r="A632" s="81" t="s">
        <v>3326</v>
      </c>
      <c r="B632" s="81" t="s">
        <v>3331</v>
      </c>
      <c r="C632" s="95">
        <v>1</v>
      </c>
      <c r="D632" s="95" t="s">
        <v>3334</v>
      </c>
      <c r="E632" s="95" t="s">
        <v>7615</v>
      </c>
      <c r="F632" s="95" t="s">
        <v>7617</v>
      </c>
      <c r="G632" s="95"/>
    </row>
    <row r="633" spans="1:7" ht="15.6" x14ac:dyDescent="0.25">
      <c r="A633" s="96" t="s">
        <v>3326</v>
      </c>
      <c r="B633" s="96" t="s">
        <v>3331</v>
      </c>
      <c r="C633" s="95" t="s">
        <v>7720</v>
      </c>
      <c r="D633" s="95" t="s">
        <v>7686</v>
      </c>
      <c r="E633" s="95" t="s">
        <v>7718</v>
      </c>
      <c r="F633" s="95" t="s">
        <v>7617</v>
      </c>
      <c r="G633" s="95"/>
    </row>
    <row r="634" spans="1:7" ht="15.6" x14ac:dyDescent="0.25">
      <c r="A634" s="96" t="s">
        <v>3326</v>
      </c>
      <c r="B634" s="96" t="s">
        <v>3331</v>
      </c>
      <c r="C634" s="95" t="s">
        <v>7750</v>
      </c>
      <c r="D634" s="95" t="s">
        <v>7721</v>
      </c>
      <c r="E634" s="95" t="s">
        <v>4000</v>
      </c>
      <c r="F634" s="95" t="s">
        <v>7617</v>
      </c>
      <c r="G634" s="95"/>
    </row>
    <row r="635" spans="1:7" ht="15.6" x14ac:dyDescent="0.25">
      <c r="A635" s="81" t="s">
        <v>1323</v>
      </c>
      <c r="B635" s="81" t="s">
        <v>1330</v>
      </c>
      <c r="C635" s="95">
        <v>1</v>
      </c>
      <c r="D635" s="95" t="s">
        <v>1328</v>
      </c>
      <c r="E635" s="95" t="s">
        <v>7616</v>
      </c>
      <c r="F635" s="95" t="s">
        <v>7617</v>
      </c>
      <c r="G635" s="95"/>
    </row>
    <row r="636" spans="1:7" ht="15.6" x14ac:dyDescent="0.25">
      <c r="A636" s="81" t="s">
        <v>1323</v>
      </c>
      <c r="B636" s="81" t="s">
        <v>1330</v>
      </c>
      <c r="C636" s="95" t="s">
        <v>7720</v>
      </c>
      <c r="D636" s="95" t="s">
        <v>1336</v>
      </c>
      <c r="E636" s="95" t="s">
        <v>1229</v>
      </c>
      <c r="F636" s="95" t="s">
        <v>7617</v>
      </c>
      <c r="G636" s="95"/>
    </row>
    <row r="637" spans="1:7" ht="15.6" x14ac:dyDescent="0.25">
      <c r="A637" s="81" t="s">
        <v>2239</v>
      </c>
      <c r="B637" s="81" t="s">
        <v>2246</v>
      </c>
      <c r="C637" s="95">
        <v>1</v>
      </c>
      <c r="D637" s="95" t="s">
        <v>1680</v>
      </c>
      <c r="E637" s="95" t="s">
        <v>7528</v>
      </c>
      <c r="F637" s="95" t="s">
        <v>7617</v>
      </c>
      <c r="G637" s="95"/>
    </row>
    <row r="638" spans="1:7" ht="15.6" x14ac:dyDescent="0.25">
      <c r="A638" s="81" t="s">
        <v>2239</v>
      </c>
      <c r="B638" s="81" t="s">
        <v>2246</v>
      </c>
      <c r="C638" s="95" t="s">
        <v>7720</v>
      </c>
      <c r="D638" s="95" t="s">
        <v>1430</v>
      </c>
      <c r="E638" s="95" t="s">
        <v>1090</v>
      </c>
      <c r="F638" s="95" t="s">
        <v>7617</v>
      </c>
      <c r="G638" s="95"/>
    </row>
    <row r="639" spans="1:7" ht="15.6" x14ac:dyDescent="0.25">
      <c r="A639" s="81" t="s">
        <v>471</v>
      </c>
      <c r="B639" s="81" t="s">
        <v>481</v>
      </c>
      <c r="C639" s="95">
        <v>1</v>
      </c>
      <c r="D639" s="95" t="s">
        <v>460</v>
      </c>
      <c r="E639" s="95" t="s">
        <v>470</v>
      </c>
      <c r="F639" s="95" t="s">
        <v>7617</v>
      </c>
      <c r="G639" s="95"/>
    </row>
    <row r="640" spans="1:7" ht="15.6" x14ac:dyDescent="0.25">
      <c r="A640" s="81" t="s">
        <v>688</v>
      </c>
      <c r="B640" s="81" t="s">
        <v>699</v>
      </c>
      <c r="C640" s="95">
        <v>1</v>
      </c>
      <c r="D640" s="95" t="s">
        <v>694</v>
      </c>
      <c r="E640" s="95" t="s">
        <v>704</v>
      </c>
      <c r="F640" s="95" t="s">
        <v>7617</v>
      </c>
      <c r="G640" s="95"/>
    </row>
    <row r="641" spans="1:7" ht="15.6" x14ac:dyDescent="0.25">
      <c r="A641" s="81" t="s">
        <v>688</v>
      </c>
      <c r="B641" s="81" t="s">
        <v>699</v>
      </c>
      <c r="C641" s="95" t="s">
        <v>7720</v>
      </c>
      <c r="D641" s="95" t="s">
        <v>7687</v>
      </c>
      <c r="E641" s="95" t="s">
        <v>1311</v>
      </c>
      <c r="F641" s="95" t="s">
        <v>7617</v>
      </c>
      <c r="G641" s="95"/>
    </row>
    <row r="642" spans="1:7" ht="15.6" x14ac:dyDescent="0.25">
      <c r="A642" s="81" t="s">
        <v>2756</v>
      </c>
      <c r="B642" s="81" t="s">
        <v>2763</v>
      </c>
      <c r="C642" s="95">
        <v>1</v>
      </c>
      <c r="D642" s="95" t="s">
        <v>1680</v>
      </c>
      <c r="E642" s="95" t="s">
        <v>4000</v>
      </c>
      <c r="F642" s="95" t="s">
        <v>7617</v>
      </c>
      <c r="G642" s="95" t="s">
        <v>10016</v>
      </c>
    </row>
    <row r="643" spans="1:7" ht="15.6" x14ac:dyDescent="0.25">
      <c r="A643" s="81" t="s">
        <v>738</v>
      </c>
      <c r="B643" s="81" t="s">
        <v>750</v>
      </c>
      <c r="C643" s="95">
        <v>1</v>
      </c>
      <c r="D643" s="95" t="s">
        <v>746</v>
      </c>
      <c r="E643" s="95" t="s">
        <v>759</v>
      </c>
      <c r="F643" s="95" t="s">
        <v>7617</v>
      </c>
      <c r="G643" s="95"/>
    </row>
    <row r="644" spans="1:7" ht="15.6" x14ac:dyDescent="0.25">
      <c r="A644" s="81" t="s">
        <v>738</v>
      </c>
      <c r="B644" s="81" t="s">
        <v>750</v>
      </c>
      <c r="C644" s="95" t="s">
        <v>7720</v>
      </c>
      <c r="D644" s="95" t="s">
        <v>7122</v>
      </c>
      <c r="E644" s="95" t="s">
        <v>7703</v>
      </c>
      <c r="F644" s="95" t="s">
        <v>7617</v>
      </c>
      <c r="G644" s="95"/>
    </row>
    <row r="645" spans="1:7" ht="15.6" x14ac:dyDescent="0.25">
      <c r="A645" s="81" t="s">
        <v>2312</v>
      </c>
      <c r="B645" s="81" t="s">
        <v>2318</v>
      </c>
      <c r="C645" s="95">
        <v>1</v>
      </c>
      <c r="D645" s="95" t="s">
        <v>578</v>
      </c>
      <c r="E645" s="95" t="s">
        <v>7620</v>
      </c>
      <c r="F645" s="95" t="s">
        <v>7617</v>
      </c>
      <c r="G645" s="95"/>
    </row>
    <row r="646" spans="1:7" ht="15.6" x14ac:dyDescent="0.25">
      <c r="A646" s="81" t="s">
        <v>2162</v>
      </c>
      <c r="B646" s="81" t="s">
        <v>2167</v>
      </c>
      <c r="C646" s="95">
        <v>1</v>
      </c>
      <c r="D646" s="95" t="s">
        <v>7526</v>
      </c>
      <c r="E646" s="95" t="s">
        <v>7261</v>
      </c>
      <c r="F646" s="95" t="s">
        <v>7617</v>
      </c>
      <c r="G646" s="95"/>
    </row>
    <row r="647" spans="1:7" ht="15.6" x14ac:dyDescent="0.25">
      <c r="A647" s="81" t="s">
        <v>2162</v>
      </c>
      <c r="B647" s="81" t="s">
        <v>2167</v>
      </c>
      <c r="C647" s="95" t="s">
        <v>7720</v>
      </c>
      <c r="D647" s="95" t="s">
        <v>2169</v>
      </c>
      <c r="E647" s="95" t="s">
        <v>894</v>
      </c>
      <c r="F647" s="95" t="s">
        <v>7617</v>
      </c>
      <c r="G647" s="95"/>
    </row>
    <row r="648" spans="1:7" ht="15.6" x14ac:dyDescent="0.25">
      <c r="A648" s="81" t="s">
        <v>3503</v>
      </c>
      <c r="B648" s="81" t="s">
        <v>3509</v>
      </c>
      <c r="C648" s="95">
        <v>1</v>
      </c>
      <c r="D648" s="95" t="s">
        <v>1680</v>
      </c>
      <c r="E648" s="95" t="s">
        <v>4000</v>
      </c>
      <c r="F648" s="95" t="s">
        <v>7617</v>
      </c>
      <c r="G648" s="95"/>
    </row>
  </sheetData>
  <sortState xmlns:xlrd2="http://schemas.microsoft.com/office/spreadsheetml/2017/richdata2" ref="A4:G648">
    <sortCondition ref="B4:B648"/>
    <sortCondition ref="C4:C648"/>
  </sortState>
  <mergeCells count="2">
    <mergeCell ref="A2:G2"/>
    <mergeCell ref="A1:G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654"/>
  <sheetViews>
    <sheetView workbookViewId="0">
      <pane ySplit="3" topLeftCell="A4" activePane="bottomLeft" state="frozen"/>
      <selection pane="bottomLeft" activeCell="A238" sqref="A238:XFD239"/>
    </sheetView>
  </sheetViews>
  <sheetFormatPr defaultRowHeight="14.4" x14ac:dyDescent="0.25"/>
  <cols>
    <col min="1" max="1" width="22.44140625" style="5" bestFit="1" customWidth="1"/>
    <col min="2" max="2" width="21.109375" style="5" bestFit="1" customWidth="1"/>
    <col min="3" max="3" width="13.88671875" style="5" bestFit="1" customWidth="1"/>
    <col min="4" max="4" width="25.5546875" style="5" bestFit="1" customWidth="1"/>
    <col min="5" max="5" width="20.5546875" style="5" bestFit="1" customWidth="1"/>
    <col min="6" max="6" width="25.44140625" style="5" bestFit="1" customWidth="1"/>
    <col min="7" max="7" width="22.109375" style="5" bestFit="1" customWidth="1"/>
    <col min="8" max="8" width="27.6640625" style="5" customWidth="1"/>
    <col min="9" max="9" width="30.88671875" style="5" customWidth="1"/>
    <col min="10" max="10" width="16.5546875" style="5" bestFit="1" customWidth="1"/>
  </cols>
  <sheetData>
    <row r="1" spans="1:10" ht="28.05" customHeight="1" x14ac:dyDescent="0.25">
      <c r="A1" s="92" t="s">
        <v>111</v>
      </c>
      <c r="B1" s="93"/>
      <c r="C1" s="93"/>
      <c r="D1" s="93"/>
      <c r="E1" s="93"/>
      <c r="F1" s="93"/>
      <c r="G1" s="93"/>
      <c r="H1" s="93"/>
      <c r="I1" s="93"/>
      <c r="J1" s="93"/>
    </row>
    <row r="2" spans="1:10" ht="18" customHeight="1" x14ac:dyDescent="0.25">
      <c r="A2" s="94" t="s">
        <v>112</v>
      </c>
      <c r="B2" s="93"/>
      <c r="C2" s="93"/>
      <c r="D2" s="93"/>
      <c r="E2" s="93"/>
      <c r="F2" s="93"/>
      <c r="G2" s="93"/>
      <c r="H2" s="93"/>
      <c r="I2" s="93"/>
      <c r="J2" s="93"/>
    </row>
    <row r="3" spans="1:10" ht="22.05" customHeight="1" x14ac:dyDescent="0.25">
      <c r="A3" s="83" t="s">
        <v>37</v>
      </c>
      <c r="B3" s="6" t="s">
        <v>3</v>
      </c>
      <c r="C3" s="6" t="s">
        <v>113</v>
      </c>
      <c r="D3" s="6" t="s">
        <v>114</v>
      </c>
      <c r="E3" s="4" t="s">
        <v>5</v>
      </c>
      <c r="F3" s="4" t="s">
        <v>7</v>
      </c>
      <c r="G3" s="4" t="s">
        <v>115</v>
      </c>
      <c r="H3" s="4" t="s">
        <v>116</v>
      </c>
      <c r="I3" s="4" t="s">
        <v>117</v>
      </c>
      <c r="J3" s="4" t="s">
        <v>20</v>
      </c>
    </row>
    <row r="4" spans="1:10" ht="15.6" x14ac:dyDescent="0.25">
      <c r="A4" s="8" t="s">
        <v>2926</v>
      </c>
      <c r="B4" s="5" t="s">
        <v>2930</v>
      </c>
      <c r="C4" s="82" t="s">
        <v>9383</v>
      </c>
      <c r="D4" s="82" t="s">
        <v>2934</v>
      </c>
      <c r="E4" s="85"/>
      <c r="H4" s="84"/>
      <c r="I4" s="84"/>
      <c r="J4" s="82" t="s">
        <v>2935</v>
      </c>
    </row>
    <row r="5" spans="1:10" ht="15.6" x14ac:dyDescent="0.25">
      <c r="A5" s="8" t="s">
        <v>1801</v>
      </c>
      <c r="B5" s="5" t="s">
        <v>1805</v>
      </c>
      <c r="C5" s="82" t="s">
        <v>9383</v>
      </c>
      <c r="D5" s="82" t="s">
        <v>9468</v>
      </c>
      <c r="E5" s="85"/>
      <c r="H5" s="82"/>
      <c r="I5" s="82" t="s">
        <v>9270</v>
      </c>
      <c r="J5" s="84"/>
    </row>
    <row r="6" spans="1:10" ht="15.6" x14ac:dyDescent="0.25">
      <c r="A6" s="8" t="s">
        <v>1801</v>
      </c>
      <c r="B6" s="5" t="s">
        <v>1805</v>
      </c>
      <c r="C6" s="82" t="s">
        <v>9604</v>
      </c>
      <c r="D6" s="82" t="s">
        <v>9777</v>
      </c>
      <c r="E6" s="85"/>
      <c r="H6" s="82"/>
      <c r="I6" s="82" t="s">
        <v>9270</v>
      </c>
      <c r="J6" s="84"/>
    </row>
    <row r="7" spans="1:10" ht="15.6" x14ac:dyDescent="0.25">
      <c r="A7" s="8" t="s">
        <v>2880</v>
      </c>
      <c r="B7" s="5" t="s">
        <v>2885</v>
      </c>
      <c r="C7" s="82" t="s">
        <v>10002</v>
      </c>
      <c r="D7" s="82" t="s">
        <v>2887</v>
      </c>
      <c r="E7" s="8"/>
      <c r="H7" s="84"/>
      <c r="I7" s="84"/>
      <c r="J7" s="82" t="s">
        <v>2888</v>
      </c>
    </row>
    <row r="8" spans="1:10" ht="15.6" x14ac:dyDescent="0.25">
      <c r="A8" s="8" t="s">
        <v>2880</v>
      </c>
      <c r="B8" s="5" t="s">
        <v>2885</v>
      </c>
      <c r="C8" s="82" t="s">
        <v>9383</v>
      </c>
      <c r="D8" s="82" t="s">
        <v>9533</v>
      </c>
      <c r="E8" s="85"/>
      <c r="H8" s="84"/>
      <c r="I8" s="84"/>
      <c r="J8" s="84"/>
    </row>
    <row r="9" spans="1:10" ht="15.6" x14ac:dyDescent="0.25">
      <c r="A9" s="8" t="s">
        <v>2880</v>
      </c>
      <c r="B9" s="5" t="s">
        <v>2885</v>
      </c>
      <c r="C9" s="82" t="s">
        <v>9604</v>
      </c>
      <c r="D9" s="82" t="s">
        <v>9684</v>
      </c>
      <c r="E9" s="85"/>
      <c r="H9" s="84"/>
      <c r="I9" s="84"/>
      <c r="J9" s="84"/>
    </row>
    <row r="10" spans="1:10" ht="15.6" x14ac:dyDescent="0.25">
      <c r="A10" s="8" t="s">
        <v>3064</v>
      </c>
      <c r="B10" s="5" t="s">
        <v>3068</v>
      </c>
      <c r="C10" s="82" t="s">
        <v>10002</v>
      </c>
      <c r="D10" s="82" t="s">
        <v>3071</v>
      </c>
      <c r="E10" s="85"/>
      <c r="H10" s="82" t="s">
        <v>9314</v>
      </c>
      <c r="J10" s="82" t="s">
        <v>3072</v>
      </c>
    </row>
    <row r="11" spans="1:10" ht="15.6" x14ac:dyDescent="0.25">
      <c r="A11" s="8" t="s">
        <v>3064</v>
      </c>
      <c r="B11" s="5" t="s">
        <v>3068</v>
      </c>
      <c r="C11" s="82" t="s">
        <v>9383</v>
      </c>
      <c r="D11" s="82" t="s">
        <v>9433</v>
      </c>
      <c r="E11" s="85"/>
      <c r="H11" s="84"/>
      <c r="I11" s="82" t="s">
        <v>9270</v>
      </c>
      <c r="J11" s="84"/>
    </row>
    <row r="12" spans="1:10" ht="15.6" x14ac:dyDescent="0.25">
      <c r="A12" s="8" t="s">
        <v>3064</v>
      </c>
      <c r="B12" s="5" t="s">
        <v>3068</v>
      </c>
      <c r="C12" s="82" t="s">
        <v>9604</v>
      </c>
      <c r="D12" s="82" t="s">
        <v>9815</v>
      </c>
      <c r="E12" s="85"/>
      <c r="H12" s="84"/>
      <c r="I12" s="82" t="s">
        <v>9270</v>
      </c>
      <c r="J12" s="84"/>
    </row>
    <row r="13" spans="1:10" ht="15.6" x14ac:dyDescent="0.25">
      <c r="A13" s="8" t="s">
        <v>1439</v>
      </c>
      <c r="B13" s="5" t="s">
        <v>1447</v>
      </c>
      <c r="C13" s="82" t="s">
        <v>10002</v>
      </c>
      <c r="D13" s="82" t="s">
        <v>1452</v>
      </c>
      <c r="E13" s="8"/>
      <c r="H13" s="82" t="s">
        <v>9304</v>
      </c>
      <c r="I13" s="84"/>
      <c r="J13" s="82" t="s">
        <v>1453</v>
      </c>
    </row>
    <row r="14" spans="1:10" ht="15.6" x14ac:dyDescent="0.25">
      <c r="A14" s="8" t="s">
        <v>1010</v>
      </c>
      <c r="B14" s="5" t="s">
        <v>1018</v>
      </c>
      <c r="C14" s="82" t="s">
        <v>9383</v>
      </c>
      <c r="D14" s="82" t="s">
        <v>7085</v>
      </c>
      <c r="E14" s="85"/>
      <c r="H14" s="82" t="s">
        <v>9564</v>
      </c>
      <c r="I14" s="82" t="s">
        <v>9565</v>
      </c>
      <c r="J14" s="82" t="s">
        <v>9566</v>
      </c>
    </row>
    <row r="15" spans="1:10" ht="15.6" x14ac:dyDescent="0.25">
      <c r="A15" s="8" t="s">
        <v>1010</v>
      </c>
      <c r="B15" s="5" t="s">
        <v>1018</v>
      </c>
      <c r="C15" s="82" t="s">
        <v>9604</v>
      </c>
      <c r="D15" s="82" t="s">
        <v>9655</v>
      </c>
      <c r="E15" s="85"/>
      <c r="H15" s="84"/>
      <c r="I15" s="82"/>
      <c r="J15" s="82" t="s">
        <v>9656</v>
      </c>
    </row>
    <row r="16" spans="1:10" ht="15.6" x14ac:dyDescent="0.25">
      <c r="A16" s="8" t="s">
        <v>3137</v>
      </c>
      <c r="B16" s="5" t="s">
        <v>3141</v>
      </c>
      <c r="C16" s="82" t="s">
        <v>10002</v>
      </c>
      <c r="D16" s="82" t="s">
        <v>3143</v>
      </c>
      <c r="E16" s="8"/>
      <c r="H16" s="82" t="s">
        <v>9282</v>
      </c>
      <c r="I16" s="82" t="s">
        <v>9281</v>
      </c>
      <c r="J16" s="82" t="s">
        <v>3144</v>
      </c>
    </row>
    <row r="17" spans="1:10" ht="15.6" x14ac:dyDescent="0.25">
      <c r="A17" s="8" t="s">
        <v>3137</v>
      </c>
      <c r="B17" s="5" t="s">
        <v>3141</v>
      </c>
      <c r="C17" s="82" t="s">
        <v>9604</v>
      </c>
      <c r="D17" s="82" t="s">
        <v>9667</v>
      </c>
      <c r="E17" s="85"/>
      <c r="H17" s="82" t="s">
        <v>9668</v>
      </c>
      <c r="I17" s="82" t="s">
        <v>9312</v>
      </c>
      <c r="J17" s="84"/>
    </row>
    <row r="18" spans="1:10" ht="15.6" x14ac:dyDescent="0.25">
      <c r="A18" s="8" t="s">
        <v>2416</v>
      </c>
      <c r="B18" s="5" t="s">
        <v>2420</v>
      </c>
      <c r="C18" s="82" t="s">
        <v>9383</v>
      </c>
      <c r="D18" s="82" t="s">
        <v>2422</v>
      </c>
      <c r="E18" s="85"/>
      <c r="H18" s="84"/>
      <c r="I18" s="84"/>
      <c r="J18" s="82" t="s">
        <v>2423</v>
      </c>
    </row>
    <row r="19" spans="1:10" ht="15.6" x14ac:dyDescent="0.25">
      <c r="A19" s="8" t="s">
        <v>2416</v>
      </c>
      <c r="B19" s="5" t="s">
        <v>2420</v>
      </c>
      <c r="C19" s="82" t="s">
        <v>9604</v>
      </c>
      <c r="D19" s="82" t="s">
        <v>9679</v>
      </c>
      <c r="E19" s="85"/>
      <c r="H19" s="84"/>
      <c r="I19" s="84"/>
      <c r="J19" s="84"/>
    </row>
    <row r="20" spans="1:10" ht="15.6" x14ac:dyDescent="0.25">
      <c r="A20" s="8" t="s">
        <v>2684</v>
      </c>
      <c r="B20" s="5" t="s">
        <v>2688</v>
      </c>
      <c r="C20" s="82" t="s">
        <v>9383</v>
      </c>
      <c r="D20" s="82" t="s">
        <v>2690</v>
      </c>
      <c r="E20" s="85"/>
      <c r="H20" s="84"/>
      <c r="I20" s="84"/>
      <c r="J20" s="82" t="s">
        <v>2691</v>
      </c>
    </row>
    <row r="21" spans="1:10" ht="15.6" x14ac:dyDescent="0.25">
      <c r="A21" s="8" t="s">
        <v>2684</v>
      </c>
      <c r="B21" s="5" t="s">
        <v>2688</v>
      </c>
      <c r="C21" s="82" t="s">
        <v>9604</v>
      </c>
      <c r="D21" s="82" t="s">
        <v>9882</v>
      </c>
      <c r="E21" s="85"/>
      <c r="H21" s="84"/>
      <c r="I21" s="84"/>
      <c r="J21" s="82" t="s">
        <v>9883</v>
      </c>
    </row>
    <row r="22" spans="1:10" ht="15.6" x14ac:dyDescent="0.25">
      <c r="A22" s="8" t="s">
        <v>1910</v>
      </c>
      <c r="B22" s="5" t="s">
        <v>1914</v>
      </c>
      <c r="C22" s="82" t="s">
        <v>10003</v>
      </c>
      <c r="D22" s="82" t="s">
        <v>9264</v>
      </c>
      <c r="E22" s="8"/>
      <c r="H22" s="82" t="s">
        <v>9265</v>
      </c>
      <c r="I22" s="82" t="s">
        <v>9266</v>
      </c>
      <c r="J22" s="84"/>
    </row>
    <row r="23" spans="1:10" ht="15.6" x14ac:dyDescent="0.25">
      <c r="A23" s="8" t="s">
        <v>913</v>
      </c>
      <c r="B23" s="5" t="s">
        <v>919</v>
      </c>
      <c r="C23" s="82" t="s">
        <v>9383</v>
      </c>
      <c r="D23" s="82" t="s">
        <v>921</v>
      </c>
      <c r="E23" s="85"/>
      <c r="H23" s="84"/>
      <c r="I23" s="84"/>
      <c r="J23" s="82" t="s">
        <v>922</v>
      </c>
    </row>
    <row r="24" spans="1:10" ht="15.6" x14ac:dyDescent="0.25">
      <c r="A24" s="8" t="s">
        <v>913</v>
      </c>
      <c r="B24" s="5" t="s">
        <v>919</v>
      </c>
      <c r="C24" s="82" t="s">
        <v>9604</v>
      </c>
      <c r="D24" s="82" t="s">
        <v>9615</v>
      </c>
      <c r="E24" s="85"/>
      <c r="H24" s="84"/>
      <c r="I24" s="84"/>
      <c r="J24" s="82" t="s">
        <v>9616</v>
      </c>
    </row>
    <row r="25" spans="1:10" ht="15.6" x14ac:dyDescent="0.25">
      <c r="A25" s="8" t="s">
        <v>1427</v>
      </c>
      <c r="B25" s="5" t="s">
        <v>1432</v>
      </c>
      <c r="C25" s="82" t="s">
        <v>9383</v>
      </c>
      <c r="D25" s="82" t="s">
        <v>1436</v>
      </c>
      <c r="E25" s="85"/>
      <c r="H25" s="84"/>
      <c r="I25" s="82" t="s">
        <v>9270</v>
      </c>
      <c r="J25" s="82" t="s">
        <v>1437</v>
      </c>
    </row>
    <row r="26" spans="1:10" ht="15.6" x14ac:dyDescent="0.25">
      <c r="A26" s="8" t="s">
        <v>1427</v>
      </c>
      <c r="B26" s="5" t="s">
        <v>1432</v>
      </c>
      <c r="C26" s="82" t="s">
        <v>9604</v>
      </c>
      <c r="D26" s="82" t="s">
        <v>9759</v>
      </c>
      <c r="E26" s="85"/>
      <c r="H26" s="84"/>
      <c r="I26" s="82" t="s">
        <v>9270</v>
      </c>
      <c r="J26" s="82" t="s">
        <v>9760</v>
      </c>
    </row>
    <row r="27" spans="1:10" ht="15.6" x14ac:dyDescent="0.25">
      <c r="A27" s="8" t="s">
        <v>1127</v>
      </c>
      <c r="B27" s="5" t="s">
        <v>1135</v>
      </c>
      <c r="C27" s="82" t="s">
        <v>9383</v>
      </c>
      <c r="D27" s="82" t="s">
        <v>1140</v>
      </c>
      <c r="E27" s="85"/>
      <c r="H27" s="84"/>
      <c r="I27" s="82" t="s">
        <v>9270</v>
      </c>
      <c r="J27" s="82" t="s">
        <v>1141</v>
      </c>
    </row>
    <row r="28" spans="1:10" ht="15.6" x14ac:dyDescent="0.25">
      <c r="A28" s="8" t="s">
        <v>1127</v>
      </c>
      <c r="B28" s="5" t="s">
        <v>1135</v>
      </c>
      <c r="C28" s="82" t="s">
        <v>9604</v>
      </c>
      <c r="D28" s="82" t="s">
        <v>9665</v>
      </c>
      <c r="E28" s="85"/>
      <c r="H28" s="84"/>
      <c r="I28" s="82" t="s">
        <v>9270</v>
      </c>
      <c r="J28" s="82" t="s">
        <v>9666</v>
      </c>
    </row>
    <row r="29" spans="1:10" ht="15.6" x14ac:dyDescent="0.25">
      <c r="A29" s="8" t="s">
        <v>3370</v>
      </c>
      <c r="B29" s="5" t="s">
        <v>3374</v>
      </c>
      <c r="C29" s="82" t="s">
        <v>9383</v>
      </c>
      <c r="D29" s="82" t="s">
        <v>3378</v>
      </c>
      <c r="E29" s="85"/>
      <c r="H29" s="84"/>
      <c r="I29" s="84"/>
      <c r="J29" s="82" t="s">
        <v>3379</v>
      </c>
    </row>
    <row r="30" spans="1:10" ht="15.6" x14ac:dyDescent="0.25">
      <c r="A30" s="8" t="s">
        <v>3370</v>
      </c>
      <c r="B30" s="5" t="s">
        <v>3374</v>
      </c>
      <c r="C30" s="82" t="s">
        <v>9604</v>
      </c>
      <c r="D30" s="82" t="s">
        <v>9869</v>
      </c>
      <c r="E30" s="85"/>
      <c r="H30" s="84"/>
      <c r="I30" s="84"/>
      <c r="J30" s="84"/>
    </row>
    <row r="31" spans="1:10" ht="15.6" x14ac:dyDescent="0.25">
      <c r="A31" s="8" t="s">
        <v>2564</v>
      </c>
      <c r="B31" s="5" t="s">
        <v>2567</v>
      </c>
      <c r="C31" s="82" t="s">
        <v>10003</v>
      </c>
      <c r="D31" s="82" t="s">
        <v>2569</v>
      </c>
      <c r="E31" s="8"/>
      <c r="H31" s="82" t="s">
        <v>9271</v>
      </c>
      <c r="I31" s="84"/>
      <c r="J31" s="82" t="s">
        <v>2570</v>
      </c>
    </row>
    <row r="32" spans="1:10" ht="15.6" x14ac:dyDescent="0.25">
      <c r="A32" s="8" t="s">
        <v>946</v>
      </c>
      <c r="B32" s="5" t="s">
        <v>950</v>
      </c>
      <c r="C32" s="82" t="s">
        <v>9383</v>
      </c>
      <c r="D32" s="82" t="s">
        <v>9553</v>
      </c>
      <c r="E32" s="85"/>
      <c r="H32" s="84"/>
      <c r="I32" s="82" t="s">
        <v>9270</v>
      </c>
      <c r="J32" s="82" t="s">
        <v>9554</v>
      </c>
    </row>
    <row r="33" spans="1:10" ht="15.6" x14ac:dyDescent="0.25">
      <c r="A33" s="8" t="s">
        <v>3595</v>
      </c>
      <c r="B33" s="5" t="s">
        <v>3601</v>
      </c>
      <c r="C33" s="82" t="s">
        <v>10002</v>
      </c>
      <c r="D33" s="82" t="s">
        <v>3604</v>
      </c>
      <c r="E33" s="85"/>
      <c r="H33" s="82" t="s">
        <v>9308</v>
      </c>
      <c r="I33" s="84"/>
      <c r="J33" s="82" t="s">
        <v>3605</v>
      </c>
    </row>
    <row r="34" spans="1:10" ht="15.6" x14ac:dyDescent="0.25">
      <c r="A34" s="8" t="s">
        <v>3595</v>
      </c>
      <c r="B34" s="5" t="s">
        <v>3601</v>
      </c>
      <c r="C34" s="82" t="s">
        <v>9359</v>
      </c>
      <c r="D34" s="82" t="s">
        <v>9369</v>
      </c>
      <c r="E34" s="85"/>
      <c r="H34" s="82"/>
      <c r="I34" s="84"/>
      <c r="J34" s="84"/>
    </row>
    <row r="35" spans="1:10" ht="15.6" x14ac:dyDescent="0.25">
      <c r="A35" s="8" t="s">
        <v>3110</v>
      </c>
      <c r="B35" s="5" t="s">
        <v>3114</v>
      </c>
      <c r="C35" s="82" t="s">
        <v>9383</v>
      </c>
      <c r="D35" s="82" t="s">
        <v>3117</v>
      </c>
      <c r="E35" s="85"/>
      <c r="H35" s="84"/>
      <c r="I35" s="82" t="s">
        <v>9270</v>
      </c>
      <c r="J35" s="82" t="s">
        <v>3118</v>
      </c>
    </row>
    <row r="36" spans="1:10" ht="15.6" x14ac:dyDescent="0.25">
      <c r="A36" s="8" t="s">
        <v>3110</v>
      </c>
      <c r="B36" s="5" t="s">
        <v>3114</v>
      </c>
      <c r="C36" s="82" t="s">
        <v>9604</v>
      </c>
      <c r="D36" s="82" t="s">
        <v>1534</v>
      </c>
      <c r="E36" s="85"/>
      <c r="H36" s="84"/>
      <c r="I36" s="82" t="s">
        <v>9270</v>
      </c>
      <c r="J36" s="82" t="s">
        <v>9839</v>
      </c>
    </row>
    <row r="37" spans="1:10" ht="15.6" x14ac:dyDescent="0.25">
      <c r="A37" s="8" t="s">
        <v>3110</v>
      </c>
      <c r="B37" s="5" t="s">
        <v>3114</v>
      </c>
      <c r="C37" s="82" t="s">
        <v>9978</v>
      </c>
      <c r="D37" s="82" t="s">
        <v>9986</v>
      </c>
      <c r="E37" s="85"/>
      <c r="H37" s="84"/>
      <c r="I37" s="84"/>
      <c r="J37" s="84"/>
    </row>
    <row r="38" spans="1:10" ht="15.6" x14ac:dyDescent="0.25">
      <c r="A38" s="8" t="s">
        <v>3413</v>
      </c>
      <c r="B38" s="5" t="s">
        <v>3417</v>
      </c>
      <c r="C38" s="82" t="s">
        <v>10002</v>
      </c>
      <c r="D38" s="82" t="s">
        <v>9330</v>
      </c>
      <c r="E38" s="85"/>
      <c r="H38" s="84"/>
      <c r="I38" s="84"/>
      <c r="J38" s="84"/>
    </row>
    <row r="39" spans="1:10" ht="15.6" x14ac:dyDescent="0.25">
      <c r="A39" s="8" t="s">
        <v>3413</v>
      </c>
      <c r="B39" s="5" t="s">
        <v>3417</v>
      </c>
      <c r="C39" s="82" t="s">
        <v>9383</v>
      </c>
      <c r="D39" s="82" t="s">
        <v>9388</v>
      </c>
      <c r="E39" s="85"/>
      <c r="H39" s="84"/>
      <c r="I39" s="84"/>
      <c r="J39" s="84"/>
    </row>
    <row r="40" spans="1:10" ht="15.6" x14ac:dyDescent="0.25">
      <c r="A40" s="8" t="s">
        <v>3413</v>
      </c>
      <c r="B40" s="5" t="s">
        <v>3417</v>
      </c>
      <c r="C40" s="82" t="s">
        <v>9604</v>
      </c>
      <c r="D40" s="82" t="s">
        <v>3421</v>
      </c>
      <c r="E40" s="85"/>
      <c r="H40" s="84"/>
      <c r="I40" s="84"/>
      <c r="J40" s="82" t="s">
        <v>3422</v>
      </c>
    </row>
    <row r="41" spans="1:10" ht="15.6" x14ac:dyDescent="0.25">
      <c r="A41" s="8" t="s">
        <v>2458</v>
      </c>
      <c r="B41" s="5" t="s">
        <v>2462</v>
      </c>
      <c r="C41" s="82" t="s">
        <v>9383</v>
      </c>
      <c r="D41" s="82" t="s">
        <v>2464</v>
      </c>
      <c r="E41" s="85"/>
      <c r="H41" s="84"/>
      <c r="I41" s="84"/>
      <c r="J41" s="82" t="s">
        <v>2465</v>
      </c>
    </row>
    <row r="42" spans="1:10" ht="15.6" x14ac:dyDescent="0.25">
      <c r="A42" s="8" t="s">
        <v>2458</v>
      </c>
      <c r="B42" s="5" t="s">
        <v>2462</v>
      </c>
      <c r="C42" s="82" t="s">
        <v>9604</v>
      </c>
      <c r="D42" s="82" t="s">
        <v>9884</v>
      </c>
      <c r="E42" s="85"/>
      <c r="H42" s="84"/>
      <c r="I42" s="84"/>
      <c r="J42" s="82" t="s">
        <v>9885</v>
      </c>
    </row>
    <row r="43" spans="1:10" ht="15.6" x14ac:dyDescent="0.25">
      <c r="A43" s="8" t="s">
        <v>2458</v>
      </c>
      <c r="B43" s="5" t="s">
        <v>2462</v>
      </c>
      <c r="C43" s="82" t="s">
        <v>9994</v>
      </c>
      <c r="D43" s="82" t="s">
        <v>9937</v>
      </c>
      <c r="E43" s="85"/>
      <c r="H43" s="84"/>
      <c r="I43" s="84"/>
      <c r="J43" s="82" t="s">
        <v>9938</v>
      </c>
    </row>
    <row r="44" spans="1:10" ht="15.6" x14ac:dyDescent="0.25">
      <c r="A44" s="8" t="s">
        <v>2008</v>
      </c>
      <c r="B44" s="5" t="s">
        <v>2015</v>
      </c>
      <c r="C44" s="82" t="s">
        <v>10002</v>
      </c>
      <c r="D44" s="82" t="s">
        <v>9296</v>
      </c>
      <c r="E44" s="8"/>
      <c r="H44" s="84"/>
      <c r="I44" s="84"/>
      <c r="J44" s="84"/>
    </row>
    <row r="45" spans="1:10" ht="15.6" x14ac:dyDescent="0.25">
      <c r="A45" s="8" t="s">
        <v>2008</v>
      </c>
      <c r="B45" s="5" t="s">
        <v>2015</v>
      </c>
      <c r="C45" s="82" t="s">
        <v>9359</v>
      </c>
      <c r="D45" s="82" t="s">
        <v>9364</v>
      </c>
      <c r="E45" s="85"/>
      <c r="H45" s="84"/>
      <c r="I45" s="84"/>
      <c r="J45" s="84"/>
    </row>
    <row r="46" spans="1:10" ht="15.6" x14ac:dyDescent="0.25">
      <c r="A46" s="8" t="s">
        <v>291</v>
      </c>
      <c r="B46" s="5" t="s">
        <v>303</v>
      </c>
      <c r="C46" s="82" t="s">
        <v>10002</v>
      </c>
      <c r="D46" s="82" t="s">
        <v>7046</v>
      </c>
      <c r="E46" s="85"/>
      <c r="H46" s="82"/>
      <c r="I46" s="82" t="s">
        <v>9332</v>
      </c>
      <c r="J46" s="82" t="s">
        <v>7047</v>
      </c>
    </row>
    <row r="47" spans="1:10" ht="15.6" x14ac:dyDescent="0.25">
      <c r="A47" s="8" t="s">
        <v>291</v>
      </c>
      <c r="B47" s="5" t="s">
        <v>303</v>
      </c>
      <c r="C47" s="82" t="s">
        <v>9383</v>
      </c>
      <c r="D47" s="82" t="s">
        <v>9545</v>
      </c>
      <c r="E47" s="85"/>
      <c r="I47" s="82" t="s">
        <v>9270</v>
      </c>
      <c r="J47" s="84"/>
    </row>
    <row r="48" spans="1:10" ht="15.6" x14ac:dyDescent="0.25">
      <c r="A48" s="8" t="s">
        <v>291</v>
      </c>
      <c r="B48" s="5" t="s">
        <v>303</v>
      </c>
      <c r="C48" s="82" t="s">
        <v>9604</v>
      </c>
      <c r="D48" s="82" t="s">
        <v>313</v>
      </c>
      <c r="E48" s="85"/>
      <c r="I48" s="82" t="s">
        <v>9270</v>
      </c>
      <c r="J48" s="84"/>
    </row>
    <row r="49" spans="1:10" ht="15.6" x14ac:dyDescent="0.25">
      <c r="A49" s="8" t="s">
        <v>3582</v>
      </c>
      <c r="B49" s="5" t="s">
        <v>3589</v>
      </c>
      <c r="C49" s="82" t="s">
        <v>10002</v>
      </c>
      <c r="D49" s="82" t="s">
        <v>3593</v>
      </c>
      <c r="E49" s="85"/>
      <c r="H49" s="82" t="s">
        <v>9309</v>
      </c>
      <c r="I49" s="82" t="s">
        <v>9310</v>
      </c>
      <c r="J49" s="82" t="s">
        <v>3594</v>
      </c>
    </row>
    <row r="50" spans="1:10" ht="15.6" x14ac:dyDescent="0.25">
      <c r="A50" s="8" t="s">
        <v>3582</v>
      </c>
      <c r="B50" s="5" t="s">
        <v>3589</v>
      </c>
      <c r="C50" s="82" t="s">
        <v>9359</v>
      </c>
      <c r="D50" s="82" t="s">
        <v>9370</v>
      </c>
      <c r="E50" s="85"/>
      <c r="H50" s="82"/>
      <c r="I50" s="84"/>
      <c r="J50" s="84"/>
    </row>
    <row r="51" spans="1:10" ht="15.6" x14ac:dyDescent="0.25">
      <c r="A51" s="8" t="s">
        <v>3582</v>
      </c>
      <c r="B51" s="5" t="s">
        <v>3589</v>
      </c>
      <c r="C51" s="82" t="s">
        <v>9359</v>
      </c>
      <c r="D51" s="82" t="s">
        <v>9371</v>
      </c>
      <c r="E51" s="85"/>
      <c r="H51" s="82"/>
      <c r="I51" s="84"/>
      <c r="J51" s="84"/>
    </row>
    <row r="52" spans="1:10" ht="15.6" x14ac:dyDescent="0.25">
      <c r="A52" s="8" t="s">
        <v>1346</v>
      </c>
      <c r="B52" s="5" t="s">
        <v>1356</v>
      </c>
      <c r="C52" s="82" t="s">
        <v>9383</v>
      </c>
      <c r="D52" s="82" t="s">
        <v>1361</v>
      </c>
      <c r="E52" s="85"/>
      <c r="H52" s="82" t="s">
        <v>9581</v>
      </c>
      <c r="I52" s="82" t="s">
        <v>9582</v>
      </c>
      <c r="J52" s="82" t="s">
        <v>1362</v>
      </c>
    </row>
    <row r="53" spans="1:10" ht="15.6" x14ac:dyDescent="0.25">
      <c r="A53" s="8" t="s">
        <v>1346</v>
      </c>
      <c r="B53" s="5" t="s">
        <v>1356</v>
      </c>
      <c r="C53" s="82" t="s">
        <v>9604</v>
      </c>
      <c r="D53" s="82" t="s">
        <v>9630</v>
      </c>
      <c r="E53" s="85"/>
      <c r="H53" s="82"/>
      <c r="I53" s="82"/>
      <c r="J53" s="82" t="s">
        <v>9631</v>
      </c>
    </row>
    <row r="54" spans="1:10" ht="15.6" x14ac:dyDescent="0.25">
      <c r="A54" s="8" t="s">
        <v>2375</v>
      </c>
      <c r="B54" s="5" t="s">
        <v>2379</v>
      </c>
      <c r="C54" s="82" t="s">
        <v>9383</v>
      </c>
      <c r="D54" s="82" t="s">
        <v>2382</v>
      </c>
      <c r="E54" s="85"/>
      <c r="H54" s="84"/>
      <c r="I54" s="84"/>
      <c r="J54" s="82" t="s">
        <v>2383</v>
      </c>
    </row>
    <row r="55" spans="1:10" ht="15.6" x14ac:dyDescent="0.25">
      <c r="A55" s="8" t="s">
        <v>2375</v>
      </c>
      <c r="B55" s="5" t="s">
        <v>2379</v>
      </c>
      <c r="C55" s="82" t="s">
        <v>9604</v>
      </c>
      <c r="D55" s="82" t="s">
        <v>9792</v>
      </c>
      <c r="E55" s="85"/>
      <c r="H55" s="84"/>
      <c r="I55" s="84"/>
      <c r="J55" s="82" t="s">
        <v>9793</v>
      </c>
    </row>
    <row r="56" spans="1:10" ht="15.6" x14ac:dyDescent="0.25">
      <c r="A56" s="8" t="s">
        <v>2375</v>
      </c>
      <c r="B56" s="5" t="s">
        <v>2379</v>
      </c>
      <c r="C56" s="82" t="s">
        <v>9978</v>
      </c>
      <c r="D56" s="82" t="s">
        <v>9984</v>
      </c>
      <c r="E56" s="85"/>
      <c r="H56" s="84"/>
      <c r="I56" s="84"/>
      <c r="J56" s="84"/>
    </row>
    <row r="57" spans="1:10" ht="15.6" x14ac:dyDescent="0.25">
      <c r="A57" s="8" t="s">
        <v>2504</v>
      </c>
      <c r="B57" s="5" t="s">
        <v>2511</v>
      </c>
      <c r="C57" s="82" t="s">
        <v>9383</v>
      </c>
      <c r="D57" s="82" t="s">
        <v>2515</v>
      </c>
      <c r="E57" s="85"/>
      <c r="H57" s="84"/>
      <c r="I57" s="84"/>
      <c r="J57" s="82" t="s">
        <v>2516</v>
      </c>
    </row>
    <row r="58" spans="1:10" ht="15.6" x14ac:dyDescent="0.25">
      <c r="A58" s="8" t="s">
        <v>1523</v>
      </c>
      <c r="B58" s="5" t="s">
        <v>1529</v>
      </c>
      <c r="C58" s="82" t="s">
        <v>9383</v>
      </c>
      <c r="D58" s="82" t="s">
        <v>1532</v>
      </c>
      <c r="E58" s="85"/>
      <c r="H58" s="82" t="s">
        <v>9488</v>
      </c>
      <c r="I58" s="82" t="s">
        <v>9312</v>
      </c>
      <c r="J58" s="82" t="s">
        <v>1533</v>
      </c>
    </row>
    <row r="59" spans="1:10" ht="15.6" x14ac:dyDescent="0.25">
      <c r="A59" s="8" t="s">
        <v>1523</v>
      </c>
      <c r="B59" s="5" t="s">
        <v>1529</v>
      </c>
      <c r="C59" s="82" t="s">
        <v>9987</v>
      </c>
      <c r="D59" s="82" t="s">
        <v>9907</v>
      </c>
      <c r="E59" s="85"/>
      <c r="H59" s="82" t="s">
        <v>9908</v>
      </c>
      <c r="I59" s="82" t="s">
        <v>9312</v>
      </c>
      <c r="J59" s="82" t="s">
        <v>9909</v>
      </c>
    </row>
    <row r="60" spans="1:10" ht="15.6" x14ac:dyDescent="0.25">
      <c r="A60" s="8" t="s">
        <v>1376</v>
      </c>
      <c r="B60" s="5" t="s">
        <v>1383</v>
      </c>
      <c r="C60" s="82" t="s">
        <v>10002</v>
      </c>
      <c r="D60" s="82" t="s">
        <v>1388</v>
      </c>
      <c r="E60" s="8"/>
      <c r="H60" s="82" t="s">
        <v>9300</v>
      </c>
      <c r="I60" s="82" t="s">
        <v>9301</v>
      </c>
      <c r="J60" s="82" t="s">
        <v>1389</v>
      </c>
    </row>
    <row r="61" spans="1:10" ht="15.6" x14ac:dyDescent="0.25">
      <c r="A61" s="8" t="s">
        <v>1376</v>
      </c>
      <c r="B61" s="5" t="s">
        <v>1383</v>
      </c>
      <c r="C61" s="82" t="s">
        <v>9383</v>
      </c>
      <c r="D61" s="82" t="s">
        <v>9478</v>
      </c>
      <c r="H61" s="84"/>
      <c r="I61" s="82" t="s">
        <v>9270</v>
      </c>
      <c r="J61" s="82" t="s">
        <v>9479</v>
      </c>
    </row>
    <row r="62" spans="1:10" ht="15.6" x14ac:dyDescent="0.25">
      <c r="A62" s="8" t="s">
        <v>3035</v>
      </c>
      <c r="B62" s="5" t="s">
        <v>3041</v>
      </c>
      <c r="C62" s="82" t="s">
        <v>10002</v>
      </c>
      <c r="D62" s="82" t="s">
        <v>3045</v>
      </c>
      <c r="E62" s="79"/>
      <c r="H62" s="84"/>
      <c r="I62" s="84"/>
      <c r="J62" s="82" t="s">
        <v>3046</v>
      </c>
    </row>
    <row r="63" spans="1:10" ht="15.6" x14ac:dyDescent="0.25">
      <c r="A63" s="8" t="s">
        <v>3035</v>
      </c>
      <c r="B63" s="5" t="s">
        <v>3041</v>
      </c>
      <c r="C63" s="82" t="s">
        <v>9383</v>
      </c>
      <c r="D63" s="82" t="s">
        <v>9457</v>
      </c>
      <c r="H63" s="84"/>
      <c r="I63" s="82" t="s">
        <v>9270</v>
      </c>
      <c r="J63" s="82" t="s">
        <v>9458</v>
      </c>
    </row>
    <row r="64" spans="1:10" ht="15.6" x14ac:dyDescent="0.25">
      <c r="A64" s="8" t="s">
        <v>3035</v>
      </c>
      <c r="B64" s="5" t="s">
        <v>3041</v>
      </c>
      <c r="C64" s="82" t="s">
        <v>9604</v>
      </c>
      <c r="D64" s="82" t="s">
        <v>9782</v>
      </c>
      <c r="H64" s="84"/>
      <c r="I64" s="82" t="s">
        <v>9270</v>
      </c>
      <c r="J64" s="84"/>
    </row>
    <row r="65" spans="1:10" ht="15.6" x14ac:dyDescent="0.25">
      <c r="A65" s="8" t="s">
        <v>3035</v>
      </c>
      <c r="B65" s="5" t="s">
        <v>3041</v>
      </c>
      <c r="C65" s="82" t="s">
        <v>9994</v>
      </c>
      <c r="D65" s="82" t="s">
        <v>9932</v>
      </c>
      <c r="H65" s="84"/>
      <c r="I65" s="84"/>
      <c r="J65" s="84"/>
    </row>
    <row r="66" spans="1:10" ht="15.6" x14ac:dyDescent="0.25">
      <c r="A66" s="8" t="s">
        <v>631</v>
      </c>
      <c r="B66" s="5" t="s">
        <v>639</v>
      </c>
      <c r="C66" s="82" t="s">
        <v>9383</v>
      </c>
      <c r="D66" s="82" t="s">
        <v>7059</v>
      </c>
      <c r="I66" s="82" t="s">
        <v>9270</v>
      </c>
      <c r="J66" s="82" t="s">
        <v>7060</v>
      </c>
    </row>
    <row r="67" spans="1:10" ht="15.6" x14ac:dyDescent="0.25">
      <c r="A67" s="8" t="s">
        <v>631</v>
      </c>
      <c r="B67" s="5" t="s">
        <v>639</v>
      </c>
      <c r="C67" s="82" t="s">
        <v>9604</v>
      </c>
      <c r="D67" s="82" t="s">
        <v>647</v>
      </c>
      <c r="I67" s="82" t="s">
        <v>9270</v>
      </c>
      <c r="J67" s="82" t="s">
        <v>9834</v>
      </c>
    </row>
    <row r="68" spans="1:10" ht="15.6" x14ac:dyDescent="0.25">
      <c r="A68" s="8" t="s">
        <v>1688</v>
      </c>
      <c r="B68" s="5" t="s">
        <v>1692</v>
      </c>
      <c r="C68" s="82" t="s">
        <v>10002</v>
      </c>
      <c r="D68" s="82" t="s">
        <v>1695</v>
      </c>
      <c r="E68" s="79"/>
      <c r="H68" s="82" t="s">
        <v>9297</v>
      </c>
      <c r="I68" s="82" t="s">
        <v>1848</v>
      </c>
      <c r="J68" s="82" t="s">
        <v>1696</v>
      </c>
    </row>
    <row r="69" spans="1:10" ht="15.6" x14ac:dyDescent="0.25">
      <c r="A69" s="8" t="s">
        <v>1688</v>
      </c>
      <c r="B69" s="5" t="s">
        <v>1692</v>
      </c>
      <c r="C69" s="82" t="s">
        <v>9383</v>
      </c>
      <c r="D69" s="82" t="s">
        <v>9473</v>
      </c>
      <c r="H69" s="82"/>
      <c r="I69" s="82"/>
      <c r="J69" s="84"/>
    </row>
    <row r="70" spans="1:10" ht="15.6" x14ac:dyDescent="0.25">
      <c r="A70" s="8" t="s">
        <v>1688</v>
      </c>
      <c r="B70" s="5" t="s">
        <v>1692</v>
      </c>
      <c r="C70" s="82" t="s">
        <v>9604</v>
      </c>
      <c r="D70" s="82" t="s">
        <v>9765</v>
      </c>
      <c r="H70" s="82"/>
      <c r="I70" s="82"/>
      <c r="J70" s="84"/>
    </row>
    <row r="71" spans="1:10" ht="15.6" x14ac:dyDescent="0.25">
      <c r="A71" s="8" t="s">
        <v>1337</v>
      </c>
      <c r="B71" s="5" t="s">
        <v>1341</v>
      </c>
      <c r="C71" s="82" t="s">
        <v>9383</v>
      </c>
      <c r="D71" s="82" t="s">
        <v>1344</v>
      </c>
      <c r="H71" s="82" t="s">
        <v>9546</v>
      </c>
      <c r="I71" s="82" t="s">
        <v>9547</v>
      </c>
      <c r="J71" s="82" t="s">
        <v>1345</v>
      </c>
    </row>
    <row r="72" spans="1:10" ht="15.6" x14ac:dyDescent="0.25">
      <c r="A72" s="8" t="s">
        <v>1337</v>
      </c>
      <c r="B72" s="5" t="s">
        <v>1341</v>
      </c>
      <c r="C72" s="82" t="s">
        <v>9604</v>
      </c>
      <c r="D72" s="82" t="s">
        <v>9632</v>
      </c>
      <c r="H72" s="82" t="s">
        <v>9546</v>
      </c>
      <c r="I72" s="82" t="s">
        <v>9633</v>
      </c>
      <c r="J72" s="82" t="s">
        <v>9634</v>
      </c>
    </row>
    <row r="73" spans="1:10" ht="15.6" x14ac:dyDescent="0.25">
      <c r="A73" s="8" t="s">
        <v>2608</v>
      </c>
      <c r="B73" s="5" t="s">
        <v>3427</v>
      </c>
      <c r="C73" s="82" t="s">
        <v>10002</v>
      </c>
      <c r="D73" s="82" t="s">
        <v>2601</v>
      </c>
      <c r="H73" s="84"/>
      <c r="I73" s="84"/>
      <c r="J73" s="84"/>
    </row>
    <row r="74" spans="1:10" ht="15.6" x14ac:dyDescent="0.25">
      <c r="A74" s="8" t="s">
        <v>2608</v>
      </c>
      <c r="B74" s="5" t="s">
        <v>3427</v>
      </c>
      <c r="C74" s="82" t="s">
        <v>9383</v>
      </c>
      <c r="D74" s="82" t="s">
        <v>3431</v>
      </c>
      <c r="H74" s="84"/>
      <c r="I74" s="84"/>
      <c r="J74" s="82" t="s">
        <v>3432</v>
      </c>
    </row>
    <row r="75" spans="1:10" ht="15.6" x14ac:dyDescent="0.25">
      <c r="A75" s="8" t="s">
        <v>2608</v>
      </c>
      <c r="B75" s="5" t="s">
        <v>3427</v>
      </c>
      <c r="C75" s="82" t="s">
        <v>9604</v>
      </c>
      <c r="D75" s="82" t="s">
        <v>9855</v>
      </c>
      <c r="H75" s="84"/>
      <c r="I75" s="84"/>
      <c r="J75" s="82" t="s">
        <v>9856</v>
      </c>
    </row>
    <row r="76" spans="1:10" ht="15.6" x14ac:dyDescent="0.25">
      <c r="A76" s="8" t="s">
        <v>2608</v>
      </c>
      <c r="B76" s="5" t="s">
        <v>3427</v>
      </c>
      <c r="C76" s="82" t="s">
        <v>9994</v>
      </c>
      <c r="D76" s="82" t="s">
        <v>9943</v>
      </c>
      <c r="H76" s="84"/>
      <c r="I76" s="84"/>
      <c r="J76" s="84"/>
    </row>
    <row r="77" spans="1:10" ht="15.6" x14ac:dyDescent="0.25">
      <c r="A77" s="8" t="s">
        <v>1829</v>
      </c>
      <c r="B77" s="5" t="s">
        <v>1832</v>
      </c>
      <c r="C77" s="82" t="s">
        <v>9383</v>
      </c>
      <c r="D77" s="82" t="s">
        <v>9529</v>
      </c>
      <c r="H77" s="84"/>
      <c r="I77" s="84"/>
      <c r="J77" s="84"/>
    </row>
    <row r="78" spans="1:10" ht="15.6" x14ac:dyDescent="0.25">
      <c r="A78" s="8" t="s">
        <v>1829</v>
      </c>
      <c r="B78" s="5" t="s">
        <v>1832</v>
      </c>
      <c r="C78" s="82" t="s">
        <v>9604</v>
      </c>
      <c r="D78" s="82" t="s">
        <v>9696</v>
      </c>
      <c r="H78" s="84"/>
      <c r="I78" s="84"/>
      <c r="J78" s="84"/>
    </row>
    <row r="79" spans="1:10" ht="15.6" x14ac:dyDescent="0.25">
      <c r="A79" s="8" t="s">
        <v>1829</v>
      </c>
      <c r="B79" s="5" t="s">
        <v>1832</v>
      </c>
      <c r="C79" s="82" t="s">
        <v>370</v>
      </c>
      <c r="D79" s="82" t="s">
        <v>9966</v>
      </c>
      <c r="H79" s="84"/>
      <c r="I79" s="84"/>
      <c r="J79" s="84"/>
    </row>
    <row r="80" spans="1:10" ht="15.6" x14ac:dyDescent="0.25">
      <c r="A80" s="8" t="s">
        <v>719</v>
      </c>
      <c r="B80" s="5" t="s">
        <v>727</v>
      </c>
      <c r="C80" s="82" t="s">
        <v>9383</v>
      </c>
      <c r="D80" s="82" t="s">
        <v>736</v>
      </c>
      <c r="H80" s="84"/>
      <c r="I80" s="82" t="s">
        <v>9270</v>
      </c>
      <c r="J80" s="82" t="s">
        <v>737</v>
      </c>
    </row>
    <row r="81" spans="1:10" ht="15.6" x14ac:dyDescent="0.25">
      <c r="A81" s="8" t="s">
        <v>719</v>
      </c>
      <c r="B81" s="5" t="s">
        <v>727</v>
      </c>
      <c r="C81" s="82" t="s">
        <v>9604</v>
      </c>
      <c r="D81" s="82" t="s">
        <v>7062</v>
      </c>
      <c r="H81" s="84"/>
      <c r="I81" s="82" t="s">
        <v>9270</v>
      </c>
      <c r="J81" s="82" t="s">
        <v>7063</v>
      </c>
    </row>
    <row r="82" spans="1:10" ht="15.6" x14ac:dyDescent="0.25">
      <c r="A82" s="8" t="s">
        <v>1707</v>
      </c>
      <c r="B82" s="5" t="s">
        <v>1712</v>
      </c>
      <c r="C82" s="82" t="s">
        <v>9383</v>
      </c>
      <c r="D82" s="82" t="s">
        <v>9462</v>
      </c>
      <c r="H82" s="82" t="s">
        <v>9463</v>
      </c>
      <c r="I82" s="82" t="s">
        <v>9312</v>
      </c>
      <c r="J82" s="84"/>
    </row>
    <row r="83" spans="1:10" ht="15.6" x14ac:dyDescent="0.25">
      <c r="A83" s="8" t="s">
        <v>1707</v>
      </c>
      <c r="B83" s="5" t="s">
        <v>1712</v>
      </c>
      <c r="C83" s="82" t="s">
        <v>9604</v>
      </c>
      <c r="D83" s="82" t="s">
        <v>9775</v>
      </c>
      <c r="H83" s="82"/>
      <c r="I83" s="82"/>
      <c r="J83" s="84"/>
    </row>
    <row r="84" spans="1:10" ht="15.6" x14ac:dyDescent="0.25">
      <c r="A84" s="8" t="s">
        <v>2645</v>
      </c>
      <c r="B84" s="5" t="s">
        <v>2651</v>
      </c>
      <c r="C84" s="82" t="s">
        <v>10002</v>
      </c>
      <c r="D84" s="82" t="s">
        <v>9306</v>
      </c>
      <c r="E84" s="79"/>
      <c r="H84" s="84"/>
      <c r="I84" s="84"/>
      <c r="J84" s="84"/>
    </row>
    <row r="85" spans="1:10" ht="15.6" x14ac:dyDescent="0.25">
      <c r="A85" s="8" t="s">
        <v>2645</v>
      </c>
      <c r="B85" s="5" t="s">
        <v>2651</v>
      </c>
      <c r="C85" s="82" t="s">
        <v>9337</v>
      </c>
      <c r="D85" s="82" t="s">
        <v>9357</v>
      </c>
      <c r="H85" s="84"/>
      <c r="I85" s="84"/>
      <c r="J85" s="84"/>
    </row>
    <row r="86" spans="1:10" ht="15.6" x14ac:dyDescent="0.25">
      <c r="A86" s="8" t="s">
        <v>2589</v>
      </c>
      <c r="B86" s="5" t="s">
        <v>2596</v>
      </c>
      <c r="C86" s="82" t="s">
        <v>9383</v>
      </c>
      <c r="D86" s="82" t="s">
        <v>9400</v>
      </c>
      <c r="H86" s="84"/>
      <c r="I86" s="82" t="s">
        <v>9270</v>
      </c>
      <c r="J86" s="82" t="s">
        <v>9401</v>
      </c>
    </row>
    <row r="87" spans="1:10" ht="15.6" x14ac:dyDescent="0.25">
      <c r="A87" s="8" t="s">
        <v>2589</v>
      </c>
      <c r="B87" s="5" t="s">
        <v>2596</v>
      </c>
      <c r="C87" s="82" t="s">
        <v>9604</v>
      </c>
      <c r="D87" s="82" t="s">
        <v>9863</v>
      </c>
      <c r="H87" s="84"/>
      <c r="I87" s="82" t="s">
        <v>9270</v>
      </c>
      <c r="J87" s="82" t="s">
        <v>9864</v>
      </c>
    </row>
    <row r="88" spans="1:10" ht="15.6" x14ac:dyDescent="0.25">
      <c r="A88" s="8" t="s">
        <v>3365</v>
      </c>
      <c r="B88" s="5" t="s">
        <v>3368</v>
      </c>
      <c r="C88" s="82" t="s">
        <v>9383</v>
      </c>
      <c r="D88" s="82" t="s">
        <v>9385</v>
      </c>
      <c r="H88" s="84"/>
      <c r="I88" s="84"/>
      <c r="J88" s="84"/>
    </row>
    <row r="89" spans="1:10" ht="15.6" x14ac:dyDescent="0.25">
      <c r="A89" s="8" t="s">
        <v>3365</v>
      </c>
      <c r="B89" s="5" t="s">
        <v>3368</v>
      </c>
      <c r="C89" s="82" t="s">
        <v>9604</v>
      </c>
      <c r="D89" s="82" t="s">
        <v>9881</v>
      </c>
      <c r="H89" s="84"/>
      <c r="I89" s="84"/>
      <c r="J89" s="84"/>
    </row>
    <row r="90" spans="1:10" ht="15.6" x14ac:dyDescent="0.25">
      <c r="A90" s="8" t="s">
        <v>3365</v>
      </c>
      <c r="B90" s="5" t="s">
        <v>3368</v>
      </c>
      <c r="C90" s="82" t="s">
        <v>370</v>
      </c>
      <c r="D90" s="82" t="s">
        <v>9955</v>
      </c>
      <c r="H90" s="82" t="s">
        <v>9956</v>
      </c>
      <c r="I90" s="84"/>
      <c r="J90" s="84"/>
    </row>
    <row r="91" spans="1:10" ht="15.6" x14ac:dyDescent="0.25">
      <c r="A91" s="8" t="s">
        <v>527</v>
      </c>
      <c r="B91" s="5" t="s">
        <v>538</v>
      </c>
      <c r="C91" s="82" t="s">
        <v>9383</v>
      </c>
      <c r="D91" s="82" t="s">
        <v>545</v>
      </c>
      <c r="I91" s="82" t="s">
        <v>9270</v>
      </c>
      <c r="J91" s="82" t="s">
        <v>546</v>
      </c>
    </row>
    <row r="92" spans="1:10" ht="15.6" x14ac:dyDescent="0.25">
      <c r="A92" s="8" t="s">
        <v>527</v>
      </c>
      <c r="B92" s="5" t="s">
        <v>538</v>
      </c>
      <c r="C92" s="82" t="s">
        <v>9604</v>
      </c>
      <c r="D92" s="82" t="s">
        <v>9832</v>
      </c>
      <c r="I92" s="82" t="s">
        <v>9270</v>
      </c>
      <c r="J92" s="82" t="s">
        <v>9833</v>
      </c>
    </row>
    <row r="93" spans="1:10" ht="15.6" x14ac:dyDescent="0.25">
      <c r="A93" s="8" t="s">
        <v>971</v>
      </c>
      <c r="B93" s="5" t="s">
        <v>978</v>
      </c>
      <c r="C93" s="82" t="s">
        <v>9383</v>
      </c>
      <c r="D93" s="82" t="s">
        <v>9577</v>
      </c>
      <c r="H93" s="84"/>
      <c r="I93" s="82" t="s">
        <v>9270</v>
      </c>
      <c r="J93" s="82" t="s">
        <v>9578</v>
      </c>
    </row>
    <row r="94" spans="1:10" ht="15.6" x14ac:dyDescent="0.25">
      <c r="A94" s="8" t="s">
        <v>971</v>
      </c>
      <c r="B94" s="5" t="s">
        <v>978</v>
      </c>
      <c r="C94" s="82" t="s">
        <v>9604</v>
      </c>
      <c r="D94" s="82" t="s">
        <v>9641</v>
      </c>
      <c r="H94" s="84"/>
      <c r="I94" s="82" t="s">
        <v>9270</v>
      </c>
      <c r="J94" s="82" t="s">
        <v>9642</v>
      </c>
    </row>
    <row r="95" spans="1:10" ht="15.6" x14ac:dyDescent="0.25">
      <c r="A95" s="8" t="s">
        <v>971</v>
      </c>
      <c r="B95" s="5" t="s">
        <v>978</v>
      </c>
      <c r="C95" s="82" t="s">
        <v>370</v>
      </c>
      <c r="D95" s="82" t="s">
        <v>9973</v>
      </c>
      <c r="H95" s="82" t="s">
        <v>9974</v>
      </c>
      <c r="I95" s="82" t="s">
        <v>9281</v>
      </c>
      <c r="J95" s="82" t="s">
        <v>9975</v>
      </c>
    </row>
    <row r="96" spans="1:10" ht="15.6" x14ac:dyDescent="0.25">
      <c r="A96" s="8" t="s">
        <v>971</v>
      </c>
      <c r="B96" s="5" t="s">
        <v>978</v>
      </c>
      <c r="C96" s="82" t="s">
        <v>370</v>
      </c>
      <c r="D96" s="82" t="s">
        <v>9976</v>
      </c>
      <c r="H96" s="84"/>
      <c r="I96" s="84"/>
      <c r="J96" s="82" t="s">
        <v>9977</v>
      </c>
    </row>
    <row r="97" spans="1:10" ht="15.6" x14ac:dyDescent="0.25">
      <c r="A97" s="8" t="s">
        <v>1479</v>
      </c>
      <c r="B97" s="5" t="s">
        <v>1485</v>
      </c>
      <c r="C97" s="82" t="s">
        <v>9383</v>
      </c>
      <c r="D97" s="82" t="s">
        <v>1489</v>
      </c>
      <c r="H97" s="84"/>
      <c r="I97" s="84"/>
      <c r="J97" s="82" t="s">
        <v>1490</v>
      </c>
    </row>
    <row r="98" spans="1:10" ht="15.6" x14ac:dyDescent="0.25">
      <c r="A98" s="8" t="s">
        <v>1479</v>
      </c>
      <c r="B98" s="5" t="s">
        <v>1485</v>
      </c>
      <c r="C98" s="82" t="s">
        <v>9604</v>
      </c>
      <c r="D98" s="82" t="s">
        <v>9757</v>
      </c>
      <c r="H98" s="84"/>
      <c r="I98" s="84"/>
      <c r="J98" s="82" t="s">
        <v>9758</v>
      </c>
    </row>
    <row r="99" spans="1:10" ht="15.6" x14ac:dyDescent="0.25">
      <c r="A99" s="8" t="s">
        <v>2408</v>
      </c>
      <c r="B99" s="5" t="s">
        <v>2412</v>
      </c>
      <c r="C99" s="82" t="s">
        <v>9383</v>
      </c>
      <c r="D99" s="82" t="s">
        <v>2414</v>
      </c>
      <c r="H99" s="84"/>
      <c r="I99" s="84"/>
      <c r="J99" s="82" t="s">
        <v>2415</v>
      </c>
    </row>
    <row r="100" spans="1:10" ht="15.6" x14ac:dyDescent="0.25">
      <c r="A100" s="8" t="s">
        <v>2408</v>
      </c>
      <c r="B100" s="5" t="s">
        <v>2412</v>
      </c>
      <c r="C100" s="82" t="s">
        <v>9604</v>
      </c>
      <c r="D100" s="82" t="s">
        <v>9853</v>
      </c>
      <c r="H100" s="84"/>
      <c r="I100" s="84"/>
      <c r="J100" s="82" t="s">
        <v>9854</v>
      </c>
    </row>
    <row r="101" spans="1:10" ht="15.6" x14ac:dyDescent="0.25">
      <c r="A101" s="8" t="s">
        <v>2408</v>
      </c>
      <c r="B101" s="5" t="s">
        <v>2412</v>
      </c>
      <c r="C101" s="82" t="s">
        <v>9994</v>
      </c>
      <c r="D101" s="82" t="s">
        <v>9942</v>
      </c>
      <c r="H101" s="84"/>
      <c r="I101" s="84"/>
      <c r="J101" s="84"/>
    </row>
    <row r="102" spans="1:10" ht="15.6" x14ac:dyDescent="0.25">
      <c r="A102" s="8" t="s">
        <v>2780</v>
      </c>
      <c r="B102" s="5" t="s">
        <v>2784</v>
      </c>
      <c r="C102" s="82" t="s">
        <v>9383</v>
      </c>
      <c r="D102" s="82" t="s">
        <v>2788</v>
      </c>
      <c r="H102" s="84"/>
      <c r="I102" s="84"/>
      <c r="J102" s="82" t="s">
        <v>2789</v>
      </c>
    </row>
    <row r="103" spans="1:10" ht="15.6" x14ac:dyDescent="0.25">
      <c r="A103" s="8" t="s">
        <v>2780</v>
      </c>
      <c r="B103" s="5" t="s">
        <v>2784</v>
      </c>
      <c r="C103" s="82" t="s">
        <v>9604</v>
      </c>
      <c r="D103" s="82" t="s">
        <v>9819</v>
      </c>
      <c r="H103" s="84"/>
      <c r="I103" s="84"/>
      <c r="J103" s="82" t="s">
        <v>9820</v>
      </c>
    </row>
    <row r="104" spans="1:10" ht="15.6" x14ac:dyDescent="0.25">
      <c r="A104" s="8" t="s">
        <v>2710</v>
      </c>
      <c r="B104" s="5" t="s">
        <v>2713</v>
      </c>
      <c r="C104" s="82" t="s">
        <v>9383</v>
      </c>
      <c r="D104" s="82" t="s">
        <v>9387</v>
      </c>
      <c r="H104" s="84"/>
      <c r="I104" s="84"/>
      <c r="J104" s="84"/>
    </row>
    <row r="105" spans="1:10" ht="15.6" x14ac:dyDescent="0.25">
      <c r="A105" s="8" t="s">
        <v>2710</v>
      </c>
      <c r="B105" s="5" t="s">
        <v>2713</v>
      </c>
      <c r="C105" s="82" t="s">
        <v>9604</v>
      </c>
      <c r="D105" s="82" t="s">
        <v>2715</v>
      </c>
      <c r="H105" s="84"/>
      <c r="I105" s="84"/>
      <c r="J105" s="82" t="s">
        <v>2716</v>
      </c>
    </row>
    <row r="106" spans="1:10" ht="15.6" x14ac:dyDescent="0.25">
      <c r="A106" s="8" t="s">
        <v>2710</v>
      </c>
      <c r="B106" s="5" t="s">
        <v>2713</v>
      </c>
      <c r="C106" s="82" t="s">
        <v>9888</v>
      </c>
      <c r="D106" s="82" t="s">
        <v>9889</v>
      </c>
      <c r="H106" s="84"/>
      <c r="I106" s="84"/>
      <c r="J106" s="84"/>
    </row>
    <row r="107" spans="1:10" ht="15.6" x14ac:dyDescent="0.25">
      <c r="A107" s="8" t="s">
        <v>1501</v>
      </c>
      <c r="B107" s="5" t="s">
        <v>1506</v>
      </c>
      <c r="C107" s="82" t="s">
        <v>9383</v>
      </c>
      <c r="D107" s="82" t="s">
        <v>1509</v>
      </c>
      <c r="H107" s="84"/>
      <c r="I107" s="82" t="s">
        <v>9270</v>
      </c>
      <c r="J107" s="82" t="s">
        <v>1510</v>
      </c>
    </row>
    <row r="108" spans="1:10" ht="15.6" x14ac:dyDescent="0.25">
      <c r="A108" s="8" t="s">
        <v>1793</v>
      </c>
      <c r="B108" s="5" t="s">
        <v>1799</v>
      </c>
      <c r="C108" s="82" t="s">
        <v>9383</v>
      </c>
      <c r="D108" s="82" t="s">
        <v>9459</v>
      </c>
      <c r="H108" s="82" t="s">
        <v>9460</v>
      </c>
      <c r="I108" s="82" t="s">
        <v>9461</v>
      </c>
      <c r="J108" s="84"/>
    </row>
    <row r="109" spans="1:10" ht="15.6" x14ac:dyDescent="0.25">
      <c r="A109" s="8" t="s">
        <v>1793</v>
      </c>
      <c r="B109" s="5" t="s">
        <v>1799</v>
      </c>
      <c r="C109" s="82" t="s">
        <v>9604</v>
      </c>
      <c r="D109" s="82" t="s">
        <v>9771</v>
      </c>
      <c r="H109" s="82" t="s">
        <v>9460</v>
      </c>
      <c r="I109" s="82" t="s">
        <v>9461</v>
      </c>
      <c r="J109" s="84"/>
    </row>
    <row r="110" spans="1:10" ht="15.6" x14ac:dyDescent="0.25">
      <c r="A110" s="8" t="s">
        <v>1651</v>
      </c>
      <c r="B110" s="5" t="s">
        <v>1657</v>
      </c>
      <c r="C110" s="82" t="s">
        <v>10002</v>
      </c>
      <c r="D110" s="82" t="s">
        <v>1662</v>
      </c>
      <c r="E110" s="79"/>
      <c r="H110" s="84"/>
      <c r="I110" s="84"/>
      <c r="J110" s="82" t="s">
        <v>1663</v>
      </c>
    </row>
    <row r="111" spans="1:10" ht="15.6" x14ac:dyDescent="0.25">
      <c r="A111" s="8" t="s">
        <v>1651</v>
      </c>
      <c r="B111" s="5" t="s">
        <v>1657</v>
      </c>
      <c r="C111" s="82" t="s">
        <v>9383</v>
      </c>
      <c r="D111" s="82" t="s">
        <v>9480</v>
      </c>
      <c r="H111" s="84"/>
      <c r="I111" s="84"/>
      <c r="J111" s="82" t="s">
        <v>9481</v>
      </c>
    </row>
    <row r="112" spans="1:10" ht="15.6" x14ac:dyDescent="0.25">
      <c r="A112" s="8" t="s">
        <v>1651</v>
      </c>
      <c r="B112" s="5" t="s">
        <v>1657</v>
      </c>
      <c r="C112" s="82" t="s">
        <v>9604</v>
      </c>
      <c r="D112" s="82" t="s">
        <v>9762</v>
      </c>
      <c r="H112" s="84"/>
      <c r="I112" s="84"/>
      <c r="J112" s="82" t="s">
        <v>9763</v>
      </c>
    </row>
    <row r="113" spans="1:10" ht="15.6" x14ac:dyDescent="0.25">
      <c r="A113" s="8" t="s">
        <v>1301</v>
      </c>
      <c r="B113" s="5" t="s">
        <v>1307</v>
      </c>
      <c r="C113" s="82" t="s">
        <v>9604</v>
      </c>
      <c r="D113" s="82" t="s">
        <v>9635</v>
      </c>
      <c r="H113" s="82" t="s">
        <v>9636</v>
      </c>
      <c r="I113" s="82" t="s">
        <v>311</v>
      </c>
      <c r="J113" s="82" t="s">
        <v>9637</v>
      </c>
    </row>
    <row r="114" spans="1:10" ht="15.6" x14ac:dyDescent="0.25">
      <c r="A114" s="8" t="s">
        <v>1763</v>
      </c>
      <c r="B114" s="5" t="s">
        <v>1768</v>
      </c>
      <c r="C114" s="82" t="s">
        <v>9383</v>
      </c>
      <c r="D114" s="82" t="s">
        <v>1770</v>
      </c>
      <c r="H114" s="82" t="s">
        <v>9469</v>
      </c>
      <c r="I114" s="82" t="s">
        <v>4029</v>
      </c>
      <c r="J114" s="82" t="s">
        <v>1771</v>
      </c>
    </row>
    <row r="115" spans="1:10" ht="15.6" x14ac:dyDescent="0.25">
      <c r="A115" s="8" t="s">
        <v>1763</v>
      </c>
      <c r="B115" s="5" t="s">
        <v>1768</v>
      </c>
      <c r="C115" s="82" t="s">
        <v>9604</v>
      </c>
      <c r="D115" s="82" t="s">
        <v>9770</v>
      </c>
      <c r="H115" s="82" t="s">
        <v>9469</v>
      </c>
      <c r="I115" s="82" t="s">
        <v>4029</v>
      </c>
      <c r="J115" s="84"/>
    </row>
    <row r="116" spans="1:10" ht="15.6" x14ac:dyDescent="0.25">
      <c r="A116" s="8" t="s">
        <v>3404</v>
      </c>
      <c r="B116" s="5" t="s">
        <v>3409</v>
      </c>
      <c r="C116" s="82" t="s">
        <v>10002</v>
      </c>
      <c r="D116" s="82" t="s">
        <v>3411</v>
      </c>
      <c r="H116" s="84"/>
      <c r="I116" s="84"/>
      <c r="J116" s="82" t="s">
        <v>3412</v>
      </c>
    </row>
    <row r="117" spans="1:10" ht="15.6" x14ac:dyDescent="0.25">
      <c r="A117" s="8" t="s">
        <v>3404</v>
      </c>
      <c r="B117" s="5" t="s">
        <v>3409</v>
      </c>
      <c r="C117" s="82" t="s">
        <v>9359</v>
      </c>
      <c r="D117" s="82" t="s">
        <v>9374</v>
      </c>
      <c r="H117" s="84"/>
      <c r="I117" s="84"/>
      <c r="J117" s="82" t="s">
        <v>9375</v>
      </c>
    </row>
    <row r="118" spans="1:10" ht="15.6" x14ac:dyDescent="0.25">
      <c r="A118" s="8" t="s">
        <v>3229</v>
      </c>
      <c r="B118" s="5" t="s">
        <v>3234</v>
      </c>
      <c r="C118" s="82" t="s">
        <v>10002</v>
      </c>
      <c r="D118" s="82" t="s">
        <v>3236</v>
      </c>
      <c r="H118" s="82" t="s">
        <v>9326</v>
      </c>
      <c r="I118" s="82" t="s">
        <v>9327</v>
      </c>
      <c r="J118" s="82" t="s">
        <v>3237</v>
      </c>
    </row>
    <row r="119" spans="1:10" ht="15.6" x14ac:dyDescent="0.25">
      <c r="A119" s="8" t="s">
        <v>3229</v>
      </c>
      <c r="B119" s="5" t="s">
        <v>3234</v>
      </c>
      <c r="C119" s="82" t="s">
        <v>9359</v>
      </c>
      <c r="D119" s="82" t="s">
        <v>9377</v>
      </c>
      <c r="H119" s="84"/>
      <c r="I119" s="84"/>
      <c r="J119" s="84"/>
    </row>
    <row r="120" spans="1:10" ht="15.6" x14ac:dyDescent="0.25">
      <c r="A120" s="8" t="s">
        <v>1025</v>
      </c>
      <c r="B120" s="5" t="s">
        <v>1030</v>
      </c>
      <c r="C120" s="82" t="s">
        <v>9383</v>
      </c>
      <c r="D120" s="82" t="s">
        <v>9562</v>
      </c>
      <c r="H120" s="84"/>
      <c r="I120" s="82" t="s">
        <v>9270</v>
      </c>
      <c r="J120" s="82" t="s">
        <v>9563</v>
      </c>
    </row>
    <row r="121" spans="1:10" ht="15.6" x14ac:dyDescent="0.25">
      <c r="A121" s="8" t="s">
        <v>1025</v>
      </c>
      <c r="B121" s="5" t="s">
        <v>1030</v>
      </c>
      <c r="C121" s="82" t="s">
        <v>9604</v>
      </c>
      <c r="D121" s="82" t="s">
        <v>9657</v>
      </c>
      <c r="H121" s="84"/>
      <c r="I121" s="82" t="s">
        <v>9270</v>
      </c>
      <c r="J121" s="82" t="s">
        <v>9658</v>
      </c>
    </row>
    <row r="122" spans="1:10" ht="15.6" x14ac:dyDescent="0.25">
      <c r="A122" s="8" t="s">
        <v>924</v>
      </c>
      <c r="B122" s="5" t="s">
        <v>931</v>
      </c>
      <c r="C122" s="82" t="s">
        <v>9383</v>
      </c>
      <c r="D122" s="82" t="s">
        <v>9560</v>
      </c>
      <c r="H122" s="84"/>
      <c r="I122" s="84"/>
      <c r="J122" s="82" t="s">
        <v>9561</v>
      </c>
    </row>
    <row r="123" spans="1:10" ht="15.6" x14ac:dyDescent="0.25">
      <c r="A123" s="8" t="s">
        <v>924</v>
      </c>
      <c r="B123" s="5" t="s">
        <v>931</v>
      </c>
      <c r="C123" s="82" t="s">
        <v>9604</v>
      </c>
      <c r="D123" s="82" t="s">
        <v>937</v>
      </c>
      <c r="H123" s="84"/>
      <c r="I123" s="84"/>
      <c r="J123" s="82" t="s">
        <v>938</v>
      </c>
    </row>
    <row r="124" spans="1:10" ht="15.6" x14ac:dyDescent="0.25">
      <c r="A124" s="8" t="s">
        <v>2181</v>
      </c>
      <c r="B124" s="5" t="s">
        <v>2187</v>
      </c>
      <c r="C124" s="82" t="s">
        <v>10002</v>
      </c>
      <c r="D124" s="82" t="s">
        <v>9293</v>
      </c>
      <c r="E124" s="79"/>
      <c r="H124" s="82"/>
      <c r="I124" s="84"/>
      <c r="J124" s="84"/>
    </row>
    <row r="125" spans="1:10" ht="15.6" x14ac:dyDescent="0.25">
      <c r="A125" s="8" t="s">
        <v>2181</v>
      </c>
      <c r="B125" s="5" t="s">
        <v>2187</v>
      </c>
      <c r="C125" s="82" t="s">
        <v>9383</v>
      </c>
      <c r="D125" s="82" t="s">
        <v>9517</v>
      </c>
      <c r="H125" s="82" t="s">
        <v>9518</v>
      </c>
      <c r="I125" s="84"/>
      <c r="J125" s="84"/>
    </row>
    <row r="126" spans="1:10" ht="15.6" x14ac:dyDescent="0.25">
      <c r="A126" s="8" t="s">
        <v>2181</v>
      </c>
      <c r="B126" s="5" t="s">
        <v>2187</v>
      </c>
      <c r="C126" s="82" t="s">
        <v>9604</v>
      </c>
      <c r="D126" s="82" t="s">
        <v>9707</v>
      </c>
      <c r="H126" s="82"/>
      <c r="I126" s="84"/>
      <c r="J126" s="84"/>
    </row>
    <row r="127" spans="1:10" ht="15.6" x14ac:dyDescent="0.25">
      <c r="A127" s="8" t="s">
        <v>3312</v>
      </c>
      <c r="B127" s="5" t="s">
        <v>3316</v>
      </c>
      <c r="C127" s="82" t="s">
        <v>10002</v>
      </c>
      <c r="D127" s="82" t="s">
        <v>9323</v>
      </c>
      <c r="H127" s="84"/>
      <c r="I127" s="84"/>
      <c r="J127" s="84"/>
    </row>
    <row r="128" spans="1:10" ht="15.6" x14ac:dyDescent="0.25">
      <c r="A128" s="8" t="s">
        <v>3312</v>
      </c>
      <c r="B128" s="5" t="s">
        <v>3316</v>
      </c>
      <c r="C128" s="82" t="s">
        <v>9359</v>
      </c>
      <c r="D128" s="82" t="s">
        <v>9376</v>
      </c>
      <c r="H128" s="84"/>
      <c r="I128" s="84"/>
      <c r="J128" s="84"/>
    </row>
    <row r="129" spans="1:10" ht="15.6" x14ac:dyDescent="0.25">
      <c r="A129" s="8" t="s">
        <v>652</v>
      </c>
      <c r="B129" s="5" t="s">
        <v>658</v>
      </c>
      <c r="C129" s="82" t="s">
        <v>9604</v>
      </c>
      <c r="D129" s="82" t="s">
        <v>9767</v>
      </c>
      <c r="H129" s="82"/>
      <c r="I129" s="84"/>
      <c r="J129" s="84"/>
    </row>
    <row r="130" spans="1:10" ht="15.6" x14ac:dyDescent="0.25">
      <c r="A130" s="8" t="s">
        <v>988</v>
      </c>
      <c r="B130" s="5" t="s">
        <v>992</v>
      </c>
      <c r="C130" s="82" t="s">
        <v>9604</v>
      </c>
      <c r="D130" s="82" t="s">
        <v>9647</v>
      </c>
      <c r="H130" s="84"/>
      <c r="I130" s="82" t="s">
        <v>9270</v>
      </c>
      <c r="J130" s="82" t="s">
        <v>9648</v>
      </c>
    </row>
    <row r="131" spans="1:10" ht="15.6" x14ac:dyDescent="0.25">
      <c r="A131" s="8" t="s">
        <v>988</v>
      </c>
      <c r="B131" s="5" t="s">
        <v>992</v>
      </c>
      <c r="C131" s="82" t="s">
        <v>370</v>
      </c>
      <c r="D131" s="82" t="s">
        <v>9970</v>
      </c>
      <c r="H131" s="82" t="s">
        <v>9971</v>
      </c>
      <c r="I131" s="82" t="s">
        <v>4029</v>
      </c>
      <c r="J131" s="82" t="s">
        <v>9972</v>
      </c>
    </row>
    <row r="132" spans="1:10" ht="15.6" x14ac:dyDescent="0.25">
      <c r="A132" s="8" t="s">
        <v>982</v>
      </c>
      <c r="B132" s="5" t="s">
        <v>986</v>
      </c>
      <c r="C132" s="82" t="s">
        <v>9383</v>
      </c>
      <c r="D132" s="82" t="s">
        <v>9588</v>
      </c>
      <c r="H132" s="84"/>
      <c r="I132" s="82" t="s">
        <v>9270</v>
      </c>
      <c r="J132" s="82" t="s">
        <v>9589</v>
      </c>
    </row>
    <row r="133" spans="1:10" ht="15.6" x14ac:dyDescent="0.25">
      <c r="A133" s="8" t="s">
        <v>982</v>
      </c>
      <c r="B133" s="5" t="s">
        <v>986</v>
      </c>
      <c r="C133" s="82" t="s">
        <v>9604</v>
      </c>
      <c r="D133" s="82" t="s">
        <v>9622</v>
      </c>
      <c r="H133" s="84"/>
      <c r="I133" s="82" t="s">
        <v>9270</v>
      </c>
      <c r="J133" s="82" t="s">
        <v>9623</v>
      </c>
    </row>
    <row r="134" spans="1:10" ht="15.6" x14ac:dyDescent="0.25">
      <c r="A134" s="8" t="s">
        <v>1363</v>
      </c>
      <c r="B134" s="5" t="s">
        <v>1369</v>
      </c>
      <c r="C134" s="82" t="s">
        <v>10001</v>
      </c>
      <c r="D134" s="82" t="s">
        <v>1374</v>
      </c>
      <c r="H134" s="84"/>
      <c r="I134" s="82"/>
      <c r="J134" s="82"/>
    </row>
    <row r="135" spans="1:10" ht="15.6" x14ac:dyDescent="0.25">
      <c r="A135" s="8" t="s">
        <v>3047</v>
      </c>
      <c r="B135" s="5" t="s">
        <v>3052</v>
      </c>
      <c r="C135" s="82" t="s">
        <v>9383</v>
      </c>
      <c r="D135" s="82" t="s">
        <v>9436</v>
      </c>
      <c r="H135" s="84"/>
      <c r="I135" s="82"/>
      <c r="J135" s="84"/>
    </row>
    <row r="136" spans="1:10" ht="15.6" x14ac:dyDescent="0.25">
      <c r="A136" s="8" t="s">
        <v>3047</v>
      </c>
      <c r="B136" s="5" t="s">
        <v>3052</v>
      </c>
      <c r="C136" s="82" t="s">
        <v>9604</v>
      </c>
      <c r="D136" s="82" t="s">
        <v>9818</v>
      </c>
      <c r="H136" s="84"/>
      <c r="I136" s="84"/>
      <c r="J136" s="84"/>
    </row>
    <row r="137" spans="1:10" ht="15.6" x14ac:dyDescent="0.25">
      <c r="A137" s="8" t="s">
        <v>873</v>
      </c>
      <c r="B137" s="5" t="s">
        <v>884</v>
      </c>
      <c r="C137" s="82" t="s">
        <v>9383</v>
      </c>
      <c r="D137" s="82" t="s">
        <v>7079</v>
      </c>
      <c r="H137" s="84"/>
      <c r="I137" s="84"/>
      <c r="J137" s="82" t="s">
        <v>7080</v>
      </c>
    </row>
    <row r="138" spans="1:10" ht="15.6" x14ac:dyDescent="0.25">
      <c r="A138" s="8" t="s">
        <v>873</v>
      </c>
      <c r="B138" s="5" t="s">
        <v>884</v>
      </c>
      <c r="C138" s="82" t="s">
        <v>9604</v>
      </c>
      <c r="D138" s="82" t="s">
        <v>7081</v>
      </c>
      <c r="H138" s="84"/>
      <c r="I138" s="84"/>
      <c r="J138" s="82" t="s">
        <v>7082</v>
      </c>
    </row>
    <row r="139" spans="1:10" ht="15.6" x14ac:dyDescent="0.25">
      <c r="A139" s="8" t="s">
        <v>873</v>
      </c>
      <c r="B139" s="5" t="s">
        <v>884</v>
      </c>
      <c r="C139" s="82" t="s">
        <v>9987</v>
      </c>
      <c r="D139" s="82" t="s">
        <v>7083</v>
      </c>
      <c r="H139" s="84"/>
      <c r="I139" s="84"/>
      <c r="J139" s="82" t="s">
        <v>7084</v>
      </c>
    </row>
    <row r="140" spans="1:10" ht="15.6" x14ac:dyDescent="0.25">
      <c r="A140" s="8" t="s">
        <v>3218</v>
      </c>
      <c r="B140" s="5" t="s">
        <v>3223</v>
      </c>
      <c r="C140" s="82" t="s">
        <v>9383</v>
      </c>
      <c r="D140" s="82" t="s">
        <v>9446</v>
      </c>
      <c r="H140" s="84"/>
      <c r="I140" s="82"/>
      <c r="J140" s="82" t="s">
        <v>9447</v>
      </c>
    </row>
    <row r="141" spans="1:10" ht="15.6" x14ac:dyDescent="0.25">
      <c r="A141" s="8" t="s">
        <v>3218</v>
      </c>
      <c r="B141" s="5" t="s">
        <v>3223</v>
      </c>
      <c r="C141" s="82" t="s">
        <v>9604</v>
      </c>
      <c r="D141" s="82" t="s">
        <v>3226</v>
      </c>
      <c r="H141" s="84"/>
      <c r="I141" s="82"/>
      <c r="J141" s="82" t="s">
        <v>3227</v>
      </c>
    </row>
    <row r="142" spans="1:10" ht="15.6" x14ac:dyDescent="0.25">
      <c r="A142" s="8" t="s">
        <v>2060</v>
      </c>
      <c r="B142" s="5" t="s">
        <v>2065</v>
      </c>
      <c r="C142" s="82" t="s">
        <v>9383</v>
      </c>
      <c r="D142" s="82" t="s">
        <v>2068</v>
      </c>
      <c r="H142" s="84"/>
      <c r="I142" s="84"/>
      <c r="J142" s="82" t="s">
        <v>2069</v>
      </c>
    </row>
    <row r="143" spans="1:10" ht="15.6" x14ac:dyDescent="0.25">
      <c r="A143" s="8" t="s">
        <v>2060</v>
      </c>
      <c r="B143" s="5" t="s">
        <v>2065</v>
      </c>
      <c r="C143" s="82" t="s">
        <v>9604</v>
      </c>
      <c r="D143" s="82" t="s">
        <v>9746</v>
      </c>
      <c r="H143" s="84"/>
      <c r="I143" s="84"/>
      <c r="J143" s="82" t="s">
        <v>9747</v>
      </c>
    </row>
    <row r="144" spans="1:10" ht="15.6" x14ac:dyDescent="0.25">
      <c r="A144" s="8" t="s">
        <v>2656</v>
      </c>
      <c r="B144" s="5" t="s">
        <v>2659</v>
      </c>
      <c r="C144" s="82" t="s">
        <v>9383</v>
      </c>
      <c r="D144" s="82" t="s">
        <v>2661</v>
      </c>
      <c r="H144" s="84"/>
      <c r="I144" s="84"/>
      <c r="J144" s="82" t="s">
        <v>2662</v>
      </c>
    </row>
    <row r="145" spans="1:10" ht="15.6" x14ac:dyDescent="0.25">
      <c r="A145" s="8" t="s">
        <v>2656</v>
      </c>
      <c r="B145" s="5" t="s">
        <v>2659</v>
      </c>
      <c r="C145" s="82" t="s">
        <v>9604</v>
      </c>
      <c r="D145" s="82" t="s">
        <v>9886</v>
      </c>
      <c r="H145" s="84"/>
      <c r="I145" s="84"/>
      <c r="J145" s="82" t="s">
        <v>9887</v>
      </c>
    </row>
    <row r="146" spans="1:10" ht="15.6" x14ac:dyDescent="0.25">
      <c r="A146" s="8" t="s">
        <v>2656</v>
      </c>
      <c r="B146" s="5" t="s">
        <v>2659</v>
      </c>
      <c r="C146" s="82" t="s">
        <v>9987</v>
      </c>
      <c r="D146" s="82" t="s">
        <v>9899</v>
      </c>
      <c r="H146" s="84"/>
      <c r="I146" s="84"/>
      <c r="J146" s="82" t="s">
        <v>9900</v>
      </c>
    </row>
    <row r="147" spans="1:10" ht="15.6" x14ac:dyDescent="0.25">
      <c r="A147" s="8" t="s">
        <v>2359</v>
      </c>
      <c r="B147" s="5" t="s">
        <v>2363</v>
      </c>
      <c r="C147" s="82" t="s">
        <v>9383</v>
      </c>
      <c r="D147" s="82" t="s">
        <v>2365</v>
      </c>
      <c r="H147" s="82" t="s">
        <v>9530</v>
      </c>
      <c r="I147" s="84"/>
      <c r="J147" s="82" t="s">
        <v>2366</v>
      </c>
    </row>
    <row r="148" spans="1:10" ht="15.6" x14ac:dyDescent="0.25">
      <c r="A148" s="8" t="s">
        <v>2359</v>
      </c>
      <c r="B148" s="5" t="s">
        <v>2363</v>
      </c>
      <c r="C148" s="82" t="s">
        <v>9604</v>
      </c>
      <c r="D148" s="82" t="s">
        <v>9695</v>
      </c>
      <c r="H148" s="84"/>
      <c r="I148" s="84"/>
      <c r="J148" s="84"/>
    </row>
    <row r="149" spans="1:10" ht="15.6" x14ac:dyDescent="0.25">
      <c r="A149" s="8" t="s">
        <v>2359</v>
      </c>
      <c r="B149" s="5" t="s">
        <v>2363</v>
      </c>
      <c r="C149" s="82" t="s">
        <v>370</v>
      </c>
      <c r="D149" s="82" t="s">
        <v>9964</v>
      </c>
      <c r="H149" s="84"/>
      <c r="I149" s="84"/>
      <c r="J149" s="82" t="s">
        <v>9965</v>
      </c>
    </row>
    <row r="150" spans="1:10" ht="15.6" x14ac:dyDescent="0.25">
      <c r="A150" s="8" t="s">
        <v>1557</v>
      </c>
      <c r="B150" s="5" t="s">
        <v>1563</v>
      </c>
      <c r="C150" s="82" t="s">
        <v>9383</v>
      </c>
      <c r="D150" s="82" t="s">
        <v>1567</v>
      </c>
      <c r="H150" s="84"/>
      <c r="I150" s="82" t="s">
        <v>9485</v>
      </c>
      <c r="J150" s="82" t="s">
        <v>1568</v>
      </c>
    </row>
    <row r="151" spans="1:10" ht="15.6" x14ac:dyDescent="0.25">
      <c r="A151" s="8" t="s">
        <v>1557</v>
      </c>
      <c r="B151" s="5" t="s">
        <v>1563</v>
      </c>
      <c r="C151" s="82" t="s">
        <v>9604</v>
      </c>
      <c r="D151" s="82" t="s">
        <v>9749</v>
      </c>
      <c r="H151" s="84"/>
      <c r="I151" s="82" t="s">
        <v>9485</v>
      </c>
      <c r="J151" s="82" t="s">
        <v>9750</v>
      </c>
    </row>
    <row r="152" spans="1:10" ht="15.6" x14ac:dyDescent="0.25">
      <c r="A152" s="8" t="s">
        <v>2765</v>
      </c>
      <c r="B152" s="5" t="s">
        <v>2768</v>
      </c>
      <c r="C152" s="82" t="s">
        <v>10002</v>
      </c>
      <c r="D152" s="82" t="s">
        <v>2770</v>
      </c>
      <c r="H152" s="82" t="s">
        <v>9315</v>
      </c>
      <c r="I152" s="84"/>
      <c r="J152" s="82" t="s">
        <v>2771</v>
      </c>
    </row>
    <row r="153" spans="1:10" ht="15.6" x14ac:dyDescent="0.25">
      <c r="A153" s="8" t="s">
        <v>2765</v>
      </c>
      <c r="B153" s="5" t="s">
        <v>2768</v>
      </c>
      <c r="C153" s="82" t="s">
        <v>9383</v>
      </c>
      <c r="D153" s="82" t="s">
        <v>9430</v>
      </c>
      <c r="H153" s="84"/>
      <c r="I153" s="82" t="s">
        <v>9270</v>
      </c>
      <c r="J153" s="84"/>
    </row>
    <row r="154" spans="1:10" ht="15.6" x14ac:dyDescent="0.25">
      <c r="A154" s="8" t="s">
        <v>2765</v>
      </c>
      <c r="B154" s="5" t="s">
        <v>2768</v>
      </c>
      <c r="C154" s="82" t="s">
        <v>9604</v>
      </c>
      <c r="D154" s="82" t="s">
        <v>9821</v>
      </c>
      <c r="H154" s="84"/>
      <c r="I154" s="82" t="s">
        <v>9270</v>
      </c>
      <c r="J154" s="84"/>
    </row>
    <row r="155" spans="1:10" ht="15.6" x14ac:dyDescent="0.25">
      <c r="A155" s="8" t="s">
        <v>2765</v>
      </c>
      <c r="B155" s="5" t="s">
        <v>2768</v>
      </c>
      <c r="C155" s="82" t="s">
        <v>9994</v>
      </c>
      <c r="D155" s="82" t="s">
        <v>9925</v>
      </c>
      <c r="H155" s="84"/>
      <c r="I155" s="84"/>
      <c r="J155" s="84"/>
    </row>
    <row r="156" spans="1:10" ht="15.6" x14ac:dyDescent="0.25">
      <c r="A156" s="8" t="s">
        <v>2826</v>
      </c>
      <c r="B156" s="5" t="s">
        <v>2830</v>
      </c>
      <c r="C156" s="82" t="s">
        <v>10002</v>
      </c>
      <c r="D156" s="82" t="s">
        <v>2834</v>
      </c>
      <c r="H156" s="82" t="s">
        <v>9329</v>
      </c>
      <c r="I156" s="82" t="s">
        <v>9279</v>
      </c>
      <c r="J156" s="82" t="s">
        <v>2835</v>
      </c>
    </row>
    <row r="157" spans="1:10" ht="15.6" x14ac:dyDescent="0.25">
      <c r="A157" s="8" t="s">
        <v>2153</v>
      </c>
      <c r="B157" s="5" t="s">
        <v>2158</v>
      </c>
      <c r="C157" s="82" t="s">
        <v>10003</v>
      </c>
      <c r="D157" s="82" t="s">
        <v>2160</v>
      </c>
      <c r="E157" s="79"/>
      <c r="H157" s="82"/>
      <c r="I157" s="84"/>
      <c r="J157" s="82" t="s">
        <v>2161</v>
      </c>
    </row>
    <row r="158" spans="1:10" ht="15.6" x14ac:dyDescent="0.25">
      <c r="A158" s="8" t="s">
        <v>2153</v>
      </c>
      <c r="B158" s="5" t="s">
        <v>2158</v>
      </c>
      <c r="C158" s="82" t="s">
        <v>9359</v>
      </c>
      <c r="D158" s="82" t="s">
        <v>9366</v>
      </c>
      <c r="H158" s="84"/>
      <c r="I158" s="84"/>
      <c r="J158" s="84"/>
    </row>
    <row r="159" spans="1:10" ht="15.6" x14ac:dyDescent="0.25">
      <c r="A159" s="8" t="s">
        <v>2153</v>
      </c>
      <c r="B159" s="5" t="s">
        <v>2158</v>
      </c>
      <c r="C159" s="82" t="s">
        <v>9359</v>
      </c>
      <c r="D159" s="82" t="s">
        <v>9367</v>
      </c>
      <c r="H159" s="84"/>
      <c r="I159" s="84"/>
      <c r="J159" s="84"/>
    </row>
    <row r="160" spans="1:10" ht="15.6" x14ac:dyDescent="0.25">
      <c r="A160" s="8" t="s">
        <v>1827</v>
      </c>
      <c r="B160" s="5" t="s">
        <v>3107</v>
      </c>
      <c r="C160" s="82" t="s">
        <v>9383</v>
      </c>
      <c r="D160" s="82" t="s">
        <v>3108</v>
      </c>
      <c r="H160" s="82" t="s">
        <v>9408</v>
      </c>
      <c r="I160" s="82" t="s">
        <v>9285</v>
      </c>
      <c r="J160" s="82" t="s">
        <v>3109</v>
      </c>
    </row>
    <row r="161" spans="1:10" ht="15.6" x14ac:dyDescent="0.25">
      <c r="A161" s="8" t="s">
        <v>1827</v>
      </c>
      <c r="B161" s="5" t="s">
        <v>3107</v>
      </c>
      <c r="C161" s="82" t="s">
        <v>9604</v>
      </c>
      <c r="D161" s="82" t="s">
        <v>9840</v>
      </c>
      <c r="H161" s="82" t="s">
        <v>9841</v>
      </c>
      <c r="I161" s="82" t="s">
        <v>9285</v>
      </c>
      <c r="J161" s="84"/>
    </row>
    <row r="162" spans="1:10" ht="15.6" x14ac:dyDescent="0.25">
      <c r="A162" s="8" t="s">
        <v>1886</v>
      </c>
      <c r="B162" s="5" t="s">
        <v>1889</v>
      </c>
      <c r="C162" s="82" t="s">
        <v>9383</v>
      </c>
      <c r="D162" s="82" t="s">
        <v>9505</v>
      </c>
      <c r="H162" s="84"/>
      <c r="I162" s="84"/>
      <c r="J162" s="84"/>
    </row>
    <row r="163" spans="1:10" ht="15.6" x14ac:dyDescent="0.25">
      <c r="A163" s="8" t="s">
        <v>1886</v>
      </c>
      <c r="B163" s="5" t="s">
        <v>1889</v>
      </c>
      <c r="C163" s="82" t="s">
        <v>9604</v>
      </c>
      <c r="D163" s="82" t="s">
        <v>9724</v>
      </c>
      <c r="H163" s="84"/>
      <c r="I163" s="84"/>
      <c r="J163" s="84"/>
    </row>
    <row r="164" spans="1:10" ht="15.6" x14ac:dyDescent="0.25">
      <c r="A164" s="8" t="s">
        <v>1282</v>
      </c>
      <c r="B164" s="5" t="s">
        <v>1288</v>
      </c>
      <c r="C164" s="82" t="s">
        <v>9383</v>
      </c>
      <c r="D164" s="82" t="s">
        <v>940</v>
      </c>
      <c r="H164" s="84"/>
      <c r="I164" s="82" t="s">
        <v>9270</v>
      </c>
      <c r="J164" s="82" t="s">
        <v>9587</v>
      </c>
    </row>
    <row r="165" spans="1:10" ht="15.6" x14ac:dyDescent="0.25">
      <c r="A165" s="8" t="s">
        <v>1282</v>
      </c>
      <c r="B165" s="5" t="s">
        <v>1288</v>
      </c>
      <c r="C165" s="82" t="s">
        <v>9604</v>
      </c>
      <c r="D165" s="82" t="s">
        <v>9620</v>
      </c>
      <c r="H165" s="84"/>
      <c r="I165" s="82" t="s">
        <v>9270</v>
      </c>
      <c r="J165" s="82" t="s">
        <v>9621</v>
      </c>
    </row>
    <row r="166" spans="1:10" ht="15.6" x14ac:dyDescent="0.25">
      <c r="A166" s="8" t="s">
        <v>2070</v>
      </c>
      <c r="B166" s="5" t="s">
        <v>2074</v>
      </c>
      <c r="C166" s="82" t="s">
        <v>9383</v>
      </c>
      <c r="D166" s="82" t="s">
        <v>2078</v>
      </c>
      <c r="H166" s="82" t="s">
        <v>9524</v>
      </c>
      <c r="I166" s="84"/>
      <c r="J166" s="82" t="s">
        <v>2079</v>
      </c>
    </row>
    <row r="167" spans="1:10" ht="15.6" x14ac:dyDescent="0.25">
      <c r="A167" s="8" t="s">
        <v>2070</v>
      </c>
      <c r="B167" s="5" t="s">
        <v>2074</v>
      </c>
      <c r="C167" s="82" t="s">
        <v>9604</v>
      </c>
      <c r="D167" s="82" t="s">
        <v>9704</v>
      </c>
      <c r="H167" s="84"/>
      <c r="I167" s="84"/>
      <c r="J167" s="82" t="s">
        <v>9705</v>
      </c>
    </row>
    <row r="168" spans="1:10" ht="15.6" x14ac:dyDescent="0.25">
      <c r="A168" s="8" t="s">
        <v>1880</v>
      </c>
      <c r="B168" s="5" t="s">
        <v>1883</v>
      </c>
      <c r="C168" s="82" t="s">
        <v>9383</v>
      </c>
      <c r="D168" s="82" t="s">
        <v>9513</v>
      </c>
      <c r="H168" s="84"/>
      <c r="I168" s="84"/>
      <c r="J168" s="84"/>
    </row>
    <row r="169" spans="1:10" ht="15.6" x14ac:dyDescent="0.25">
      <c r="A169" s="8" t="s">
        <v>1880</v>
      </c>
      <c r="B169" s="5" t="s">
        <v>1883</v>
      </c>
      <c r="C169" s="82" t="s">
        <v>9604</v>
      </c>
      <c r="D169" s="82" t="s">
        <v>9717</v>
      </c>
      <c r="H169" s="84"/>
      <c r="I169" s="84"/>
      <c r="J169" s="84"/>
    </row>
    <row r="170" spans="1:10" ht="15.6" x14ac:dyDescent="0.25">
      <c r="A170" s="8" t="s">
        <v>3081</v>
      </c>
      <c r="B170" s="5" t="s">
        <v>3085</v>
      </c>
      <c r="C170" s="82" t="s">
        <v>10002</v>
      </c>
      <c r="D170" s="82" t="s">
        <v>3086</v>
      </c>
      <c r="H170" s="84"/>
      <c r="I170" s="84"/>
      <c r="J170" s="82" t="s">
        <v>3087</v>
      </c>
    </row>
    <row r="171" spans="1:10" ht="15.6" x14ac:dyDescent="0.25">
      <c r="A171" s="8" t="s">
        <v>3081</v>
      </c>
      <c r="B171" s="5" t="s">
        <v>3085</v>
      </c>
      <c r="C171" s="82" t="s">
        <v>9337</v>
      </c>
      <c r="D171" s="82" t="s">
        <v>9346</v>
      </c>
      <c r="H171" s="84"/>
      <c r="I171" s="84"/>
      <c r="J171" s="82" t="s">
        <v>9347</v>
      </c>
    </row>
    <row r="172" spans="1:10" ht="15.6" x14ac:dyDescent="0.25">
      <c r="A172" s="8" t="s">
        <v>412</v>
      </c>
      <c r="B172" s="5" t="s">
        <v>424</v>
      </c>
      <c r="C172" s="82" t="s">
        <v>9383</v>
      </c>
      <c r="D172" s="82" t="s">
        <v>7054</v>
      </c>
      <c r="H172" s="82"/>
      <c r="I172" s="84"/>
      <c r="J172" s="82" t="s">
        <v>7055</v>
      </c>
    </row>
    <row r="173" spans="1:10" ht="15.6" x14ac:dyDescent="0.25">
      <c r="A173" s="8" t="s">
        <v>412</v>
      </c>
      <c r="B173" s="5" t="s">
        <v>424</v>
      </c>
      <c r="C173" s="82" t="s">
        <v>9604</v>
      </c>
      <c r="D173" s="82" t="s">
        <v>429</v>
      </c>
      <c r="H173" s="82"/>
      <c r="I173" s="84"/>
      <c r="J173" s="82" t="s">
        <v>430</v>
      </c>
    </row>
    <row r="174" spans="1:10" ht="15.6" x14ac:dyDescent="0.25">
      <c r="A174" s="8" t="s">
        <v>562</v>
      </c>
      <c r="B174" s="5" t="s">
        <v>568</v>
      </c>
      <c r="C174" s="82" t="s">
        <v>9383</v>
      </c>
      <c r="D174" s="82" t="s">
        <v>9421</v>
      </c>
      <c r="I174" s="82" t="s">
        <v>9270</v>
      </c>
      <c r="J174" s="82" t="s">
        <v>9422</v>
      </c>
    </row>
    <row r="175" spans="1:10" ht="15.6" x14ac:dyDescent="0.25">
      <c r="A175" s="8" t="s">
        <v>562</v>
      </c>
      <c r="B175" s="5" t="s">
        <v>568</v>
      </c>
      <c r="C175" s="82" t="s">
        <v>9604</v>
      </c>
      <c r="D175" s="82" t="s">
        <v>9826</v>
      </c>
      <c r="I175" s="82" t="s">
        <v>9270</v>
      </c>
      <c r="J175" s="82" t="s">
        <v>9827</v>
      </c>
    </row>
    <row r="176" spans="1:10" ht="15.6" x14ac:dyDescent="0.25">
      <c r="A176" s="8" t="s">
        <v>1820</v>
      </c>
      <c r="B176" s="5" t="s">
        <v>1824</v>
      </c>
      <c r="C176" s="82" t="s">
        <v>10003</v>
      </c>
      <c r="D176" s="82" t="s">
        <v>1827</v>
      </c>
      <c r="E176" s="79"/>
      <c r="H176" s="82" t="s">
        <v>242</v>
      </c>
      <c r="I176" s="84"/>
      <c r="J176" s="82" t="s">
        <v>1828</v>
      </c>
    </row>
    <row r="177" spans="1:10" ht="15.6" x14ac:dyDescent="0.25">
      <c r="A177" s="8" t="s">
        <v>1820</v>
      </c>
      <c r="B177" s="5" t="s">
        <v>1824</v>
      </c>
      <c r="C177" s="82" t="s">
        <v>9383</v>
      </c>
      <c r="D177" s="82" t="s">
        <v>9448</v>
      </c>
      <c r="H177" s="84"/>
      <c r="I177" s="84"/>
      <c r="J177" s="82" t="s">
        <v>9449</v>
      </c>
    </row>
    <row r="178" spans="1:10" ht="15.6" x14ac:dyDescent="0.25">
      <c r="A178" s="8" t="s">
        <v>1820</v>
      </c>
      <c r="B178" s="5" t="s">
        <v>1824</v>
      </c>
      <c r="C178" s="82" t="s">
        <v>9604</v>
      </c>
      <c r="D178" s="82" t="s">
        <v>9798</v>
      </c>
      <c r="H178" s="84"/>
      <c r="I178" s="84"/>
      <c r="J178" s="82" t="s">
        <v>9799</v>
      </c>
    </row>
    <row r="179" spans="1:10" ht="15.6" x14ac:dyDescent="0.25">
      <c r="A179" s="8" t="s">
        <v>1820</v>
      </c>
      <c r="B179" s="5" t="s">
        <v>1824</v>
      </c>
      <c r="C179" s="82" t="s">
        <v>370</v>
      </c>
      <c r="D179" s="82" t="s">
        <v>9960</v>
      </c>
      <c r="H179" s="82" t="s">
        <v>9961</v>
      </c>
      <c r="I179" s="84"/>
      <c r="J179" s="82" t="s">
        <v>9962</v>
      </c>
    </row>
    <row r="180" spans="1:10" ht="15.6" x14ac:dyDescent="0.25">
      <c r="A180" s="8" t="s">
        <v>2517</v>
      </c>
      <c r="B180" s="5" t="s">
        <v>2524</v>
      </c>
      <c r="C180" s="82" t="s">
        <v>10002</v>
      </c>
      <c r="D180" s="82" t="s">
        <v>9274</v>
      </c>
      <c r="E180" s="79"/>
      <c r="H180" s="82" t="s">
        <v>9275</v>
      </c>
      <c r="I180" s="82" t="s">
        <v>9276</v>
      </c>
      <c r="J180" s="84"/>
    </row>
    <row r="181" spans="1:10" ht="15.6" x14ac:dyDescent="0.25">
      <c r="A181" s="8" t="s">
        <v>3395</v>
      </c>
      <c r="B181" s="5" t="s">
        <v>3398</v>
      </c>
      <c r="C181" s="82" t="s">
        <v>10002</v>
      </c>
      <c r="D181" s="82" t="s">
        <v>3402</v>
      </c>
      <c r="E181" s="79"/>
      <c r="H181" s="84"/>
      <c r="I181" s="84"/>
      <c r="J181" s="82" t="s">
        <v>3403</v>
      </c>
    </row>
    <row r="182" spans="1:10" ht="15.6" x14ac:dyDescent="0.25">
      <c r="A182" s="8" t="s">
        <v>3395</v>
      </c>
      <c r="B182" s="5" t="s">
        <v>3398</v>
      </c>
      <c r="C182" s="82" t="s">
        <v>9359</v>
      </c>
      <c r="D182" s="82" t="s">
        <v>9361</v>
      </c>
      <c r="H182" s="84"/>
      <c r="I182" s="84"/>
      <c r="J182" s="84"/>
    </row>
    <row r="183" spans="1:10" ht="15.6" x14ac:dyDescent="0.25">
      <c r="A183" s="8" t="s">
        <v>3395</v>
      </c>
      <c r="B183" s="5" t="s">
        <v>3398</v>
      </c>
      <c r="C183" s="82" t="s">
        <v>9604</v>
      </c>
      <c r="D183" s="82" t="s">
        <v>9685</v>
      </c>
      <c r="H183" s="84"/>
      <c r="I183" s="84"/>
      <c r="J183" s="84"/>
    </row>
    <row r="184" spans="1:10" ht="15.6" x14ac:dyDescent="0.25">
      <c r="A184" s="8" t="s">
        <v>3395</v>
      </c>
      <c r="B184" s="5" t="s">
        <v>3398</v>
      </c>
      <c r="C184" s="82" t="s">
        <v>9987</v>
      </c>
      <c r="D184" s="82" t="s">
        <v>9920</v>
      </c>
      <c r="H184" s="84"/>
      <c r="I184" s="84"/>
      <c r="J184" s="84"/>
    </row>
    <row r="185" spans="1:10" ht="15.6" x14ac:dyDescent="0.25">
      <c r="A185" s="8" t="s">
        <v>2170</v>
      </c>
      <c r="B185" s="5" t="s">
        <v>2175</v>
      </c>
      <c r="C185" s="82" t="s">
        <v>9383</v>
      </c>
      <c r="D185" s="82" t="s">
        <v>2179</v>
      </c>
      <c r="H185" s="82"/>
      <c r="I185" s="82" t="s">
        <v>9262</v>
      </c>
      <c r="J185" s="82" t="s">
        <v>2180</v>
      </c>
    </row>
    <row r="186" spans="1:10" ht="15.6" x14ac:dyDescent="0.25">
      <c r="A186" s="8" t="s">
        <v>2170</v>
      </c>
      <c r="B186" s="5" t="s">
        <v>2175</v>
      </c>
      <c r="C186" s="82" t="s">
        <v>9604</v>
      </c>
      <c r="D186" s="82" t="s">
        <v>9744</v>
      </c>
      <c r="H186" s="82"/>
      <c r="I186" s="82"/>
      <c r="J186" s="84"/>
    </row>
    <row r="187" spans="1:10" ht="15.6" x14ac:dyDescent="0.25">
      <c r="A187" s="8" t="s">
        <v>2170</v>
      </c>
      <c r="B187" s="5" t="s">
        <v>2175</v>
      </c>
      <c r="C187" s="82" t="s">
        <v>9987</v>
      </c>
      <c r="D187" s="82" t="s">
        <v>9914</v>
      </c>
      <c r="H187" s="82" t="s">
        <v>9915</v>
      </c>
      <c r="I187" s="84"/>
      <c r="J187" s="84"/>
    </row>
    <row r="188" spans="1:10" ht="15.6" x14ac:dyDescent="0.25">
      <c r="A188" s="8" t="s">
        <v>3462</v>
      </c>
      <c r="B188" s="5" t="s">
        <v>3467</v>
      </c>
      <c r="C188" s="82" t="s">
        <v>10003</v>
      </c>
      <c r="D188" s="82" t="s">
        <v>3471</v>
      </c>
      <c r="E188" s="79"/>
      <c r="H188" s="82" t="s">
        <v>9250</v>
      </c>
      <c r="I188" s="82" t="s">
        <v>9251</v>
      </c>
      <c r="J188" s="82" t="s">
        <v>3472</v>
      </c>
    </row>
    <row r="189" spans="1:10" ht="15.6" x14ac:dyDescent="0.25">
      <c r="A189" s="8" t="s">
        <v>3462</v>
      </c>
      <c r="B189" s="5" t="s">
        <v>3467</v>
      </c>
      <c r="C189" s="82" t="s">
        <v>9337</v>
      </c>
      <c r="D189" s="82" t="s">
        <v>9355</v>
      </c>
      <c r="H189" s="84"/>
      <c r="I189" s="84"/>
      <c r="J189" s="84"/>
    </row>
    <row r="190" spans="1:10" ht="15.6" x14ac:dyDescent="0.25">
      <c r="A190" s="8" t="s">
        <v>620</v>
      </c>
      <c r="B190" s="5" t="s">
        <v>624</v>
      </c>
      <c r="C190" s="82" t="s">
        <v>9383</v>
      </c>
      <c r="D190" s="82" t="s">
        <v>9593</v>
      </c>
      <c r="H190" s="84"/>
      <c r="I190" s="82" t="s">
        <v>9270</v>
      </c>
      <c r="J190" s="82" t="s">
        <v>9594</v>
      </c>
    </row>
    <row r="191" spans="1:10" ht="15.6" x14ac:dyDescent="0.25">
      <c r="A191" s="8" t="s">
        <v>620</v>
      </c>
      <c r="B191" s="5" t="s">
        <v>624</v>
      </c>
      <c r="C191" s="82" t="s">
        <v>9604</v>
      </c>
      <c r="D191" s="82" t="s">
        <v>9652</v>
      </c>
      <c r="H191" s="84"/>
      <c r="I191" s="82" t="s">
        <v>9270</v>
      </c>
      <c r="J191" s="82" t="s">
        <v>9594</v>
      </c>
    </row>
    <row r="192" spans="1:10" ht="15.6" x14ac:dyDescent="0.25">
      <c r="A192" s="8" t="s">
        <v>3335</v>
      </c>
      <c r="B192" s="5" t="s">
        <v>3340</v>
      </c>
      <c r="C192" s="82" t="s">
        <v>10002</v>
      </c>
      <c r="D192" s="82" t="s">
        <v>3343</v>
      </c>
      <c r="E192" s="79"/>
      <c r="H192" s="82" t="s">
        <v>9305</v>
      </c>
      <c r="I192" s="84"/>
      <c r="J192" s="82" t="s">
        <v>3344</v>
      </c>
    </row>
    <row r="193" spans="1:10" ht="15.6" x14ac:dyDescent="0.25">
      <c r="A193" s="8" t="s">
        <v>817</v>
      </c>
      <c r="B193" s="5" t="s">
        <v>825</v>
      </c>
      <c r="C193" s="82" t="s">
        <v>9383</v>
      </c>
      <c r="D193" s="82" t="s">
        <v>832</v>
      </c>
      <c r="H193" s="84"/>
      <c r="I193" s="84"/>
      <c r="J193" s="82" t="s">
        <v>833</v>
      </c>
    </row>
    <row r="194" spans="1:10" ht="15.6" x14ac:dyDescent="0.25">
      <c r="A194" s="8" t="s">
        <v>817</v>
      </c>
      <c r="B194" s="5" t="s">
        <v>825</v>
      </c>
      <c r="C194" s="82" t="s">
        <v>9604</v>
      </c>
      <c r="D194" s="82" t="s">
        <v>7072</v>
      </c>
      <c r="H194" s="84"/>
      <c r="I194" s="84"/>
      <c r="J194" s="82" t="s">
        <v>7073</v>
      </c>
    </row>
    <row r="195" spans="1:10" ht="15.6" x14ac:dyDescent="0.25">
      <c r="A195" s="8" t="s">
        <v>817</v>
      </c>
      <c r="B195" s="5" t="s">
        <v>825</v>
      </c>
      <c r="C195" s="82" t="s">
        <v>9978</v>
      </c>
      <c r="D195" s="82" t="s">
        <v>7070</v>
      </c>
      <c r="H195" s="84"/>
      <c r="I195" s="84"/>
      <c r="J195" s="82" t="s">
        <v>7071</v>
      </c>
    </row>
    <row r="196" spans="1:10" ht="15.6" x14ac:dyDescent="0.25">
      <c r="A196" s="8" t="s">
        <v>591</v>
      </c>
      <c r="B196" s="5" t="s">
        <v>595</v>
      </c>
      <c r="C196" s="82" t="s">
        <v>9604</v>
      </c>
      <c r="D196" s="82" t="s">
        <v>9611</v>
      </c>
      <c r="H196" s="84"/>
      <c r="I196" s="82"/>
      <c r="J196" s="82" t="s">
        <v>9612</v>
      </c>
    </row>
    <row r="197" spans="1:10" ht="15.6" x14ac:dyDescent="0.25">
      <c r="A197" s="8" t="s">
        <v>591</v>
      </c>
      <c r="B197" s="5" t="s">
        <v>595</v>
      </c>
      <c r="C197" s="82" t="s">
        <v>9987</v>
      </c>
      <c r="D197" s="82" t="s">
        <v>2706</v>
      </c>
      <c r="H197" s="82" t="s">
        <v>492</v>
      </c>
      <c r="I197" s="82" t="s">
        <v>733</v>
      </c>
      <c r="J197" s="82" t="s">
        <v>9993</v>
      </c>
    </row>
    <row r="198" spans="1:10" ht="15.6" x14ac:dyDescent="0.25">
      <c r="A198" s="8" t="s">
        <v>994</v>
      </c>
      <c r="B198" s="5" t="s">
        <v>1002</v>
      </c>
      <c r="C198" s="82" t="s">
        <v>9383</v>
      </c>
      <c r="D198" s="82" t="s">
        <v>9567</v>
      </c>
      <c r="H198" s="84"/>
      <c r="I198" s="84"/>
      <c r="J198" s="82" t="s">
        <v>9568</v>
      </c>
    </row>
    <row r="199" spans="1:10" ht="15.6" x14ac:dyDescent="0.25">
      <c r="A199" s="8" t="s">
        <v>994</v>
      </c>
      <c r="B199" s="5" t="s">
        <v>1002</v>
      </c>
      <c r="C199" s="82" t="s">
        <v>9604</v>
      </c>
      <c r="D199" s="82" t="s">
        <v>9653</v>
      </c>
      <c r="H199" s="84"/>
      <c r="I199" s="84"/>
      <c r="J199" s="82" t="s">
        <v>9654</v>
      </c>
    </row>
    <row r="200" spans="1:10" ht="15.6" x14ac:dyDescent="0.25">
      <c r="A200" s="8" t="s">
        <v>1534</v>
      </c>
      <c r="B200" s="5" t="s">
        <v>1539</v>
      </c>
      <c r="C200" s="82" t="s">
        <v>9383</v>
      </c>
      <c r="D200" s="82" t="s">
        <v>1543</v>
      </c>
      <c r="H200" s="84"/>
      <c r="I200" s="82" t="s">
        <v>9270</v>
      </c>
      <c r="J200" s="82" t="s">
        <v>1544</v>
      </c>
    </row>
    <row r="201" spans="1:10" ht="15.6" x14ac:dyDescent="0.25">
      <c r="A201" s="8" t="s">
        <v>1963</v>
      </c>
      <c r="B201" s="5" t="s">
        <v>1969</v>
      </c>
      <c r="C201" s="82" t="s">
        <v>9383</v>
      </c>
      <c r="D201" s="82" t="s">
        <v>9491</v>
      </c>
      <c r="H201" s="82" t="s">
        <v>9492</v>
      </c>
      <c r="I201" s="82" t="s">
        <v>9255</v>
      </c>
      <c r="J201" s="84"/>
    </row>
    <row r="202" spans="1:10" ht="15.6" x14ac:dyDescent="0.25">
      <c r="A202" s="8" t="s">
        <v>1963</v>
      </c>
      <c r="B202" s="5" t="s">
        <v>1969</v>
      </c>
      <c r="C202" s="82" t="s">
        <v>9604</v>
      </c>
      <c r="D202" s="82" t="s">
        <v>9737</v>
      </c>
      <c r="H202" s="82" t="s">
        <v>9738</v>
      </c>
      <c r="I202" s="82" t="s">
        <v>645</v>
      </c>
      <c r="J202" s="84"/>
    </row>
    <row r="203" spans="1:10" ht="15.6" x14ac:dyDescent="0.25">
      <c r="A203" s="8" t="s">
        <v>391</v>
      </c>
      <c r="B203" s="5" t="s">
        <v>401</v>
      </c>
      <c r="C203" s="82" t="s">
        <v>9383</v>
      </c>
      <c r="D203" s="82" t="s">
        <v>409</v>
      </c>
      <c r="I203" s="82" t="s">
        <v>9270</v>
      </c>
      <c r="J203" s="82" t="s">
        <v>7053</v>
      </c>
    </row>
    <row r="204" spans="1:10" ht="15.6" x14ac:dyDescent="0.25">
      <c r="A204" s="8" t="s">
        <v>391</v>
      </c>
      <c r="B204" s="5" t="s">
        <v>401</v>
      </c>
      <c r="C204" s="82" t="s">
        <v>9604</v>
      </c>
      <c r="D204" s="82" t="s">
        <v>7051</v>
      </c>
      <c r="I204" s="82" t="s">
        <v>9270</v>
      </c>
      <c r="J204" s="82" t="s">
        <v>7052</v>
      </c>
    </row>
    <row r="205" spans="1:10" ht="15.6" x14ac:dyDescent="0.25">
      <c r="A205" s="8" t="s">
        <v>626</v>
      </c>
      <c r="B205" s="5" t="s">
        <v>629</v>
      </c>
      <c r="C205" s="82" t="s">
        <v>9383</v>
      </c>
      <c r="D205" s="82" t="s">
        <v>9571</v>
      </c>
      <c r="H205" s="84"/>
      <c r="I205" s="82" t="s">
        <v>9270</v>
      </c>
      <c r="J205" s="82" t="s">
        <v>9572</v>
      </c>
    </row>
    <row r="206" spans="1:10" ht="15.6" x14ac:dyDescent="0.25">
      <c r="A206" s="8" t="s">
        <v>626</v>
      </c>
      <c r="B206" s="5" t="s">
        <v>629</v>
      </c>
      <c r="C206" s="82" t="s">
        <v>9604</v>
      </c>
      <c r="D206" s="82" t="s">
        <v>9650</v>
      </c>
      <c r="H206" s="84"/>
      <c r="I206" s="82" t="s">
        <v>9270</v>
      </c>
      <c r="J206" s="82" t="s">
        <v>9651</v>
      </c>
    </row>
    <row r="207" spans="1:10" ht="15.6" x14ac:dyDescent="0.25">
      <c r="A207" s="8" t="s">
        <v>614</v>
      </c>
      <c r="B207" s="5" t="s">
        <v>618</v>
      </c>
      <c r="C207" s="82" t="s">
        <v>9383</v>
      </c>
      <c r="D207" s="82" t="s">
        <v>9453</v>
      </c>
      <c r="H207" s="84"/>
      <c r="I207" s="82" t="s">
        <v>9270</v>
      </c>
      <c r="J207" s="82" t="s">
        <v>9454</v>
      </c>
    </row>
    <row r="208" spans="1:10" ht="15.6" x14ac:dyDescent="0.25">
      <c r="A208" s="8" t="s">
        <v>614</v>
      </c>
      <c r="B208" s="5" t="s">
        <v>618</v>
      </c>
      <c r="C208" s="82" t="s">
        <v>9604</v>
      </c>
      <c r="D208" s="82" t="s">
        <v>9785</v>
      </c>
      <c r="H208" s="84"/>
      <c r="I208" s="82" t="s">
        <v>9270</v>
      </c>
      <c r="J208" s="82" t="s">
        <v>9786</v>
      </c>
    </row>
    <row r="209" spans="1:10" ht="15.6" x14ac:dyDescent="0.25">
      <c r="A209" s="8" t="s">
        <v>940</v>
      </c>
      <c r="B209" s="5" t="s">
        <v>943</v>
      </c>
      <c r="C209" s="82" t="s">
        <v>9383</v>
      </c>
      <c r="D209" s="82" t="s">
        <v>9551</v>
      </c>
      <c r="H209" s="84"/>
      <c r="I209" s="82" t="s">
        <v>9270</v>
      </c>
      <c r="J209" s="82" t="s">
        <v>9552</v>
      </c>
    </row>
    <row r="210" spans="1:10" ht="15.6" x14ac:dyDescent="0.25">
      <c r="A210" s="8" t="s">
        <v>835</v>
      </c>
      <c r="B210" s="5" t="s">
        <v>846</v>
      </c>
      <c r="C210" s="82" t="s">
        <v>9383</v>
      </c>
      <c r="D210" s="82" t="s">
        <v>9427</v>
      </c>
      <c r="H210" s="82" t="s">
        <v>9428</v>
      </c>
      <c r="I210" s="84"/>
      <c r="J210" s="82" t="s">
        <v>7076</v>
      </c>
    </row>
    <row r="211" spans="1:10" ht="15.6" x14ac:dyDescent="0.25">
      <c r="A211" s="8" t="s">
        <v>835</v>
      </c>
      <c r="B211" s="5" t="s">
        <v>846</v>
      </c>
      <c r="C211" s="82" t="s">
        <v>9604</v>
      </c>
      <c r="D211" s="82" t="s">
        <v>7074</v>
      </c>
      <c r="I211" s="82" t="s">
        <v>9270</v>
      </c>
      <c r="J211" s="82" t="s">
        <v>7075</v>
      </c>
    </row>
    <row r="212" spans="1:10" ht="15.6" x14ac:dyDescent="0.25">
      <c r="A212" s="8" t="s">
        <v>1933</v>
      </c>
      <c r="B212" s="5" t="s">
        <v>1938</v>
      </c>
      <c r="C212" s="82" t="s">
        <v>9383</v>
      </c>
      <c r="D212" s="82" t="s">
        <v>9508</v>
      </c>
      <c r="H212" s="84"/>
      <c r="I212" s="84"/>
      <c r="J212" s="84"/>
    </row>
    <row r="213" spans="1:10" ht="15.6" x14ac:dyDescent="0.25">
      <c r="A213" s="8" t="s">
        <v>1933</v>
      </c>
      <c r="B213" s="5" t="s">
        <v>1938</v>
      </c>
      <c r="C213" s="82" t="s">
        <v>9604</v>
      </c>
      <c r="D213" s="82" t="s">
        <v>9722</v>
      </c>
      <c r="H213" s="84"/>
      <c r="I213" s="84"/>
      <c r="J213" s="84"/>
    </row>
    <row r="214" spans="1:10" ht="15.6" x14ac:dyDescent="0.25">
      <c r="A214" s="8" t="s">
        <v>1947</v>
      </c>
      <c r="B214" s="5" t="s">
        <v>1952</v>
      </c>
      <c r="C214" s="82" t="s">
        <v>9383</v>
      </c>
      <c r="D214" s="82" t="s">
        <v>9511</v>
      </c>
      <c r="H214" s="82" t="s">
        <v>9512</v>
      </c>
      <c r="I214" s="82" t="s">
        <v>9270</v>
      </c>
      <c r="J214" s="84"/>
    </row>
    <row r="215" spans="1:10" ht="15.6" x14ac:dyDescent="0.25">
      <c r="A215" s="8" t="s">
        <v>1947</v>
      </c>
      <c r="B215" s="5" t="s">
        <v>1952</v>
      </c>
      <c r="C215" s="82" t="s">
        <v>9604</v>
      </c>
      <c r="D215" s="82" t="s">
        <v>9718</v>
      </c>
      <c r="H215" s="82" t="s">
        <v>9719</v>
      </c>
      <c r="I215" s="82" t="s">
        <v>9312</v>
      </c>
      <c r="J215" s="84"/>
    </row>
    <row r="216" spans="1:10" ht="15.6" x14ac:dyDescent="0.25">
      <c r="A216" s="8" t="s">
        <v>351</v>
      </c>
      <c r="B216" s="5" t="s">
        <v>363</v>
      </c>
      <c r="C216" s="82" t="s">
        <v>9383</v>
      </c>
      <c r="D216" s="82" t="s">
        <v>9443</v>
      </c>
      <c r="H216" s="82"/>
      <c r="I216" s="84"/>
      <c r="J216" s="84"/>
    </row>
    <row r="217" spans="1:10" ht="15.6" x14ac:dyDescent="0.25">
      <c r="A217" s="8" t="s">
        <v>351</v>
      </c>
      <c r="B217" s="5" t="s">
        <v>363</v>
      </c>
      <c r="C217" s="82" t="s">
        <v>9604</v>
      </c>
      <c r="D217" s="82" t="s">
        <v>7048</v>
      </c>
      <c r="H217" s="82"/>
      <c r="I217" s="84"/>
      <c r="J217" s="82" t="s">
        <v>9807</v>
      </c>
    </row>
    <row r="218" spans="1:10" ht="15.6" x14ac:dyDescent="0.25">
      <c r="A218" s="8" t="s">
        <v>2601</v>
      </c>
      <c r="B218" s="5" t="s">
        <v>2605</v>
      </c>
      <c r="C218" s="82" t="s">
        <v>10003</v>
      </c>
      <c r="D218" s="82" t="s">
        <v>2608</v>
      </c>
      <c r="E218" s="79"/>
      <c r="H218" s="82" t="s">
        <v>242</v>
      </c>
      <c r="I218" s="82" t="s">
        <v>2024</v>
      </c>
      <c r="J218" s="82" t="s">
        <v>2609</v>
      </c>
    </row>
    <row r="219" spans="1:10" ht="15.6" x14ac:dyDescent="0.25">
      <c r="A219" s="8" t="s">
        <v>2601</v>
      </c>
      <c r="B219" s="5" t="s">
        <v>2605</v>
      </c>
      <c r="C219" s="82" t="s">
        <v>9383</v>
      </c>
      <c r="D219" s="82" t="s">
        <v>9403</v>
      </c>
      <c r="H219" s="84"/>
      <c r="I219" s="84"/>
      <c r="J219" s="82" t="s">
        <v>9404</v>
      </c>
    </row>
    <row r="220" spans="1:10" ht="15.6" x14ac:dyDescent="0.25">
      <c r="A220" s="8" t="s">
        <v>2601</v>
      </c>
      <c r="B220" s="5" t="s">
        <v>2605</v>
      </c>
      <c r="C220" s="82" t="s">
        <v>9604</v>
      </c>
      <c r="D220" s="82" t="s">
        <v>9857</v>
      </c>
      <c r="H220" s="84"/>
      <c r="I220" s="84"/>
      <c r="J220" s="82" t="s">
        <v>9858</v>
      </c>
    </row>
    <row r="221" spans="1:10" ht="15.6" x14ac:dyDescent="0.25">
      <c r="A221" s="8" t="s">
        <v>3318</v>
      </c>
      <c r="B221" s="5" t="s">
        <v>3321</v>
      </c>
      <c r="C221" s="82" t="s">
        <v>9383</v>
      </c>
      <c r="D221" s="82" t="s">
        <v>2844</v>
      </c>
      <c r="H221" s="82"/>
      <c r="I221" s="82" t="s">
        <v>9270</v>
      </c>
      <c r="J221" s="82" t="s">
        <v>3325</v>
      </c>
    </row>
    <row r="222" spans="1:10" ht="15.6" x14ac:dyDescent="0.25">
      <c r="A222" s="8" t="s">
        <v>3318</v>
      </c>
      <c r="B222" s="5" t="s">
        <v>3321</v>
      </c>
      <c r="C222" s="82" t="s">
        <v>9604</v>
      </c>
      <c r="D222" s="82" t="s">
        <v>9874</v>
      </c>
      <c r="H222" s="82"/>
      <c r="I222" s="82" t="s">
        <v>9270</v>
      </c>
      <c r="J222" s="82" t="s">
        <v>9879</v>
      </c>
    </row>
    <row r="223" spans="1:10" ht="15.6" x14ac:dyDescent="0.25">
      <c r="A223" s="8" t="s">
        <v>3318</v>
      </c>
      <c r="B223" s="5" t="s">
        <v>3321</v>
      </c>
      <c r="C223" s="82" t="s">
        <v>9987</v>
      </c>
      <c r="D223" s="82" t="s">
        <v>9897</v>
      </c>
      <c r="H223" s="84"/>
      <c r="I223" s="84"/>
      <c r="J223" s="82" t="s">
        <v>9898</v>
      </c>
    </row>
    <row r="224" spans="1:10" ht="15.6" x14ac:dyDescent="0.25">
      <c r="A224" s="8" t="s">
        <v>2231</v>
      </c>
      <c r="B224" s="5" t="s">
        <v>2235</v>
      </c>
      <c r="C224" s="82" t="s">
        <v>10002</v>
      </c>
      <c r="D224" s="82" t="s">
        <v>9291</v>
      </c>
      <c r="E224" s="79"/>
      <c r="H224" s="82" t="s">
        <v>9292</v>
      </c>
      <c r="I224" s="84"/>
      <c r="J224" s="84"/>
    </row>
    <row r="225" spans="1:10" ht="15.6" x14ac:dyDescent="0.25">
      <c r="A225" s="8" t="s">
        <v>2231</v>
      </c>
      <c r="B225" s="5" t="s">
        <v>2235</v>
      </c>
      <c r="C225" s="82" t="s">
        <v>9359</v>
      </c>
      <c r="D225" s="82" t="s">
        <v>9363</v>
      </c>
      <c r="H225" s="84"/>
      <c r="I225" s="84"/>
      <c r="J225" s="84"/>
    </row>
    <row r="226" spans="1:10" ht="15.6" x14ac:dyDescent="0.25">
      <c r="A226" s="8" t="s">
        <v>1736</v>
      </c>
      <c r="B226" s="5" t="s">
        <v>1742</v>
      </c>
      <c r="C226" s="82" t="s">
        <v>9383</v>
      </c>
      <c r="D226" s="82" t="s">
        <v>9504</v>
      </c>
      <c r="H226" s="82"/>
      <c r="I226" s="82" t="s">
        <v>9270</v>
      </c>
      <c r="J226" s="84"/>
    </row>
    <row r="227" spans="1:10" ht="15.6" x14ac:dyDescent="0.25">
      <c r="A227" s="8" t="s">
        <v>1736</v>
      </c>
      <c r="B227" s="5" t="s">
        <v>1742</v>
      </c>
      <c r="C227" s="82" t="s">
        <v>9604</v>
      </c>
      <c r="D227" s="82" t="s">
        <v>9726</v>
      </c>
      <c r="H227" s="82"/>
      <c r="I227" s="82" t="s">
        <v>9270</v>
      </c>
      <c r="J227" s="84"/>
    </row>
    <row r="228" spans="1:10" ht="15.6" x14ac:dyDescent="0.25">
      <c r="A228" s="8" t="s">
        <v>268</v>
      </c>
      <c r="B228" s="5" t="s">
        <v>280</v>
      </c>
      <c r="C228" s="82" t="s">
        <v>9383</v>
      </c>
      <c r="D228" s="82" t="s">
        <v>9434</v>
      </c>
      <c r="H228" s="82"/>
      <c r="I228" s="84"/>
      <c r="J228" s="84"/>
    </row>
    <row r="229" spans="1:10" ht="15.6" x14ac:dyDescent="0.25">
      <c r="A229" s="8" t="s">
        <v>268</v>
      </c>
      <c r="B229" s="5" t="s">
        <v>280</v>
      </c>
      <c r="C229" s="82" t="s">
        <v>9604</v>
      </c>
      <c r="D229" s="82" t="s">
        <v>289</v>
      </c>
      <c r="H229" s="82"/>
      <c r="I229" s="84"/>
      <c r="J229" s="84"/>
    </row>
    <row r="230" spans="1:10" ht="15.6" x14ac:dyDescent="0.25">
      <c r="A230" s="8" t="s">
        <v>2324</v>
      </c>
      <c r="B230" s="5" t="s">
        <v>2330</v>
      </c>
      <c r="C230" s="82" t="s">
        <v>9383</v>
      </c>
      <c r="D230" s="82" t="s">
        <v>9531</v>
      </c>
      <c r="I230" s="82" t="s">
        <v>9270</v>
      </c>
      <c r="J230" s="84"/>
    </row>
    <row r="231" spans="1:10" ht="15.6" x14ac:dyDescent="0.25">
      <c r="A231" s="8" t="s">
        <v>2324</v>
      </c>
      <c r="B231" s="5" t="s">
        <v>2330</v>
      </c>
      <c r="C231" s="82" t="s">
        <v>9604</v>
      </c>
      <c r="D231" s="82" t="s">
        <v>9694</v>
      </c>
      <c r="I231" s="82" t="s">
        <v>9270</v>
      </c>
      <c r="J231" s="84"/>
    </row>
    <row r="232" spans="1:10" ht="15.6" x14ac:dyDescent="0.25">
      <c r="A232" s="8" t="s">
        <v>2324</v>
      </c>
      <c r="B232" s="5" t="s">
        <v>2330</v>
      </c>
      <c r="C232" s="82" t="s">
        <v>9994</v>
      </c>
      <c r="D232" s="82" t="s">
        <v>9999</v>
      </c>
      <c r="I232" s="82" t="s">
        <v>9270</v>
      </c>
      <c r="J232" s="84"/>
    </row>
    <row r="233" spans="1:10" ht="15.6" x14ac:dyDescent="0.25">
      <c r="A233" s="8" t="s">
        <v>2424</v>
      </c>
      <c r="B233" s="5" t="s">
        <v>2428</v>
      </c>
      <c r="C233" s="82" t="s">
        <v>9383</v>
      </c>
      <c r="D233" s="82" t="s">
        <v>9534</v>
      </c>
      <c r="H233" s="84"/>
      <c r="I233" s="84"/>
      <c r="J233" s="84"/>
    </row>
    <row r="234" spans="1:10" ht="15.6" x14ac:dyDescent="0.25">
      <c r="A234" s="8" t="s">
        <v>2424</v>
      </c>
      <c r="B234" s="5" t="s">
        <v>2428</v>
      </c>
      <c r="C234" s="82" t="s">
        <v>9604</v>
      </c>
      <c r="D234" s="82" t="s">
        <v>9681</v>
      </c>
      <c r="H234" s="84"/>
      <c r="I234" s="84"/>
      <c r="J234" s="84"/>
    </row>
    <row r="235" spans="1:10" ht="15.6" x14ac:dyDescent="0.25">
      <c r="A235" s="8" t="s">
        <v>1218</v>
      </c>
      <c r="B235" s="5" t="s">
        <v>7043</v>
      </c>
      <c r="C235" s="82" t="s">
        <v>9383</v>
      </c>
      <c r="D235" s="82" t="s">
        <v>2993</v>
      </c>
      <c r="H235" s="82" t="s">
        <v>9435</v>
      </c>
      <c r="I235" s="82" t="s">
        <v>9270</v>
      </c>
      <c r="J235" s="82" t="s">
        <v>2994</v>
      </c>
    </row>
    <row r="236" spans="1:10" ht="15.6" x14ac:dyDescent="0.25">
      <c r="A236" s="8" t="s">
        <v>1218</v>
      </c>
      <c r="B236" s="5" t="s">
        <v>7043</v>
      </c>
      <c r="C236" s="82" t="s">
        <v>9604</v>
      </c>
      <c r="D236" s="82" t="s">
        <v>9816</v>
      </c>
      <c r="H236" s="84"/>
      <c r="I236" s="82" t="s">
        <v>9270</v>
      </c>
      <c r="J236" s="82" t="s">
        <v>9817</v>
      </c>
    </row>
    <row r="237" spans="1:10" ht="15.6" x14ac:dyDescent="0.25">
      <c r="A237" s="8" t="s">
        <v>1218</v>
      </c>
      <c r="B237" s="5" t="s">
        <v>7043</v>
      </c>
      <c r="C237" s="82" t="s">
        <v>9987</v>
      </c>
      <c r="D237" s="82" t="s">
        <v>9905</v>
      </c>
      <c r="H237" s="84"/>
      <c r="I237" s="82" t="s">
        <v>9281</v>
      </c>
      <c r="J237" s="84"/>
    </row>
    <row r="238" spans="1:10" ht="17.399999999999999" x14ac:dyDescent="0.25">
      <c r="A238" s="78" t="s">
        <v>7041</v>
      </c>
      <c r="B238" s="5" t="s">
        <v>7042</v>
      </c>
      <c r="C238" s="82" t="s">
        <v>9383</v>
      </c>
      <c r="D238" s="82" t="s">
        <v>9573</v>
      </c>
      <c r="H238" s="82"/>
      <c r="I238" s="84"/>
      <c r="J238" s="82" t="s">
        <v>9574</v>
      </c>
    </row>
    <row r="239" spans="1:10" ht="17.399999999999999" x14ac:dyDescent="0.25">
      <c r="A239" s="78" t="s">
        <v>7041</v>
      </c>
      <c r="B239" s="5" t="s">
        <v>7042</v>
      </c>
      <c r="C239" s="82" t="s">
        <v>9604</v>
      </c>
      <c r="D239" s="82" t="s">
        <v>1226</v>
      </c>
      <c r="H239" s="82"/>
      <c r="I239" s="84"/>
      <c r="J239" s="82" t="s">
        <v>1227</v>
      </c>
    </row>
    <row r="240" spans="1:10" ht="15.6" x14ac:dyDescent="0.25">
      <c r="A240" s="8" t="s">
        <v>895</v>
      </c>
      <c r="B240" s="5" t="s">
        <v>899</v>
      </c>
      <c r="C240" s="82" t="s">
        <v>9383</v>
      </c>
      <c r="D240" s="82" t="s">
        <v>9548</v>
      </c>
      <c r="H240" s="82" t="s">
        <v>9549</v>
      </c>
      <c r="I240" s="82" t="s">
        <v>9251</v>
      </c>
      <c r="J240" s="82" t="s">
        <v>9550</v>
      </c>
    </row>
    <row r="241" spans="1:10" ht="15.6" x14ac:dyDescent="0.25">
      <c r="A241" s="8" t="s">
        <v>895</v>
      </c>
      <c r="B241" s="5" t="s">
        <v>899</v>
      </c>
      <c r="C241" s="82" t="s">
        <v>9604</v>
      </c>
      <c r="D241" s="82" t="s">
        <v>9638</v>
      </c>
      <c r="H241" s="82" t="s">
        <v>9639</v>
      </c>
      <c r="I241" s="82" t="s">
        <v>9251</v>
      </c>
      <c r="J241" s="82" t="s">
        <v>9640</v>
      </c>
    </row>
    <row r="242" spans="1:10" ht="15.6" x14ac:dyDescent="0.25">
      <c r="A242" s="8" t="s">
        <v>2202</v>
      </c>
      <c r="B242" s="5" t="s">
        <v>2208</v>
      </c>
      <c r="C242" s="82" t="s">
        <v>9383</v>
      </c>
      <c r="D242" s="82" t="s">
        <v>9519</v>
      </c>
      <c r="H242" s="82" t="s">
        <v>9520</v>
      </c>
      <c r="I242" s="82" t="s">
        <v>9285</v>
      </c>
      <c r="J242" s="84"/>
    </row>
    <row r="243" spans="1:10" ht="15.6" x14ac:dyDescent="0.25">
      <c r="A243" s="8" t="s">
        <v>2202</v>
      </c>
      <c r="B243" s="5" t="s">
        <v>2208</v>
      </c>
      <c r="C243" s="82" t="s">
        <v>9604</v>
      </c>
      <c r="D243" s="82" t="s">
        <v>9701</v>
      </c>
      <c r="H243" s="82" t="s">
        <v>9702</v>
      </c>
      <c r="I243" s="84"/>
      <c r="J243" s="84"/>
    </row>
    <row r="244" spans="1:10" ht="15.6" x14ac:dyDescent="0.25">
      <c r="A244" s="8" t="s">
        <v>2202</v>
      </c>
      <c r="B244" s="5" t="s">
        <v>2208</v>
      </c>
      <c r="C244" s="82" t="s">
        <v>9987</v>
      </c>
      <c r="D244" s="82" t="s">
        <v>2213</v>
      </c>
      <c r="H244" s="84"/>
      <c r="I244" s="84"/>
      <c r="J244" s="82" t="s">
        <v>2214</v>
      </c>
    </row>
    <row r="245" spans="1:10" ht="15.6" x14ac:dyDescent="0.25">
      <c r="A245" s="8" t="s">
        <v>3185</v>
      </c>
      <c r="B245" s="5" t="s">
        <v>3188</v>
      </c>
      <c r="C245" s="82" t="s">
        <v>10002</v>
      </c>
      <c r="D245" s="82" t="s">
        <v>3193</v>
      </c>
      <c r="H245" s="84"/>
      <c r="I245" s="84"/>
      <c r="J245" s="82" t="s">
        <v>3194</v>
      </c>
    </row>
    <row r="246" spans="1:10" ht="15.6" x14ac:dyDescent="0.25">
      <c r="A246" s="8" t="s">
        <v>3185</v>
      </c>
      <c r="B246" s="5" t="s">
        <v>3188</v>
      </c>
      <c r="C246" s="82" t="s">
        <v>9337</v>
      </c>
      <c r="D246" s="82" t="s">
        <v>9348</v>
      </c>
      <c r="H246" s="84"/>
      <c r="I246" s="84"/>
      <c r="J246" s="84"/>
    </row>
    <row r="247" spans="1:10" ht="15.6" x14ac:dyDescent="0.25">
      <c r="A247" s="8" t="s">
        <v>3185</v>
      </c>
      <c r="B247" s="5" t="s">
        <v>3188</v>
      </c>
      <c r="C247" s="82" t="s">
        <v>9383</v>
      </c>
      <c r="D247" s="82" t="s">
        <v>9386</v>
      </c>
      <c r="H247" s="84"/>
      <c r="I247" s="84"/>
      <c r="J247" s="84"/>
    </row>
    <row r="248" spans="1:10" ht="15.6" x14ac:dyDescent="0.25">
      <c r="A248" s="8" t="s">
        <v>3185</v>
      </c>
      <c r="B248" s="5" t="s">
        <v>3188</v>
      </c>
      <c r="C248" s="82" t="s">
        <v>9604</v>
      </c>
      <c r="D248" s="82" t="s">
        <v>9880</v>
      </c>
      <c r="H248" s="84"/>
      <c r="I248" s="84"/>
      <c r="J248" s="84"/>
    </row>
    <row r="249" spans="1:10" ht="15.6" x14ac:dyDescent="0.25">
      <c r="A249" s="8" t="s">
        <v>1664</v>
      </c>
      <c r="B249" s="5" t="s">
        <v>1669</v>
      </c>
      <c r="C249" s="82" t="s">
        <v>10003</v>
      </c>
      <c r="D249" s="82" t="s">
        <v>1675</v>
      </c>
      <c r="E249" s="79"/>
      <c r="H249" s="82" t="s">
        <v>9260</v>
      </c>
      <c r="I249" s="82" t="s">
        <v>9261</v>
      </c>
      <c r="J249" s="82" t="s">
        <v>1676</v>
      </c>
    </row>
    <row r="250" spans="1:10" ht="15.6" x14ac:dyDescent="0.25">
      <c r="A250" s="8" t="s">
        <v>1071</v>
      </c>
      <c r="B250" s="5" t="s">
        <v>1079</v>
      </c>
      <c r="C250" s="82" t="s">
        <v>9383</v>
      </c>
      <c r="D250" s="82" t="s">
        <v>7086</v>
      </c>
      <c r="H250" s="82"/>
      <c r="I250" s="84"/>
      <c r="J250" s="82" t="s">
        <v>7087</v>
      </c>
    </row>
    <row r="251" spans="1:10" ht="15.6" x14ac:dyDescent="0.25">
      <c r="A251" s="8" t="s">
        <v>1071</v>
      </c>
      <c r="B251" s="5" t="s">
        <v>1079</v>
      </c>
      <c r="C251" s="82" t="s">
        <v>9604</v>
      </c>
      <c r="D251" s="82" t="s">
        <v>1087</v>
      </c>
      <c r="H251" s="82"/>
      <c r="I251" s="84"/>
      <c r="J251" s="82" t="s">
        <v>1088</v>
      </c>
    </row>
    <row r="252" spans="1:10" ht="15.6" x14ac:dyDescent="0.25">
      <c r="A252" s="8" t="s">
        <v>2302</v>
      </c>
      <c r="B252" s="5" t="s">
        <v>2308</v>
      </c>
      <c r="C252" s="82" t="s">
        <v>10002</v>
      </c>
      <c r="D252" s="82" t="s">
        <v>2310</v>
      </c>
      <c r="E252" s="79"/>
      <c r="H252" s="84"/>
      <c r="I252" s="84"/>
      <c r="J252" s="82" t="s">
        <v>2311</v>
      </c>
    </row>
    <row r="253" spans="1:10" ht="15.6" x14ac:dyDescent="0.25">
      <c r="A253" s="8" t="s">
        <v>2302</v>
      </c>
      <c r="B253" s="5" t="s">
        <v>2308</v>
      </c>
      <c r="C253" s="82" t="s">
        <v>9383</v>
      </c>
      <c r="D253" s="82" t="s">
        <v>9515</v>
      </c>
      <c r="H253" s="84"/>
      <c r="I253" s="84"/>
      <c r="J253" s="82" t="s">
        <v>9516</v>
      </c>
    </row>
    <row r="254" spans="1:10" ht="15.6" x14ac:dyDescent="0.25">
      <c r="A254" s="8" t="s">
        <v>2302</v>
      </c>
      <c r="B254" s="5" t="s">
        <v>2308</v>
      </c>
      <c r="C254" s="82" t="s">
        <v>9604</v>
      </c>
      <c r="D254" s="82" t="s">
        <v>9710</v>
      </c>
      <c r="H254" s="84"/>
      <c r="I254" s="84"/>
      <c r="J254" s="82" t="s">
        <v>9711</v>
      </c>
    </row>
    <row r="255" spans="1:10" ht="15.6" x14ac:dyDescent="0.25">
      <c r="A255" s="8" t="s">
        <v>2302</v>
      </c>
      <c r="B255" s="5" t="s">
        <v>2308</v>
      </c>
      <c r="C255" s="82" t="s">
        <v>9994</v>
      </c>
      <c r="D255" s="82" t="s">
        <v>9995</v>
      </c>
      <c r="H255" s="84"/>
      <c r="I255" s="84"/>
      <c r="J255" s="82" t="s">
        <v>9996</v>
      </c>
    </row>
    <row r="256" spans="1:10" ht="15.6" x14ac:dyDescent="0.25">
      <c r="A256" s="8" t="s">
        <v>2610</v>
      </c>
      <c r="B256" s="5" t="s">
        <v>2615</v>
      </c>
      <c r="C256" s="82" t="s">
        <v>9383</v>
      </c>
      <c r="D256" s="82" t="s">
        <v>2618</v>
      </c>
      <c r="H256" s="84"/>
      <c r="I256" s="82" t="s">
        <v>9270</v>
      </c>
      <c r="J256" s="82" t="s">
        <v>2619</v>
      </c>
    </row>
    <row r="257" spans="1:10" ht="15.6" x14ac:dyDescent="0.25">
      <c r="A257" s="8" t="s">
        <v>2610</v>
      </c>
      <c r="B257" s="5" t="s">
        <v>2615</v>
      </c>
      <c r="C257" s="82" t="s">
        <v>9604</v>
      </c>
      <c r="D257" s="82" t="s">
        <v>9861</v>
      </c>
      <c r="H257" s="84"/>
      <c r="I257" s="82" t="s">
        <v>9270</v>
      </c>
      <c r="J257" s="82" t="s">
        <v>9862</v>
      </c>
    </row>
    <row r="258" spans="1:10" ht="15.6" x14ac:dyDescent="0.25">
      <c r="A258" s="8" t="s">
        <v>2610</v>
      </c>
      <c r="B258" s="5" t="s">
        <v>2615</v>
      </c>
      <c r="C258" s="82" t="s">
        <v>9994</v>
      </c>
      <c r="D258" s="82" t="s">
        <v>9948</v>
      </c>
      <c r="H258" s="84"/>
      <c r="I258" s="84"/>
      <c r="J258" s="84"/>
    </row>
    <row r="259" spans="1:10" ht="15.6" x14ac:dyDescent="0.25">
      <c r="A259" s="8" t="s">
        <v>2528</v>
      </c>
      <c r="B259" s="5" t="s">
        <v>2533</v>
      </c>
      <c r="C259" s="82" t="s">
        <v>9383</v>
      </c>
      <c r="D259" s="82" t="s">
        <v>9535</v>
      </c>
      <c r="I259" s="82" t="s">
        <v>9270</v>
      </c>
      <c r="J259" s="84"/>
    </row>
    <row r="260" spans="1:10" ht="15.6" x14ac:dyDescent="0.25">
      <c r="A260" s="8" t="s">
        <v>2528</v>
      </c>
      <c r="B260" s="5" t="s">
        <v>2533</v>
      </c>
      <c r="C260" s="82" t="s">
        <v>9604</v>
      </c>
      <c r="D260" s="82" t="s">
        <v>9635</v>
      </c>
      <c r="I260" s="82" t="s">
        <v>9270</v>
      </c>
      <c r="J260" s="84"/>
    </row>
    <row r="261" spans="1:10" ht="15.6" x14ac:dyDescent="0.25">
      <c r="A261" s="8" t="s">
        <v>2528</v>
      </c>
      <c r="B261" s="5" t="s">
        <v>2533</v>
      </c>
      <c r="C261" s="82" t="s">
        <v>9994</v>
      </c>
      <c r="D261" s="82" t="s">
        <v>9921</v>
      </c>
      <c r="H261" s="82"/>
      <c r="I261" s="84"/>
      <c r="J261" s="84"/>
    </row>
    <row r="262" spans="1:10" ht="15.6" x14ac:dyDescent="0.25">
      <c r="A262" s="8" t="s">
        <v>3245</v>
      </c>
      <c r="B262" s="5" t="s">
        <v>3249</v>
      </c>
      <c r="C262" s="82" t="s">
        <v>10002</v>
      </c>
      <c r="D262" s="82" t="s">
        <v>3253</v>
      </c>
      <c r="H262" s="82" t="s">
        <v>9311</v>
      </c>
      <c r="I262" s="82" t="s">
        <v>9312</v>
      </c>
      <c r="J262" s="82" t="s">
        <v>3254</v>
      </c>
    </row>
    <row r="263" spans="1:10" ht="15.6" x14ac:dyDescent="0.25">
      <c r="A263" s="8" t="s">
        <v>3245</v>
      </c>
      <c r="B263" s="5" t="s">
        <v>3249</v>
      </c>
      <c r="C263" s="82" t="s">
        <v>9337</v>
      </c>
      <c r="D263" s="82" t="s">
        <v>9354</v>
      </c>
      <c r="H263" s="82"/>
      <c r="I263" s="84"/>
      <c r="J263" s="84"/>
    </row>
    <row r="264" spans="1:10" ht="15.6" x14ac:dyDescent="0.25">
      <c r="A264" s="8" t="s">
        <v>1244</v>
      </c>
      <c r="B264" s="5" t="s">
        <v>1250</v>
      </c>
      <c r="C264" s="82" t="s">
        <v>10002</v>
      </c>
      <c r="D264" s="82" t="s">
        <v>1257</v>
      </c>
      <c r="H264" s="82"/>
      <c r="I264" s="84"/>
      <c r="J264" s="82" t="s">
        <v>1258</v>
      </c>
    </row>
    <row r="265" spans="1:10" ht="15.6" x14ac:dyDescent="0.25">
      <c r="A265" s="8" t="s">
        <v>2582</v>
      </c>
      <c r="B265" s="5" t="s">
        <v>2586</v>
      </c>
      <c r="C265" s="82" t="s">
        <v>10002</v>
      </c>
      <c r="D265" s="82" t="s">
        <v>2587</v>
      </c>
      <c r="E265" s="79"/>
      <c r="H265" s="84"/>
      <c r="I265" s="84"/>
      <c r="J265" s="82" t="s">
        <v>2588</v>
      </c>
    </row>
    <row r="266" spans="1:10" ht="15.6" x14ac:dyDescent="0.25">
      <c r="A266" s="8" t="s">
        <v>2582</v>
      </c>
      <c r="B266" s="5" t="s">
        <v>2586</v>
      </c>
      <c r="C266" s="82" t="s">
        <v>9337</v>
      </c>
      <c r="D266" s="82" t="s">
        <v>9341</v>
      </c>
      <c r="H266" s="84"/>
      <c r="I266" s="84"/>
      <c r="J266" s="84"/>
    </row>
    <row r="267" spans="1:10" ht="15.6" x14ac:dyDescent="0.25">
      <c r="A267" s="8" t="s">
        <v>3452</v>
      </c>
      <c r="B267" s="5" t="s">
        <v>3456</v>
      </c>
      <c r="C267" s="82" t="s">
        <v>10002</v>
      </c>
      <c r="D267" s="82" t="s">
        <v>3460</v>
      </c>
      <c r="H267" s="82" t="s">
        <v>9324</v>
      </c>
      <c r="I267" s="82" t="s">
        <v>9325</v>
      </c>
      <c r="J267" s="82" t="s">
        <v>3461</v>
      </c>
    </row>
    <row r="268" spans="1:10" ht="15.6" x14ac:dyDescent="0.25">
      <c r="A268" s="8" t="s">
        <v>1641</v>
      </c>
      <c r="B268" s="5" t="s">
        <v>1644</v>
      </c>
      <c r="C268" s="82" t="s">
        <v>9383</v>
      </c>
      <c r="D268" s="82" t="s">
        <v>9474</v>
      </c>
      <c r="H268" s="82"/>
      <c r="I268" s="84"/>
      <c r="J268" s="84"/>
    </row>
    <row r="269" spans="1:10" ht="15.6" x14ac:dyDescent="0.25">
      <c r="A269" s="8" t="s">
        <v>1641</v>
      </c>
      <c r="B269" s="5" t="s">
        <v>1644</v>
      </c>
      <c r="C269" s="82" t="s">
        <v>9604</v>
      </c>
      <c r="D269" s="82" t="s">
        <v>9764</v>
      </c>
      <c r="H269" s="82"/>
      <c r="I269" s="84"/>
      <c r="J269" s="84"/>
    </row>
    <row r="270" spans="1:10" ht="15.6" x14ac:dyDescent="0.25">
      <c r="A270" s="8" t="s">
        <v>2106</v>
      </c>
      <c r="B270" s="5" t="s">
        <v>2113</v>
      </c>
      <c r="C270" s="82" t="s">
        <v>9383</v>
      </c>
      <c r="D270" s="82" t="s">
        <v>2115</v>
      </c>
      <c r="H270" s="82"/>
      <c r="I270" s="84"/>
      <c r="J270" s="82" t="s">
        <v>2116</v>
      </c>
    </row>
    <row r="271" spans="1:10" ht="15.6" x14ac:dyDescent="0.25">
      <c r="A271" s="8" t="s">
        <v>2106</v>
      </c>
      <c r="B271" s="5" t="s">
        <v>2113</v>
      </c>
      <c r="C271" s="82" t="s">
        <v>9604</v>
      </c>
      <c r="D271" s="82" t="s">
        <v>9739</v>
      </c>
      <c r="H271" s="82"/>
      <c r="I271" s="84"/>
      <c r="J271" s="82" t="s">
        <v>9740</v>
      </c>
    </row>
    <row r="272" spans="1:10" ht="15.6" x14ac:dyDescent="0.25">
      <c r="A272" s="8" t="s">
        <v>3202</v>
      </c>
      <c r="B272" s="5" t="s">
        <v>3205</v>
      </c>
      <c r="C272" s="82" t="s">
        <v>10002</v>
      </c>
      <c r="D272" s="82" t="s">
        <v>9322</v>
      </c>
      <c r="H272" s="84"/>
      <c r="I272" s="84"/>
      <c r="J272" s="84"/>
    </row>
    <row r="273" spans="1:10" ht="15.6" x14ac:dyDescent="0.25">
      <c r="A273" s="8" t="s">
        <v>3572</v>
      </c>
      <c r="B273" s="5" t="s">
        <v>3577</v>
      </c>
      <c r="C273" s="82" t="s">
        <v>10003</v>
      </c>
      <c r="D273" s="82" t="s">
        <v>3579</v>
      </c>
      <c r="E273" s="79"/>
      <c r="H273" s="82" t="s">
        <v>9247</v>
      </c>
      <c r="I273" s="82" t="s">
        <v>9248</v>
      </c>
      <c r="J273" s="82" t="s">
        <v>3580</v>
      </c>
    </row>
    <row r="274" spans="1:10" ht="15.6" x14ac:dyDescent="0.25">
      <c r="A274" s="8" t="s">
        <v>2846</v>
      </c>
      <c r="B274" s="5" t="s">
        <v>2850</v>
      </c>
      <c r="C274" s="82" t="s">
        <v>10002</v>
      </c>
      <c r="D274" s="82" t="s">
        <v>9277</v>
      </c>
      <c r="E274" s="79"/>
      <c r="H274" s="82" t="s">
        <v>9278</v>
      </c>
      <c r="I274" s="82" t="s">
        <v>9279</v>
      </c>
      <c r="J274" s="84"/>
    </row>
    <row r="275" spans="1:10" ht="15.6" x14ac:dyDescent="0.25">
      <c r="A275" s="8" t="s">
        <v>2846</v>
      </c>
      <c r="B275" s="5" t="s">
        <v>2850</v>
      </c>
      <c r="C275" s="82" t="s">
        <v>9337</v>
      </c>
      <c r="D275" s="82" t="s">
        <v>9336</v>
      </c>
      <c r="H275" s="82"/>
      <c r="I275" s="84"/>
      <c r="J275" s="84"/>
    </row>
    <row r="276" spans="1:10" ht="15.6" x14ac:dyDescent="0.25">
      <c r="A276" s="8" t="s">
        <v>1468</v>
      </c>
      <c r="B276" s="5" t="s">
        <v>1473</v>
      </c>
      <c r="C276" s="82" t="s">
        <v>9383</v>
      </c>
      <c r="D276" s="82" t="s">
        <v>1476</v>
      </c>
      <c r="H276" s="84"/>
      <c r="I276" s="82" t="s">
        <v>9270</v>
      </c>
      <c r="J276" s="82" t="s">
        <v>1477</v>
      </c>
    </row>
    <row r="277" spans="1:10" ht="15.6" x14ac:dyDescent="0.25">
      <c r="A277" s="8" t="s">
        <v>2294</v>
      </c>
      <c r="B277" s="5" t="s">
        <v>2298</v>
      </c>
      <c r="C277" s="82" t="s">
        <v>9383</v>
      </c>
      <c r="D277" s="82" t="s">
        <v>9525</v>
      </c>
      <c r="H277" s="84"/>
      <c r="I277" s="84"/>
      <c r="J277" s="84"/>
    </row>
    <row r="278" spans="1:10" ht="15.6" x14ac:dyDescent="0.25">
      <c r="A278" s="8" t="s">
        <v>2294</v>
      </c>
      <c r="B278" s="5" t="s">
        <v>2298</v>
      </c>
      <c r="C278" s="82" t="s">
        <v>9604</v>
      </c>
      <c r="D278" s="82" t="s">
        <v>9712</v>
      </c>
      <c r="H278" s="84"/>
      <c r="I278" s="84"/>
      <c r="J278" s="84"/>
    </row>
    <row r="279" spans="1:10" ht="15.6" x14ac:dyDescent="0.25">
      <c r="A279" s="8" t="s">
        <v>2742</v>
      </c>
      <c r="B279" s="5" t="s">
        <v>2746</v>
      </c>
      <c r="C279" s="82" t="s">
        <v>9383</v>
      </c>
      <c r="D279" s="82" t="s">
        <v>2748</v>
      </c>
      <c r="H279" s="84"/>
      <c r="I279" s="84"/>
      <c r="J279" s="82" t="s">
        <v>2749</v>
      </c>
    </row>
    <row r="280" spans="1:10" ht="15.6" x14ac:dyDescent="0.25">
      <c r="A280" s="8" t="s">
        <v>2742</v>
      </c>
      <c r="B280" s="5" t="s">
        <v>2746</v>
      </c>
      <c r="C280" s="82" t="s">
        <v>9987</v>
      </c>
      <c r="D280" s="82" t="s">
        <v>9890</v>
      </c>
      <c r="H280" s="84"/>
      <c r="I280" s="84"/>
      <c r="J280" s="82" t="s">
        <v>9891</v>
      </c>
    </row>
    <row r="281" spans="1:10" ht="15.6" x14ac:dyDescent="0.25">
      <c r="A281" s="8" t="s">
        <v>2915</v>
      </c>
      <c r="B281" s="5" t="s">
        <v>2921</v>
      </c>
      <c r="C281" s="82" t="s">
        <v>9888</v>
      </c>
      <c r="D281" s="82" t="s">
        <v>2924</v>
      </c>
      <c r="H281" s="84"/>
      <c r="I281" s="84"/>
      <c r="J281" s="82" t="s">
        <v>2925</v>
      </c>
    </row>
    <row r="282" spans="1:10" ht="15.6" x14ac:dyDescent="0.25">
      <c r="A282" s="8" t="s">
        <v>2718</v>
      </c>
      <c r="B282" s="5" t="s">
        <v>2722</v>
      </c>
      <c r="C282" s="82" t="s">
        <v>9383</v>
      </c>
      <c r="D282" s="82" t="s">
        <v>2725</v>
      </c>
      <c r="H282" s="84"/>
      <c r="I282" s="84"/>
      <c r="J282" s="82" t="s">
        <v>2726</v>
      </c>
    </row>
    <row r="283" spans="1:10" ht="15.6" x14ac:dyDescent="0.25">
      <c r="A283" s="8" t="s">
        <v>2718</v>
      </c>
      <c r="B283" s="5" t="s">
        <v>2722</v>
      </c>
      <c r="C283" s="82" t="s">
        <v>9604</v>
      </c>
      <c r="D283" s="82" t="s">
        <v>9848</v>
      </c>
      <c r="H283" s="84"/>
      <c r="I283" s="84"/>
      <c r="J283" s="82" t="s">
        <v>9849</v>
      </c>
    </row>
    <row r="284" spans="1:10" ht="15.6" x14ac:dyDescent="0.25">
      <c r="A284" s="8" t="s">
        <v>2718</v>
      </c>
      <c r="B284" s="5" t="s">
        <v>2722</v>
      </c>
      <c r="C284" s="82" t="s">
        <v>9994</v>
      </c>
      <c r="D284" s="82" t="s">
        <v>9944</v>
      </c>
      <c r="H284" s="84"/>
      <c r="I284" s="84"/>
      <c r="J284" s="84"/>
    </row>
    <row r="285" spans="1:10" ht="15.6" x14ac:dyDescent="0.25">
      <c r="A285" s="8" t="s">
        <v>3544</v>
      </c>
      <c r="B285" s="5" t="s">
        <v>3548</v>
      </c>
      <c r="C285" s="82" t="s">
        <v>10003</v>
      </c>
      <c r="D285" s="82" t="s">
        <v>3550</v>
      </c>
      <c r="E285" s="79"/>
      <c r="H285" s="82" t="s">
        <v>9249</v>
      </c>
      <c r="I285" s="84"/>
      <c r="J285" s="82" t="s">
        <v>3551</v>
      </c>
    </row>
    <row r="286" spans="1:10" ht="15.6" x14ac:dyDescent="0.25">
      <c r="A286" s="8" t="s">
        <v>1272</v>
      </c>
      <c r="B286" s="5" t="s">
        <v>1276</v>
      </c>
      <c r="C286" s="82" t="s">
        <v>9383</v>
      </c>
      <c r="D286" s="82" t="s">
        <v>9590</v>
      </c>
      <c r="H286" s="84"/>
      <c r="I286" s="82" t="s">
        <v>9270</v>
      </c>
      <c r="J286" s="82" t="s">
        <v>9591</v>
      </c>
    </row>
    <row r="287" spans="1:10" ht="15.6" x14ac:dyDescent="0.25">
      <c r="A287" s="8" t="s">
        <v>1272</v>
      </c>
      <c r="B287" s="5" t="s">
        <v>1276</v>
      </c>
      <c r="C287" s="82" t="s">
        <v>9604</v>
      </c>
      <c r="D287" s="82" t="s">
        <v>1279</v>
      </c>
      <c r="H287" s="84"/>
      <c r="I287" s="82" t="s">
        <v>9270</v>
      </c>
      <c r="J287" s="82" t="s">
        <v>1280</v>
      </c>
    </row>
    <row r="288" spans="1:10" ht="15.6" x14ac:dyDescent="0.25">
      <c r="A288" s="8" t="s">
        <v>3562</v>
      </c>
      <c r="B288" s="5" t="s">
        <v>3566</v>
      </c>
      <c r="C288" s="82" t="s">
        <v>10002</v>
      </c>
      <c r="D288" s="82" t="s">
        <v>3570</v>
      </c>
      <c r="E288" s="79"/>
      <c r="H288" s="84"/>
      <c r="I288" s="84"/>
      <c r="J288" s="82" t="s">
        <v>3571</v>
      </c>
    </row>
    <row r="289" spans="1:10" ht="15.6" x14ac:dyDescent="0.25">
      <c r="A289" s="8" t="s">
        <v>3562</v>
      </c>
      <c r="B289" s="5" t="s">
        <v>3566</v>
      </c>
      <c r="C289" s="82" t="s">
        <v>9337</v>
      </c>
      <c r="D289" s="82" t="s">
        <v>9340</v>
      </c>
      <c r="H289" s="84"/>
      <c r="I289" s="84"/>
      <c r="J289" s="84"/>
    </row>
    <row r="290" spans="1:10" ht="15.6" x14ac:dyDescent="0.25">
      <c r="A290" s="8" t="s">
        <v>3380</v>
      </c>
      <c r="B290" s="5" t="s">
        <v>3384</v>
      </c>
      <c r="C290" s="82" t="s">
        <v>10002</v>
      </c>
      <c r="D290" s="82" t="s">
        <v>3385</v>
      </c>
      <c r="H290" s="84"/>
      <c r="I290" s="84"/>
      <c r="J290" s="82" t="s">
        <v>3386</v>
      </c>
    </row>
    <row r="291" spans="1:10" ht="15.6" x14ac:dyDescent="0.25">
      <c r="A291" s="8" t="s">
        <v>3380</v>
      </c>
      <c r="B291" s="5" t="s">
        <v>3384</v>
      </c>
      <c r="C291" s="82" t="s">
        <v>9359</v>
      </c>
      <c r="D291" s="82" t="s">
        <v>9379</v>
      </c>
      <c r="H291" s="84"/>
      <c r="I291" s="84"/>
      <c r="J291" s="84"/>
    </row>
    <row r="292" spans="1:10" ht="15.6" x14ac:dyDescent="0.25">
      <c r="A292" s="8" t="s">
        <v>1415</v>
      </c>
      <c r="B292" s="5" t="s">
        <v>1421</v>
      </c>
      <c r="C292" s="82" t="s">
        <v>9383</v>
      </c>
      <c r="D292" s="82" t="s">
        <v>1424</v>
      </c>
      <c r="H292" s="84"/>
      <c r="I292" s="82" t="s">
        <v>9270</v>
      </c>
      <c r="J292" s="82" t="s">
        <v>1425</v>
      </c>
    </row>
    <row r="293" spans="1:10" ht="15.6" x14ac:dyDescent="0.25">
      <c r="A293" s="8" t="s">
        <v>1415</v>
      </c>
      <c r="B293" s="5" t="s">
        <v>1421</v>
      </c>
      <c r="C293" s="82" t="s">
        <v>9604</v>
      </c>
      <c r="D293" s="82" t="s">
        <v>9755</v>
      </c>
      <c r="H293" s="84"/>
      <c r="I293" s="82" t="s">
        <v>9270</v>
      </c>
      <c r="J293" s="82" t="s">
        <v>9756</v>
      </c>
    </row>
    <row r="294" spans="1:10" ht="15.6" x14ac:dyDescent="0.25">
      <c r="A294" s="8" t="s">
        <v>3445</v>
      </c>
      <c r="B294" s="5" t="s">
        <v>3448</v>
      </c>
      <c r="C294" s="82" t="s">
        <v>10003</v>
      </c>
      <c r="D294" s="82" t="s">
        <v>3450</v>
      </c>
      <c r="E294" s="79"/>
      <c r="H294" s="84"/>
      <c r="I294" s="82" t="s">
        <v>9269</v>
      </c>
      <c r="J294" s="82" t="s">
        <v>3451</v>
      </c>
    </row>
    <row r="295" spans="1:10" ht="15.6" x14ac:dyDescent="0.25">
      <c r="A295" s="8" t="s">
        <v>3445</v>
      </c>
      <c r="B295" s="5" t="s">
        <v>3448</v>
      </c>
      <c r="C295" s="82" t="s">
        <v>9359</v>
      </c>
      <c r="D295" s="82" t="s">
        <v>9358</v>
      </c>
      <c r="H295" s="84"/>
      <c r="I295" s="84"/>
      <c r="J295" s="82" t="s">
        <v>3451</v>
      </c>
    </row>
    <row r="296" spans="1:10" ht="15.6" x14ac:dyDescent="0.25">
      <c r="A296" s="8" t="s">
        <v>3445</v>
      </c>
      <c r="B296" s="5" t="s">
        <v>3448</v>
      </c>
      <c r="C296" s="82" t="s">
        <v>9604</v>
      </c>
      <c r="D296" s="82" t="s">
        <v>9674</v>
      </c>
      <c r="H296" s="84"/>
      <c r="I296" s="82" t="s">
        <v>9270</v>
      </c>
      <c r="J296" s="84"/>
    </row>
    <row r="297" spans="1:10" ht="15.6" x14ac:dyDescent="0.25">
      <c r="A297" s="8" t="s">
        <v>1036</v>
      </c>
      <c r="B297" s="5" t="s">
        <v>1043</v>
      </c>
      <c r="C297" s="82" t="s">
        <v>9604</v>
      </c>
      <c r="D297" s="82" t="s">
        <v>1050</v>
      </c>
      <c r="H297" s="82" t="s">
        <v>9787</v>
      </c>
      <c r="I297" s="82" t="s">
        <v>9788</v>
      </c>
      <c r="J297" s="82" t="s">
        <v>1051</v>
      </c>
    </row>
    <row r="298" spans="1:10" ht="15.6" x14ac:dyDescent="0.25">
      <c r="A298" s="8" t="s">
        <v>1863</v>
      </c>
      <c r="B298" s="5" t="s">
        <v>1867</v>
      </c>
      <c r="C298" s="82" t="s">
        <v>9383</v>
      </c>
      <c r="D298" s="82" t="s">
        <v>9500</v>
      </c>
      <c r="H298" s="84"/>
      <c r="I298" s="84"/>
      <c r="J298" s="84"/>
    </row>
    <row r="299" spans="1:10" ht="15.6" x14ac:dyDescent="0.25">
      <c r="A299" s="8" t="s">
        <v>1863</v>
      </c>
      <c r="B299" s="5" t="s">
        <v>1867</v>
      </c>
      <c r="C299" s="82" t="s">
        <v>9604</v>
      </c>
      <c r="D299" s="82" t="s">
        <v>9730</v>
      </c>
      <c r="H299" s="84"/>
      <c r="I299" s="84"/>
      <c r="J299" s="84"/>
    </row>
    <row r="300" spans="1:10" ht="15.6" x14ac:dyDescent="0.25">
      <c r="A300" s="8" t="s">
        <v>1646</v>
      </c>
      <c r="B300" s="5" t="s">
        <v>1649</v>
      </c>
      <c r="C300" s="82" t="s">
        <v>9383</v>
      </c>
      <c r="D300" s="82" t="s">
        <v>9472</v>
      </c>
      <c r="H300" s="82"/>
      <c r="I300" s="84"/>
      <c r="J300" s="84"/>
    </row>
    <row r="301" spans="1:10" ht="15.6" x14ac:dyDescent="0.25">
      <c r="A301" s="8" t="s">
        <v>1646</v>
      </c>
      <c r="B301" s="5" t="s">
        <v>1649</v>
      </c>
      <c r="C301" s="82" t="s">
        <v>9604</v>
      </c>
      <c r="D301" s="82" t="s">
        <v>9766</v>
      </c>
      <c r="H301" s="82"/>
      <c r="I301" s="84"/>
      <c r="J301" s="84"/>
    </row>
    <row r="302" spans="1:10" ht="15.6" x14ac:dyDescent="0.25">
      <c r="A302" s="8" t="s">
        <v>2862</v>
      </c>
      <c r="B302" s="5" t="s">
        <v>2867</v>
      </c>
      <c r="C302" s="82" t="s">
        <v>9383</v>
      </c>
      <c r="D302" s="82" t="s">
        <v>2869</v>
      </c>
      <c r="H302" s="84"/>
      <c r="I302" s="84"/>
      <c r="J302" s="82" t="s">
        <v>2870</v>
      </c>
    </row>
    <row r="303" spans="1:10" ht="15.6" x14ac:dyDescent="0.25">
      <c r="A303" s="8" t="s">
        <v>2862</v>
      </c>
      <c r="B303" s="5" t="s">
        <v>2867</v>
      </c>
      <c r="C303" s="82" t="s">
        <v>370</v>
      </c>
      <c r="D303" s="82" t="s">
        <v>9953</v>
      </c>
      <c r="H303" s="84"/>
      <c r="I303" s="84"/>
      <c r="J303" s="82" t="s">
        <v>9954</v>
      </c>
    </row>
    <row r="304" spans="1:10" ht="15.6" x14ac:dyDescent="0.25">
      <c r="A304" s="8" t="s">
        <v>2267</v>
      </c>
      <c r="B304" s="5" t="s">
        <v>2273</v>
      </c>
      <c r="C304" s="82" t="s">
        <v>10002</v>
      </c>
      <c r="D304" s="82" t="s">
        <v>9289</v>
      </c>
      <c r="E304" s="79"/>
      <c r="H304" s="82" t="s">
        <v>9290</v>
      </c>
      <c r="I304" s="84"/>
      <c r="J304" s="84"/>
    </row>
    <row r="305" spans="1:10" ht="15.6" x14ac:dyDescent="0.25">
      <c r="A305" s="8" t="s">
        <v>2267</v>
      </c>
      <c r="B305" s="5" t="s">
        <v>2273</v>
      </c>
      <c r="C305" s="82" t="s">
        <v>9337</v>
      </c>
      <c r="D305" s="82" t="s">
        <v>9342</v>
      </c>
      <c r="H305" s="82" t="s">
        <v>9343</v>
      </c>
      <c r="I305" s="84"/>
      <c r="J305" s="84"/>
    </row>
    <row r="306" spans="1:10" ht="15.6" x14ac:dyDescent="0.25">
      <c r="A306" s="8" t="s">
        <v>952</v>
      </c>
      <c r="B306" s="5" t="s">
        <v>955</v>
      </c>
      <c r="C306" s="82" t="s">
        <v>9383</v>
      </c>
      <c r="D306" s="82" t="s">
        <v>9556</v>
      </c>
      <c r="H306" s="84"/>
      <c r="I306" s="82" t="s">
        <v>9485</v>
      </c>
      <c r="J306" s="82" t="s">
        <v>9557</v>
      </c>
    </row>
    <row r="307" spans="1:10" ht="15.6" x14ac:dyDescent="0.25">
      <c r="A307" s="8" t="s">
        <v>857</v>
      </c>
      <c r="B307" s="5" t="s">
        <v>866</v>
      </c>
      <c r="C307" s="82" t="s">
        <v>9383</v>
      </c>
      <c r="D307" s="82" t="s">
        <v>7078</v>
      </c>
      <c r="H307" s="84"/>
      <c r="I307" s="82" t="s">
        <v>9270</v>
      </c>
      <c r="J307" s="84"/>
    </row>
    <row r="308" spans="1:10" ht="15.6" x14ac:dyDescent="0.25">
      <c r="A308" s="8" t="s">
        <v>857</v>
      </c>
      <c r="B308" s="5" t="s">
        <v>866</v>
      </c>
      <c r="C308" s="82" t="s">
        <v>9604</v>
      </c>
      <c r="D308" s="82" t="s">
        <v>7077</v>
      </c>
      <c r="H308" s="84"/>
      <c r="I308" s="82" t="s">
        <v>9270</v>
      </c>
      <c r="J308" s="84"/>
    </row>
    <row r="309" spans="1:10" ht="15.6" x14ac:dyDescent="0.25">
      <c r="A309" s="8" t="s">
        <v>1607</v>
      </c>
      <c r="B309" s="5" t="s">
        <v>1612</v>
      </c>
      <c r="C309" s="82" t="s">
        <v>9383</v>
      </c>
      <c r="D309" s="82" t="s">
        <v>9482</v>
      </c>
      <c r="H309" s="82"/>
      <c r="I309" s="82" t="s">
        <v>9270</v>
      </c>
      <c r="J309" s="84"/>
    </row>
    <row r="310" spans="1:10" ht="15.6" x14ac:dyDescent="0.25">
      <c r="A310" s="8" t="s">
        <v>1607</v>
      </c>
      <c r="B310" s="5" t="s">
        <v>1612</v>
      </c>
      <c r="C310" s="82" t="s">
        <v>9604</v>
      </c>
      <c r="D310" s="82" t="s">
        <v>9754</v>
      </c>
      <c r="H310" s="82"/>
      <c r="I310" s="82" t="s">
        <v>9270</v>
      </c>
      <c r="J310" s="84"/>
    </row>
    <row r="311" spans="1:10" ht="15.6" x14ac:dyDescent="0.25">
      <c r="A311" s="8" t="s">
        <v>3503</v>
      </c>
      <c r="B311" s="5" t="s">
        <v>3509</v>
      </c>
      <c r="C311" s="82" t="s">
        <v>9383</v>
      </c>
      <c r="D311" s="82" t="s">
        <v>9450</v>
      </c>
      <c r="H311" s="84"/>
      <c r="I311" s="82"/>
      <c r="J311" s="84"/>
    </row>
    <row r="312" spans="1:10" ht="15.6" x14ac:dyDescent="0.25">
      <c r="A312" s="8" t="s">
        <v>3503</v>
      </c>
      <c r="B312" s="5" t="s">
        <v>3509</v>
      </c>
      <c r="C312" s="82" t="s">
        <v>9604</v>
      </c>
      <c r="D312" s="82" t="s">
        <v>9791</v>
      </c>
      <c r="H312" s="84"/>
      <c r="I312" s="82"/>
      <c r="J312" s="84"/>
    </row>
    <row r="313" spans="1:10" ht="15.6" x14ac:dyDescent="0.25">
      <c r="A313" s="8" t="s">
        <v>3503</v>
      </c>
      <c r="B313" s="5" t="s">
        <v>3509</v>
      </c>
      <c r="C313" s="82" t="s">
        <v>370</v>
      </c>
      <c r="D313" s="82" t="s">
        <v>9957</v>
      </c>
      <c r="H313" s="84"/>
      <c r="I313" s="84"/>
      <c r="J313" s="84"/>
    </row>
    <row r="314" spans="1:10" ht="15.6" x14ac:dyDescent="0.25">
      <c r="A314" s="8" t="s">
        <v>1194</v>
      </c>
      <c r="B314" s="5" t="s">
        <v>1198</v>
      </c>
      <c r="C314" s="82" t="s">
        <v>9383</v>
      </c>
      <c r="D314" s="82" t="s">
        <v>9575</v>
      </c>
      <c r="H314" s="84"/>
      <c r="I314" s="82" t="s">
        <v>9270</v>
      </c>
      <c r="J314" s="82" t="s">
        <v>9576</v>
      </c>
    </row>
    <row r="315" spans="1:10" ht="15.6" x14ac:dyDescent="0.25">
      <c r="A315" s="8" t="s">
        <v>1194</v>
      </c>
      <c r="B315" s="5" t="s">
        <v>1198</v>
      </c>
      <c r="C315" s="82" t="s">
        <v>9604</v>
      </c>
      <c r="D315" s="82" t="s">
        <v>9643</v>
      </c>
      <c r="H315" s="84"/>
      <c r="I315" s="82" t="s">
        <v>9270</v>
      </c>
      <c r="J315" s="82" t="s">
        <v>9644</v>
      </c>
    </row>
    <row r="316" spans="1:10" ht="15.6" x14ac:dyDescent="0.25">
      <c r="A316" s="8" t="s">
        <v>1194</v>
      </c>
      <c r="B316" s="5" t="s">
        <v>1198</v>
      </c>
      <c r="C316" s="82" t="s">
        <v>370</v>
      </c>
      <c r="D316" s="82" t="s">
        <v>1201</v>
      </c>
      <c r="H316" s="84"/>
      <c r="I316" s="82" t="s">
        <v>9281</v>
      </c>
      <c r="J316" s="82" t="s">
        <v>1202</v>
      </c>
    </row>
    <row r="317" spans="1:10" ht="15.6" x14ac:dyDescent="0.25">
      <c r="A317" s="8" t="s">
        <v>902</v>
      </c>
      <c r="B317" s="5" t="s">
        <v>907</v>
      </c>
      <c r="C317" s="82" t="s">
        <v>9383</v>
      </c>
      <c r="D317" s="82" t="s">
        <v>9569</v>
      </c>
      <c r="H317" s="84"/>
      <c r="I317" s="82"/>
      <c r="J317" s="82" t="s">
        <v>9570</v>
      </c>
    </row>
    <row r="318" spans="1:10" ht="15.6" x14ac:dyDescent="0.25">
      <c r="A318" s="8" t="s">
        <v>2852</v>
      </c>
      <c r="B318" s="5" t="s">
        <v>2856</v>
      </c>
      <c r="C318" s="82" t="s">
        <v>9383</v>
      </c>
      <c r="D318" s="82" t="s">
        <v>9384</v>
      </c>
      <c r="H318" s="84"/>
      <c r="I318" s="82" t="s">
        <v>9270</v>
      </c>
      <c r="J318" s="84"/>
    </row>
    <row r="319" spans="1:10" ht="15.6" x14ac:dyDescent="0.25">
      <c r="A319" s="8" t="s">
        <v>2852</v>
      </c>
      <c r="B319" s="5" t="s">
        <v>2856</v>
      </c>
      <c r="C319" s="82" t="s">
        <v>9604</v>
      </c>
      <c r="D319" s="82" t="s">
        <v>2860</v>
      </c>
      <c r="H319" s="84"/>
      <c r="I319" s="82" t="s">
        <v>9270</v>
      </c>
      <c r="J319" s="82" t="s">
        <v>2861</v>
      </c>
    </row>
    <row r="320" spans="1:10" ht="15.6" x14ac:dyDescent="0.25">
      <c r="A320" s="8" t="s">
        <v>2852</v>
      </c>
      <c r="B320" s="5" t="s">
        <v>2856</v>
      </c>
      <c r="C320" s="82" t="s">
        <v>9994</v>
      </c>
      <c r="D320" s="82" t="s">
        <v>9939</v>
      </c>
      <c r="H320" s="84"/>
      <c r="I320" s="84"/>
      <c r="J320" s="84"/>
    </row>
    <row r="321" spans="1:10" ht="15.6" x14ac:dyDescent="0.25">
      <c r="A321" s="8" t="s">
        <v>957</v>
      </c>
      <c r="B321" s="5" t="s">
        <v>960</v>
      </c>
      <c r="C321" s="82" t="s">
        <v>9383</v>
      </c>
      <c r="D321" s="82" t="s">
        <v>9553</v>
      </c>
      <c r="H321" s="84"/>
      <c r="I321" s="82" t="s">
        <v>9270</v>
      </c>
      <c r="J321" s="82" t="s">
        <v>9555</v>
      </c>
    </row>
    <row r="322" spans="1:10" ht="15.6" x14ac:dyDescent="0.25">
      <c r="A322" s="8" t="s">
        <v>807</v>
      </c>
      <c r="B322" s="5" t="s">
        <v>812</v>
      </c>
      <c r="C322" s="82" t="s">
        <v>9383</v>
      </c>
      <c r="D322" s="82" t="s">
        <v>9597</v>
      </c>
      <c r="H322" s="82" t="s">
        <v>9598</v>
      </c>
      <c r="I322" s="82" t="s">
        <v>9414</v>
      </c>
      <c r="J322" s="82" t="s">
        <v>9599</v>
      </c>
    </row>
    <row r="323" spans="1:10" ht="15.6" x14ac:dyDescent="0.25">
      <c r="A323" s="8" t="s">
        <v>807</v>
      </c>
      <c r="B323" s="5" t="s">
        <v>812</v>
      </c>
      <c r="C323" s="82" t="s">
        <v>9604</v>
      </c>
      <c r="D323" s="82" t="s">
        <v>9609</v>
      </c>
      <c r="H323" s="82"/>
      <c r="I323" s="82"/>
      <c r="J323" s="82" t="s">
        <v>9610</v>
      </c>
    </row>
    <row r="324" spans="1:10" ht="15.6" x14ac:dyDescent="0.25">
      <c r="A324" s="8" t="s">
        <v>1845</v>
      </c>
      <c r="B324" s="5" t="s">
        <v>1850</v>
      </c>
      <c r="C324" s="82" t="s">
        <v>9604</v>
      </c>
      <c r="D324" s="82" t="s">
        <v>1855</v>
      </c>
      <c r="H324" s="82" t="s">
        <v>9732</v>
      </c>
      <c r="I324" s="84"/>
      <c r="J324" s="82" t="s">
        <v>1856</v>
      </c>
    </row>
    <row r="325" spans="1:10" ht="15.6" x14ac:dyDescent="0.25">
      <c r="A325" s="8" t="s">
        <v>1777</v>
      </c>
      <c r="B325" s="5" t="s">
        <v>1780</v>
      </c>
      <c r="C325" s="82" t="s">
        <v>9383</v>
      </c>
      <c r="D325" s="82" t="s">
        <v>9467</v>
      </c>
      <c r="H325" s="82"/>
      <c r="I325" s="82" t="s">
        <v>9270</v>
      </c>
      <c r="J325" s="84"/>
    </row>
    <row r="326" spans="1:10" ht="15.6" x14ac:dyDescent="0.25">
      <c r="A326" s="8" t="s">
        <v>1777</v>
      </c>
      <c r="B326" s="5" t="s">
        <v>1780</v>
      </c>
      <c r="C326" s="82" t="s">
        <v>9604</v>
      </c>
      <c r="D326" s="82" t="s">
        <v>9772</v>
      </c>
      <c r="H326" s="82"/>
      <c r="I326" s="82" t="s">
        <v>9270</v>
      </c>
      <c r="J326" s="84"/>
    </row>
    <row r="327" spans="1:10" ht="15.6" x14ac:dyDescent="0.25">
      <c r="A327" s="8" t="s">
        <v>2312</v>
      </c>
      <c r="B327" s="5" t="s">
        <v>2318</v>
      </c>
      <c r="C327" s="82" t="s">
        <v>9383</v>
      </c>
      <c r="D327" s="82" t="s">
        <v>2322</v>
      </c>
      <c r="H327" s="84"/>
      <c r="I327" s="84"/>
      <c r="J327" s="82" t="s">
        <v>2323</v>
      </c>
    </row>
    <row r="328" spans="1:10" ht="15.6" x14ac:dyDescent="0.25">
      <c r="A328" s="8" t="s">
        <v>2312</v>
      </c>
      <c r="B328" s="5" t="s">
        <v>2318</v>
      </c>
      <c r="C328" s="82" t="s">
        <v>9604</v>
      </c>
      <c r="D328" s="82" t="s">
        <v>9708</v>
      </c>
      <c r="H328" s="84"/>
      <c r="I328" s="84"/>
      <c r="J328" s="84"/>
    </row>
    <row r="329" spans="1:10" ht="15.6" x14ac:dyDescent="0.25">
      <c r="A329" s="8" t="s">
        <v>2312</v>
      </c>
      <c r="B329" s="5" t="s">
        <v>2318</v>
      </c>
      <c r="C329" s="82" t="s">
        <v>9987</v>
      </c>
      <c r="D329" s="82" t="s">
        <v>9988</v>
      </c>
      <c r="H329" s="82" t="s">
        <v>9989</v>
      </c>
      <c r="I329" s="82" t="s">
        <v>9990</v>
      </c>
      <c r="J329" s="84"/>
    </row>
    <row r="330" spans="1:10" ht="15.6" x14ac:dyDescent="0.25">
      <c r="A330" s="8" t="s">
        <v>1919</v>
      </c>
      <c r="B330" s="5" t="s">
        <v>1922</v>
      </c>
      <c r="C330" s="82" t="s">
        <v>10002</v>
      </c>
      <c r="D330" s="82" t="s">
        <v>9295</v>
      </c>
      <c r="E330" s="79"/>
      <c r="H330" s="84"/>
      <c r="I330" s="84"/>
      <c r="J330" s="84"/>
    </row>
    <row r="331" spans="1:10" ht="15.6" x14ac:dyDescent="0.25">
      <c r="A331" s="8" t="s">
        <v>1919</v>
      </c>
      <c r="B331" s="5" t="s">
        <v>1922</v>
      </c>
      <c r="C331" s="82" t="s">
        <v>9383</v>
      </c>
      <c r="D331" s="82" t="s">
        <v>9506</v>
      </c>
      <c r="H331" s="84"/>
      <c r="I331" s="84"/>
      <c r="J331" s="84"/>
    </row>
    <row r="332" spans="1:10" ht="15.6" x14ac:dyDescent="0.25">
      <c r="A332" s="8" t="s">
        <v>2692</v>
      </c>
      <c r="B332" s="5" t="s">
        <v>2696</v>
      </c>
      <c r="C332" s="82" t="s">
        <v>9383</v>
      </c>
      <c r="D332" s="82" t="s">
        <v>2698</v>
      </c>
      <c r="H332" s="84"/>
      <c r="I332" s="84"/>
      <c r="J332" s="82" t="s">
        <v>2699</v>
      </c>
    </row>
    <row r="333" spans="1:10" ht="15.6" x14ac:dyDescent="0.25">
      <c r="A333" s="8" t="s">
        <v>2692</v>
      </c>
      <c r="B333" s="5" t="s">
        <v>2696</v>
      </c>
      <c r="C333" s="82" t="s">
        <v>9604</v>
      </c>
      <c r="D333" s="82" t="s">
        <v>9850</v>
      </c>
      <c r="H333" s="84"/>
      <c r="I333" s="84"/>
      <c r="J333" s="82" t="s">
        <v>2699</v>
      </c>
    </row>
    <row r="334" spans="1:10" ht="15.6" x14ac:dyDescent="0.25">
      <c r="A334" s="8" t="s">
        <v>2692</v>
      </c>
      <c r="B334" s="5" t="s">
        <v>2696</v>
      </c>
      <c r="C334" s="82" t="s">
        <v>9994</v>
      </c>
      <c r="D334" s="82" t="s">
        <v>9945</v>
      </c>
      <c r="H334" s="84"/>
      <c r="I334" s="84"/>
      <c r="J334" s="82" t="s">
        <v>9946</v>
      </c>
    </row>
    <row r="335" spans="1:10" ht="15.6" x14ac:dyDescent="0.25">
      <c r="A335" s="8" t="s">
        <v>1697</v>
      </c>
      <c r="B335" s="5" t="s">
        <v>1703</v>
      </c>
      <c r="C335" s="82" t="s">
        <v>9383</v>
      </c>
      <c r="D335" s="82" t="s">
        <v>9470</v>
      </c>
      <c r="H335" s="82"/>
      <c r="I335" s="84"/>
      <c r="J335" s="84"/>
    </row>
    <row r="336" spans="1:10" ht="15.6" x14ac:dyDescent="0.25">
      <c r="A336" s="8" t="s">
        <v>1697</v>
      </c>
      <c r="B336" s="5" t="s">
        <v>1703</v>
      </c>
      <c r="C336" s="82" t="s">
        <v>9604</v>
      </c>
      <c r="D336" s="82" t="s">
        <v>9769</v>
      </c>
      <c r="H336" s="82"/>
      <c r="I336" s="84"/>
      <c r="J336" s="84"/>
    </row>
    <row r="337" spans="1:10" ht="15.6" x14ac:dyDescent="0.25">
      <c r="A337" s="8" t="s">
        <v>2620</v>
      </c>
      <c r="B337" s="5" t="s">
        <v>2626</v>
      </c>
      <c r="C337" s="82" t="s">
        <v>10002</v>
      </c>
      <c r="D337" s="82" t="s">
        <v>2630</v>
      </c>
      <c r="E337" s="79"/>
      <c r="H337" s="84"/>
      <c r="I337" s="84"/>
      <c r="J337" s="82" t="s">
        <v>2631</v>
      </c>
    </row>
    <row r="338" spans="1:10" ht="15.6" x14ac:dyDescent="0.25">
      <c r="A338" s="8" t="s">
        <v>2620</v>
      </c>
      <c r="B338" s="5" t="s">
        <v>2626</v>
      </c>
      <c r="C338" s="82" t="s">
        <v>9337</v>
      </c>
      <c r="D338" s="82" t="s">
        <v>9338</v>
      </c>
      <c r="H338" s="84"/>
      <c r="I338" s="84"/>
      <c r="J338" s="84"/>
    </row>
    <row r="339" spans="1:10" ht="15.6" x14ac:dyDescent="0.25">
      <c r="A339" s="8" t="s">
        <v>2486</v>
      </c>
      <c r="B339" s="5" t="s">
        <v>2491</v>
      </c>
      <c r="C339" s="82" t="s">
        <v>10002</v>
      </c>
      <c r="D339" s="82" t="s">
        <v>2494</v>
      </c>
      <c r="E339" s="79"/>
      <c r="H339" s="84"/>
      <c r="I339" s="84"/>
      <c r="J339" s="82" t="s">
        <v>2495</v>
      </c>
    </row>
    <row r="340" spans="1:10" ht="15.6" x14ac:dyDescent="0.25">
      <c r="A340" s="8" t="s">
        <v>2486</v>
      </c>
      <c r="B340" s="5" t="s">
        <v>2491</v>
      </c>
      <c r="C340" s="82" t="s">
        <v>9383</v>
      </c>
      <c r="D340" s="82" t="s">
        <v>9536</v>
      </c>
      <c r="H340" s="84"/>
      <c r="I340" s="84"/>
      <c r="J340" s="82" t="s">
        <v>9537</v>
      </c>
    </row>
    <row r="341" spans="1:10" ht="15.6" x14ac:dyDescent="0.25">
      <c r="A341" s="8" t="s">
        <v>2486</v>
      </c>
      <c r="B341" s="5" t="s">
        <v>2491</v>
      </c>
      <c r="C341" s="82" t="s">
        <v>9604</v>
      </c>
      <c r="D341" s="82" t="s">
        <v>9677</v>
      </c>
      <c r="H341" s="84"/>
      <c r="I341" s="84"/>
      <c r="J341" s="82" t="s">
        <v>9678</v>
      </c>
    </row>
    <row r="342" spans="1:10" ht="15.6" x14ac:dyDescent="0.25">
      <c r="A342" s="8" t="s">
        <v>2332</v>
      </c>
      <c r="B342" s="5" t="s">
        <v>2336</v>
      </c>
      <c r="C342" s="82" t="s">
        <v>10003</v>
      </c>
      <c r="D342" s="82" t="s">
        <v>9267</v>
      </c>
      <c r="E342" s="79"/>
      <c r="H342" s="82" t="s">
        <v>9268</v>
      </c>
      <c r="I342" s="82" t="s">
        <v>9255</v>
      </c>
      <c r="J342" s="84"/>
    </row>
    <row r="343" spans="1:10" ht="15.6" x14ac:dyDescent="0.25">
      <c r="A343" s="8" t="s">
        <v>2117</v>
      </c>
      <c r="B343" s="5" t="s">
        <v>2121</v>
      </c>
      <c r="C343" s="82" t="s">
        <v>9383</v>
      </c>
      <c r="D343" s="82" t="s">
        <v>9490</v>
      </c>
      <c r="I343" s="82" t="s">
        <v>9270</v>
      </c>
      <c r="J343" s="84"/>
    </row>
    <row r="344" spans="1:10" ht="15.6" x14ac:dyDescent="0.25">
      <c r="A344" s="8" t="s">
        <v>2117</v>
      </c>
      <c r="B344" s="5" t="s">
        <v>2121</v>
      </c>
      <c r="C344" s="82" t="s">
        <v>9604</v>
      </c>
      <c r="D344" s="82" t="s">
        <v>9742</v>
      </c>
      <c r="I344" s="82" t="s">
        <v>9270</v>
      </c>
      <c r="J344" s="84"/>
    </row>
    <row r="345" spans="1:10" ht="15.6" x14ac:dyDescent="0.25">
      <c r="A345" s="8" t="s">
        <v>1955</v>
      </c>
      <c r="B345" s="5" t="s">
        <v>1959</v>
      </c>
      <c r="C345" s="82" t="s">
        <v>9383</v>
      </c>
      <c r="D345" s="82" t="s">
        <v>9509</v>
      </c>
      <c r="H345" s="84"/>
      <c r="I345" s="84"/>
      <c r="J345" s="84"/>
    </row>
    <row r="346" spans="1:10" ht="15.6" x14ac:dyDescent="0.25">
      <c r="A346" s="8" t="s">
        <v>1955</v>
      </c>
      <c r="B346" s="5" t="s">
        <v>1959</v>
      </c>
      <c r="C346" s="82" t="s">
        <v>9604</v>
      </c>
      <c r="D346" s="82" t="s">
        <v>9720</v>
      </c>
      <c r="H346" s="84"/>
      <c r="I346" s="84"/>
      <c r="J346" s="84"/>
    </row>
    <row r="347" spans="1:10" ht="15.6" x14ac:dyDescent="0.25">
      <c r="A347" s="8" t="s">
        <v>1053</v>
      </c>
      <c r="B347" s="5" t="s">
        <v>1060</v>
      </c>
      <c r="C347" s="82" t="s">
        <v>9383</v>
      </c>
      <c r="D347" s="82" t="s">
        <v>1064</v>
      </c>
      <c r="H347" s="82" t="s">
        <v>9558</v>
      </c>
      <c r="I347" s="82" t="s">
        <v>9559</v>
      </c>
      <c r="J347" s="82" t="s">
        <v>1065</v>
      </c>
    </row>
    <row r="348" spans="1:10" ht="15.6" x14ac:dyDescent="0.25">
      <c r="A348" s="8" t="s">
        <v>1053</v>
      </c>
      <c r="B348" s="5" t="s">
        <v>1060</v>
      </c>
      <c r="C348" s="82" t="s">
        <v>9604</v>
      </c>
      <c r="D348" s="82" t="s">
        <v>7088</v>
      </c>
      <c r="H348" s="82" t="s">
        <v>9659</v>
      </c>
      <c r="I348" s="82" t="s">
        <v>9281</v>
      </c>
      <c r="J348" s="82" t="s">
        <v>9660</v>
      </c>
    </row>
    <row r="349" spans="1:10" ht="15.6" x14ac:dyDescent="0.25">
      <c r="A349" s="8" t="s">
        <v>2223</v>
      </c>
      <c r="B349" s="5" t="s">
        <v>2227</v>
      </c>
      <c r="C349" s="82" t="s">
        <v>9383</v>
      </c>
      <c r="D349" s="82" t="s">
        <v>9522</v>
      </c>
      <c r="H349" s="82"/>
      <c r="I349" s="82" t="s">
        <v>9270</v>
      </c>
      <c r="J349" s="84"/>
    </row>
    <row r="350" spans="1:10" ht="15.6" x14ac:dyDescent="0.25">
      <c r="A350" s="8" t="s">
        <v>2223</v>
      </c>
      <c r="B350" s="5" t="s">
        <v>2227</v>
      </c>
      <c r="C350" s="82" t="s">
        <v>9604</v>
      </c>
      <c r="D350" s="82" t="s">
        <v>9716</v>
      </c>
      <c r="H350" s="84"/>
      <c r="I350" s="84"/>
      <c r="J350" s="84"/>
    </row>
    <row r="351" spans="1:10" ht="15.6" x14ac:dyDescent="0.25">
      <c r="A351" s="8" t="s">
        <v>2223</v>
      </c>
      <c r="B351" s="5" t="s">
        <v>2227</v>
      </c>
      <c r="C351" s="82" t="s">
        <v>370</v>
      </c>
      <c r="D351" s="82" t="s">
        <v>9967</v>
      </c>
      <c r="H351" s="84"/>
      <c r="I351" s="84"/>
      <c r="J351" s="84"/>
    </row>
    <row r="352" spans="1:10" ht="15.6" x14ac:dyDescent="0.25">
      <c r="A352" s="8" t="s">
        <v>2440</v>
      </c>
      <c r="B352" s="5" t="s">
        <v>2443</v>
      </c>
      <c r="C352" s="82" t="s">
        <v>9383</v>
      </c>
      <c r="D352" s="82" t="s">
        <v>2445</v>
      </c>
      <c r="H352" s="84"/>
      <c r="I352" s="84"/>
      <c r="J352" s="82" t="s">
        <v>2446</v>
      </c>
    </row>
    <row r="353" spans="1:10" ht="15.6" x14ac:dyDescent="0.25">
      <c r="A353" s="8" t="s">
        <v>2440</v>
      </c>
      <c r="B353" s="5" t="s">
        <v>2443</v>
      </c>
      <c r="C353" s="82" t="s">
        <v>9604</v>
      </c>
      <c r="D353" s="82" t="s">
        <v>9680</v>
      </c>
      <c r="H353" s="84"/>
      <c r="I353" s="84"/>
      <c r="J353" s="84"/>
    </row>
    <row r="354" spans="1:10" ht="15.6" x14ac:dyDescent="0.25">
      <c r="A354" s="8" t="s">
        <v>2391</v>
      </c>
      <c r="B354" s="5" t="s">
        <v>2395</v>
      </c>
      <c r="C354" s="82" t="s">
        <v>9383</v>
      </c>
      <c r="D354" s="82" t="s">
        <v>2397</v>
      </c>
      <c r="H354" s="84"/>
      <c r="I354" s="84"/>
      <c r="J354" s="82" t="s">
        <v>2398</v>
      </c>
    </row>
    <row r="355" spans="1:10" ht="15.6" x14ac:dyDescent="0.25">
      <c r="A355" s="8" t="s">
        <v>2391</v>
      </c>
      <c r="B355" s="5" t="s">
        <v>2395</v>
      </c>
      <c r="C355" s="82" t="s">
        <v>9604</v>
      </c>
      <c r="D355" s="82" t="s">
        <v>9682</v>
      </c>
      <c r="H355" s="84"/>
      <c r="I355" s="84"/>
      <c r="J355" s="82" t="s">
        <v>9683</v>
      </c>
    </row>
    <row r="356" spans="1:10" ht="15.6" x14ac:dyDescent="0.25">
      <c r="A356" s="8" t="s">
        <v>2098</v>
      </c>
      <c r="B356" s="5" t="s">
        <v>2103</v>
      </c>
      <c r="C356" s="82" t="s">
        <v>9383</v>
      </c>
      <c r="D356" s="82" t="s">
        <v>9497</v>
      </c>
      <c r="I356" s="82" t="s">
        <v>9270</v>
      </c>
      <c r="J356" s="84"/>
    </row>
    <row r="357" spans="1:10" ht="15.6" x14ac:dyDescent="0.25">
      <c r="A357" s="8" t="s">
        <v>2098</v>
      </c>
      <c r="B357" s="5" t="s">
        <v>2103</v>
      </c>
      <c r="C357" s="82" t="s">
        <v>9604</v>
      </c>
      <c r="D357" s="82" t="s">
        <v>9741</v>
      </c>
      <c r="I357" s="82" t="s">
        <v>9270</v>
      </c>
      <c r="J357" s="84"/>
    </row>
    <row r="358" spans="1:10" ht="15.6" x14ac:dyDescent="0.25">
      <c r="A358" s="8" t="s">
        <v>1183</v>
      </c>
      <c r="B358" s="5" t="s">
        <v>1189</v>
      </c>
      <c r="C358" s="82" t="s">
        <v>9383</v>
      </c>
      <c r="D358" s="82" t="s">
        <v>9543</v>
      </c>
      <c r="H358" s="84"/>
      <c r="I358" s="82" t="s">
        <v>9270</v>
      </c>
      <c r="J358" s="82" t="s">
        <v>9544</v>
      </c>
    </row>
    <row r="359" spans="1:10" ht="15.6" x14ac:dyDescent="0.25">
      <c r="A359" s="8" t="s">
        <v>1183</v>
      </c>
      <c r="B359" s="5" t="s">
        <v>1189</v>
      </c>
      <c r="C359" s="82" t="s">
        <v>9604</v>
      </c>
      <c r="D359" s="82" t="s">
        <v>9661</v>
      </c>
      <c r="H359" s="84"/>
      <c r="I359" s="82" t="s">
        <v>9270</v>
      </c>
      <c r="J359" s="82" t="s">
        <v>9662</v>
      </c>
    </row>
    <row r="360" spans="1:10" ht="15.6" x14ac:dyDescent="0.25">
      <c r="A360" s="8" t="s">
        <v>1893</v>
      </c>
      <c r="B360" s="5" t="s">
        <v>1898</v>
      </c>
      <c r="C360" s="82" t="s">
        <v>9383</v>
      </c>
      <c r="D360" s="82" t="s">
        <v>9510</v>
      </c>
      <c r="H360" s="84"/>
      <c r="I360" s="84"/>
      <c r="J360" s="84"/>
    </row>
    <row r="361" spans="1:10" ht="15.6" x14ac:dyDescent="0.25">
      <c r="A361" s="8" t="s">
        <v>1893</v>
      </c>
      <c r="B361" s="5" t="s">
        <v>1898</v>
      </c>
      <c r="C361" s="82" t="s">
        <v>9604</v>
      </c>
      <c r="D361" s="82" t="s">
        <v>9721</v>
      </c>
      <c r="H361" s="84"/>
      <c r="I361" s="84"/>
      <c r="J361" s="84"/>
    </row>
    <row r="362" spans="1:10" ht="15.6" x14ac:dyDescent="0.25">
      <c r="A362" s="8" t="s">
        <v>3015</v>
      </c>
      <c r="B362" s="5" t="s">
        <v>3021</v>
      </c>
      <c r="C362" s="82" t="s">
        <v>9604</v>
      </c>
      <c r="D362" s="82" t="s">
        <v>3023</v>
      </c>
      <c r="H362" s="84"/>
      <c r="I362" s="84"/>
      <c r="J362" s="82" t="s">
        <v>3024</v>
      </c>
    </row>
    <row r="363" spans="1:10" ht="15.6" x14ac:dyDescent="0.25">
      <c r="A363" s="8" t="s">
        <v>1491</v>
      </c>
      <c r="B363" s="5" t="s">
        <v>1496</v>
      </c>
      <c r="C363" s="82" t="s">
        <v>9383</v>
      </c>
      <c r="D363" s="82" t="s">
        <v>1499</v>
      </c>
      <c r="H363" s="84"/>
      <c r="I363" s="84"/>
      <c r="J363" s="82" t="s">
        <v>1500</v>
      </c>
    </row>
    <row r="364" spans="1:10" ht="15.6" x14ac:dyDescent="0.25">
      <c r="A364" s="8" t="s">
        <v>1941</v>
      </c>
      <c r="B364" s="5" t="s">
        <v>1944</v>
      </c>
      <c r="C364" s="82" t="s">
        <v>9383</v>
      </c>
      <c r="D364" s="82" t="s">
        <v>9507</v>
      </c>
      <c r="H364" s="84"/>
      <c r="I364" s="84"/>
      <c r="J364" s="84"/>
    </row>
    <row r="365" spans="1:10" ht="15.6" x14ac:dyDescent="0.25">
      <c r="A365" s="8" t="s">
        <v>1941</v>
      </c>
      <c r="B365" s="5" t="s">
        <v>1944</v>
      </c>
      <c r="C365" s="82" t="s">
        <v>9987</v>
      </c>
      <c r="D365" s="82" t="s">
        <v>9911</v>
      </c>
      <c r="H365" s="82" t="s">
        <v>9912</v>
      </c>
      <c r="I365" s="82" t="s">
        <v>9913</v>
      </c>
      <c r="J365" s="84"/>
    </row>
    <row r="366" spans="1:10" ht="15.6" x14ac:dyDescent="0.25">
      <c r="A366" s="8" t="s">
        <v>2031</v>
      </c>
      <c r="B366" s="5" t="s">
        <v>2035</v>
      </c>
      <c r="C366" s="82" t="s">
        <v>9604</v>
      </c>
      <c r="D366" s="82" t="s">
        <v>2038</v>
      </c>
      <c r="H366" s="82" t="s">
        <v>9734</v>
      </c>
      <c r="I366" s="84"/>
      <c r="J366" s="82" t="s">
        <v>2039</v>
      </c>
    </row>
    <row r="367" spans="1:10" ht="15.6" x14ac:dyDescent="0.25">
      <c r="A367" s="8" t="s">
        <v>1291</v>
      </c>
      <c r="B367" s="5" t="s">
        <v>1295</v>
      </c>
      <c r="C367" s="82" t="s">
        <v>9383</v>
      </c>
      <c r="D367" s="82" t="s">
        <v>9583</v>
      </c>
      <c r="H367" s="82" t="s">
        <v>9584</v>
      </c>
      <c r="I367" s="82" t="s">
        <v>9585</v>
      </c>
      <c r="J367" s="82" t="s">
        <v>9586</v>
      </c>
    </row>
    <row r="368" spans="1:10" ht="15.6" x14ac:dyDescent="0.25">
      <c r="A368" s="8" t="s">
        <v>1291</v>
      </c>
      <c r="B368" s="5" t="s">
        <v>1295</v>
      </c>
      <c r="C368" s="82" t="s">
        <v>9604</v>
      </c>
      <c r="D368" s="82" t="s">
        <v>9624</v>
      </c>
      <c r="H368" s="82"/>
      <c r="I368" s="84"/>
      <c r="J368" s="82" t="s">
        <v>9625</v>
      </c>
    </row>
    <row r="369" spans="1:10" ht="15.6" x14ac:dyDescent="0.25">
      <c r="A369" s="8" t="s">
        <v>1858</v>
      </c>
      <c r="B369" s="5" t="s">
        <v>1861</v>
      </c>
      <c r="C369" s="82" t="s">
        <v>9383</v>
      </c>
      <c r="D369" s="82" t="s">
        <v>9499</v>
      </c>
      <c r="H369" s="84"/>
      <c r="I369" s="84"/>
      <c r="J369" s="84"/>
    </row>
    <row r="370" spans="1:10" ht="15.6" x14ac:dyDescent="0.25">
      <c r="A370" s="8" t="s">
        <v>1858</v>
      </c>
      <c r="B370" s="5" t="s">
        <v>1861</v>
      </c>
      <c r="C370" s="82" t="s">
        <v>9604</v>
      </c>
      <c r="D370" s="82" t="s">
        <v>9731</v>
      </c>
      <c r="H370" s="84"/>
      <c r="I370" s="84"/>
      <c r="J370" s="84"/>
    </row>
    <row r="371" spans="1:10" ht="15.6" x14ac:dyDescent="0.25">
      <c r="A371" s="8" t="s">
        <v>2496</v>
      </c>
      <c r="B371" s="5" t="s">
        <v>2500</v>
      </c>
      <c r="C371" s="82" t="s">
        <v>9383</v>
      </c>
      <c r="D371" s="82" t="s">
        <v>2502</v>
      </c>
      <c r="I371" s="82" t="s">
        <v>9270</v>
      </c>
      <c r="J371" s="82" t="s">
        <v>2503</v>
      </c>
    </row>
    <row r="372" spans="1:10" ht="15.6" x14ac:dyDescent="0.25">
      <c r="A372" s="8" t="s">
        <v>2496</v>
      </c>
      <c r="B372" s="5" t="s">
        <v>2500</v>
      </c>
      <c r="C372" s="82" t="s">
        <v>9604</v>
      </c>
      <c r="D372" s="82" t="s">
        <v>9697</v>
      </c>
      <c r="I372" s="82" t="s">
        <v>9270</v>
      </c>
      <c r="J372" s="84"/>
    </row>
    <row r="373" spans="1:10" ht="15.6" x14ac:dyDescent="0.25">
      <c r="A373" s="8" t="s">
        <v>2496</v>
      </c>
      <c r="B373" s="5" t="s">
        <v>2500</v>
      </c>
      <c r="C373" s="82" t="s">
        <v>9994</v>
      </c>
      <c r="D373" s="82" t="s">
        <v>9922</v>
      </c>
      <c r="I373" s="82" t="s">
        <v>9923</v>
      </c>
      <c r="J373" s="82" t="s">
        <v>9924</v>
      </c>
    </row>
    <row r="374" spans="1:10" ht="15.6" x14ac:dyDescent="0.25">
      <c r="A374" s="8" t="s">
        <v>3145</v>
      </c>
      <c r="B374" s="5" t="s">
        <v>3148</v>
      </c>
      <c r="C374" s="82" t="s">
        <v>10002</v>
      </c>
      <c r="D374" s="82" t="s">
        <v>3150</v>
      </c>
      <c r="E374" s="79"/>
      <c r="H374" s="82" t="s">
        <v>9280</v>
      </c>
      <c r="I374" s="82" t="s">
        <v>9281</v>
      </c>
      <c r="J374" s="82" t="s">
        <v>3151</v>
      </c>
    </row>
    <row r="375" spans="1:10" ht="15.6" x14ac:dyDescent="0.25">
      <c r="A375" s="8" t="s">
        <v>3145</v>
      </c>
      <c r="B375" s="5" t="s">
        <v>3148</v>
      </c>
      <c r="C375" s="82" t="s">
        <v>9383</v>
      </c>
      <c r="D375" s="82" t="s">
        <v>9541</v>
      </c>
      <c r="I375" s="82" t="s">
        <v>9270</v>
      </c>
      <c r="J375" s="82" t="s">
        <v>9542</v>
      </c>
    </row>
    <row r="376" spans="1:10" ht="15.6" x14ac:dyDescent="0.25">
      <c r="A376" s="8" t="s">
        <v>3145</v>
      </c>
      <c r="B376" s="5" t="s">
        <v>3148</v>
      </c>
      <c r="C376" s="82" t="s">
        <v>9604</v>
      </c>
      <c r="D376" s="82" t="s">
        <v>9672</v>
      </c>
      <c r="I376" s="82" t="s">
        <v>9270</v>
      </c>
      <c r="J376" s="82" t="s">
        <v>9673</v>
      </c>
    </row>
    <row r="377" spans="1:10" ht="15.6" x14ac:dyDescent="0.25">
      <c r="A377" s="8" t="s">
        <v>1772</v>
      </c>
      <c r="B377" s="5" t="s">
        <v>1775</v>
      </c>
      <c r="C377" s="82" t="s">
        <v>9383</v>
      </c>
      <c r="D377" s="82" t="s">
        <v>9465</v>
      </c>
      <c r="H377" s="82"/>
      <c r="I377" s="82" t="s">
        <v>9270</v>
      </c>
      <c r="J377" s="84"/>
    </row>
    <row r="378" spans="1:10" ht="15.6" x14ac:dyDescent="0.25">
      <c r="A378" s="8" t="s">
        <v>1772</v>
      </c>
      <c r="B378" s="5" t="s">
        <v>1775</v>
      </c>
      <c r="C378" s="82" t="s">
        <v>9604</v>
      </c>
      <c r="D378" s="82" t="s">
        <v>9725</v>
      </c>
      <c r="H378" s="82"/>
      <c r="I378" s="82" t="s">
        <v>9270</v>
      </c>
      <c r="J378" s="84"/>
    </row>
    <row r="379" spans="1:10" ht="15.6" x14ac:dyDescent="0.25">
      <c r="A379" s="8" t="s">
        <v>2239</v>
      </c>
      <c r="B379" s="5" t="s">
        <v>2246</v>
      </c>
      <c r="C379" s="82" t="s">
        <v>9383</v>
      </c>
      <c r="D379" s="82" t="s">
        <v>2251</v>
      </c>
      <c r="H379" s="82"/>
      <c r="I379" s="82" t="s">
        <v>9270</v>
      </c>
      <c r="J379" s="82" t="s">
        <v>2252</v>
      </c>
    </row>
    <row r="380" spans="1:10" ht="15.6" x14ac:dyDescent="0.25">
      <c r="A380" s="8" t="s">
        <v>2239</v>
      </c>
      <c r="B380" s="5" t="s">
        <v>2246</v>
      </c>
      <c r="C380" s="82" t="s">
        <v>9604</v>
      </c>
      <c r="D380" s="82" t="s">
        <v>9713</v>
      </c>
      <c r="H380" s="82"/>
      <c r="I380" s="82" t="s">
        <v>9270</v>
      </c>
      <c r="J380" s="82" t="s">
        <v>9714</v>
      </c>
    </row>
    <row r="381" spans="1:10" ht="15.6" x14ac:dyDescent="0.25">
      <c r="A381" s="8" t="s">
        <v>3285</v>
      </c>
      <c r="B381" s="5" t="s">
        <v>3288</v>
      </c>
      <c r="C381" s="82" t="s">
        <v>10003</v>
      </c>
      <c r="D381" s="82" t="s">
        <v>3291</v>
      </c>
      <c r="E381" s="79"/>
      <c r="I381" s="82" t="s">
        <v>9270</v>
      </c>
      <c r="J381" s="82" t="s">
        <v>3292</v>
      </c>
    </row>
    <row r="382" spans="1:10" ht="15.6" x14ac:dyDescent="0.25">
      <c r="A382" s="8" t="s">
        <v>3285</v>
      </c>
      <c r="B382" s="5" t="s">
        <v>3288</v>
      </c>
      <c r="C382" s="82" t="s">
        <v>9337</v>
      </c>
      <c r="D382" s="82" t="s">
        <v>9335</v>
      </c>
      <c r="H382" s="82"/>
      <c r="I382" s="84"/>
      <c r="J382" s="84"/>
    </row>
    <row r="383" spans="1:10" ht="15.6" x14ac:dyDescent="0.25">
      <c r="A383" s="8" t="s">
        <v>3195</v>
      </c>
      <c r="B383" s="5" t="s">
        <v>3198</v>
      </c>
      <c r="C383" s="82" t="s">
        <v>9383</v>
      </c>
      <c r="D383" s="82" t="s">
        <v>3200</v>
      </c>
      <c r="H383" s="84"/>
      <c r="I383" s="84"/>
      <c r="J383" s="82" t="s">
        <v>3201</v>
      </c>
    </row>
    <row r="384" spans="1:10" ht="15.6" x14ac:dyDescent="0.25">
      <c r="A384" s="8" t="s">
        <v>3195</v>
      </c>
      <c r="B384" s="5" t="s">
        <v>3198</v>
      </c>
      <c r="C384" s="82" t="s">
        <v>9604</v>
      </c>
      <c r="D384" s="82" t="s">
        <v>7089</v>
      </c>
      <c r="H384" s="84"/>
      <c r="I384" s="84"/>
      <c r="J384" s="82" t="s">
        <v>9871</v>
      </c>
    </row>
    <row r="385" spans="1:10" ht="15.6" x14ac:dyDescent="0.25">
      <c r="A385" s="8" t="s">
        <v>3195</v>
      </c>
      <c r="B385" s="5" t="s">
        <v>3198</v>
      </c>
      <c r="C385" s="82" t="s">
        <v>9987</v>
      </c>
      <c r="D385" s="82" t="s">
        <v>3162</v>
      </c>
      <c r="H385" s="82" t="s">
        <v>242</v>
      </c>
      <c r="I385" s="82" t="s">
        <v>10006</v>
      </c>
      <c r="J385" s="82" t="s">
        <v>9901</v>
      </c>
    </row>
    <row r="386" spans="1:10" ht="15.6" x14ac:dyDescent="0.25">
      <c r="A386" s="8" t="s">
        <v>3162</v>
      </c>
      <c r="B386" s="5" t="s">
        <v>3166</v>
      </c>
      <c r="C386" s="82" t="s">
        <v>9383</v>
      </c>
      <c r="D386" s="82" t="s">
        <v>3200</v>
      </c>
      <c r="H386" s="84"/>
      <c r="I386" s="84"/>
      <c r="J386" s="84"/>
    </row>
    <row r="387" spans="1:10" ht="15.6" x14ac:dyDescent="0.25">
      <c r="A387" s="8" t="s">
        <v>3162</v>
      </c>
      <c r="B387" s="5" t="s">
        <v>3166</v>
      </c>
      <c r="C387" s="82" t="s">
        <v>9604</v>
      </c>
      <c r="D387" s="82" t="s">
        <v>7089</v>
      </c>
      <c r="H387" s="84"/>
      <c r="I387" s="84"/>
      <c r="J387" s="84"/>
    </row>
    <row r="388" spans="1:10" ht="15.6" x14ac:dyDescent="0.25">
      <c r="A388" s="8" t="s">
        <v>3162</v>
      </c>
      <c r="B388" s="5" t="s">
        <v>3166</v>
      </c>
      <c r="C388" s="82" t="s">
        <v>9994</v>
      </c>
      <c r="D388" s="82" t="s">
        <v>3195</v>
      </c>
      <c r="H388" s="82" t="s">
        <v>242</v>
      </c>
      <c r="I388" s="82" t="s">
        <v>9933</v>
      </c>
      <c r="J388" s="84"/>
    </row>
    <row r="389" spans="1:10" ht="15.6" x14ac:dyDescent="0.25">
      <c r="A389" s="8" t="s">
        <v>1583</v>
      </c>
      <c r="B389" s="5" t="s">
        <v>1591</v>
      </c>
      <c r="C389" s="82" t="s">
        <v>9383</v>
      </c>
      <c r="D389" s="82" t="s">
        <v>9483</v>
      </c>
      <c r="H389" s="82"/>
      <c r="I389" s="82"/>
      <c r="J389" s="84"/>
    </row>
    <row r="390" spans="1:10" ht="15.6" x14ac:dyDescent="0.25">
      <c r="A390" s="8" t="s">
        <v>1583</v>
      </c>
      <c r="B390" s="5" t="s">
        <v>1591</v>
      </c>
      <c r="C390" s="82" t="s">
        <v>9604</v>
      </c>
      <c r="D390" s="82" t="s">
        <v>9751</v>
      </c>
      <c r="H390" s="82"/>
      <c r="I390" s="82"/>
      <c r="J390" s="84"/>
    </row>
    <row r="391" spans="1:10" ht="15.6" x14ac:dyDescent="0.25">
      <c r="A391" s="8" t="s">
        <v>1583</v>
      </c>
      <c r="B391" s="5" t="s">
        <v>1591</v>
      </c>
      <c r="C391" s="82" t="s">
        <v>9987</v>
      </c>
      <c r="D391" s="82" t="s">
        <v>9906</v>
      </c>
      <c r="H391" s="82"/>
      <c r="I391" s="82"/>
      <c r="J391" s="84"/>
    </row>
    <row r="392" spans="1:10" ht="15.6" x14ac:dyDescent="0.25">
      <c r="A392" s="8" t="s">
        <v>3387</v>
      </c>
      <c r="B392" s="5" t="s">
        <v>3392</v>
      </c>
      <c r="C392" s="82" t="s">
        <v>9383</v>
      </c>
      <c r="D392" s="82" t="s">
        <v>9399</v>
      </c>
      <c r="H392" s="84"/>
      <c r="I392" s="84"/>
      <c r="J392" s="84"/>
    </row>
    <row r="393" spans="1:10" ht="15.6" x14ac:dyDescent="0.25">
      <c r="A393" s="8" t="s">
        <v>3387</v>
      </c>
      <c r="B393" s="5" t="s">
        <v>3392</v>
      </c>
      <c r="C393" s="82" t="s">
        <v>9604</v>
      </c>
      <c r="D393" s="82" t="s">
        <v>9870</v>
      </c>
      <c r="H393" s="84"/>
      <c r="I393" s="84"/>
      <c r="J393" s="84"/>
    </row>
    <row r="394" spans="1:10" ht="15.6" x14ac:dyDescent="0.25">
      <c r="A394" s="8" t="s">
        <v>3387</v>
      </c>
      <c r="B394" s="5" t="s">
        <v>3392</v>
      </c>
      <c r="C394" s="82" t="s">
        <v>9987</v>
      </c>
      <c r="D394" s="82" t="s">
        <v>9892</v>
      </c>
      <c r="H394" s="84"/>
      <c r="I394" s="84"/>
      <c r="J394" s="84"/>
    </row>
    <row r="395" spans="1:10" ht="15.6" x14ac:dyDescent="0.25">
      <c r="A395" s="8" t="s">
        <v>3387</v>
      </c>
      <c r="B395" s="5" t="s">
        <v>3392</v>
      </c>
      <c r="C395" s="82" t="s">
        <v>9994</v>
      </c>
      <c r="D395" s="82" t="s">
        <v>9947</v>
      </c>
      <c r="H395" s="84"/>
      <c r="I395" s="84"/>
      <c r="J395" s="84"/>
    </row>
    <row r="396" spans="1:10" ht="15.6" x14ac:dyDescent="0.25">
      <c r="A396" s="8" t="s">
        <v>1980</v>
      </c>
      <c r="B396" s="5" t="s">
        <v>1984</v>
      </c>
      <c r="C396" s="82" t="s">
        <v>9383</v>
      </c>
      <c r="D396" s="82" t="s">
        <v>9496</v>
      </c>
      <c r="H396" s="84"/>
      <c r="I396" s="84"/>
      <c r="J396" s="84"/>
    </row>
    <row r="397" spans="1:10" ht="15.6" x14ac:dyDescent="0.25">
      <c r="A397" s="8" t="s">
        <v>1980</v>
      </c>
      <c r="B397" s="5" t="s">
        <v>1984</v>
      </c>
      <c r="C397" s="82" t="s">
        <v>9604</v>
      </c>
      <c r="D397" s="82" t="s">
        <v>9733</v>
      </c>
      <c r="H397" s="84"/>
      <c r="I397" s="84"/>
      <c r="J397" s="84"/>
    </row>
    <row r="398" spans="1:10" ht="15.6" x14ac:dyDescent="0.25">
      <c r="A398" s="8" t="s">
        <v>3523</v>
      </c>
      <c r="B398" s="5" t="s">
        <v>3529</v>
      </c>
      <c r="C398" s="82" t="s">
        <v>10002</v>
      </c>
      <c r="D398" s="82" t="s">
        <v>3533</v>
      </c>
      <c r="H398" s="82" t="s">
        <v>9307</v>
      </c>
      <c r="I398" s="82" t="s">
        <v>9281</v>
      </c>
      <c r="J398" s="82" t="s">
        <v>3534</v>
      </c>
    </row>
    <row r="399" spans="1:10" ht="15.6" x14ac:dyDescent="0.25">
      <c r="A399" s="8" t="s">
        <v>3523</v>
      </c>
      <c r="B399" s="5" t="s">
        <v>3529</v>
      </c>
      <c r="C399" s="82" t="s">
        <v>9337</v>
      </c>
      <c r="D399" s="82" t="s">
        <v>9356</v>
      </c>
      <c r="H399" s="84"/>
      <c r="I399" s="84"/>
      <c r="J399" s="84"/>
    </row>
    <row r="400" spans="1:10" ht="15.6" x14ac:dyDescent="0.25">
      <c r="A400" s="8" t="s">
        <v>3073</v>
      </c>
      <c r="B400" s="5" t="s">
        <v>3077</v>
      </c>
      <c r="C400" s="82" t="s">
        <v>9604</v>
      </c>
      <c r="D400" s="82" t="s">
        <v>3079</v>
      </c>
      <c r="H400" s="84"/>
      <c r="I400" s="84"/>
      <c r="J400" s="82" t="s">
        <v>3080</v>
      </c>
    </row>
    <row r="401" spans="1:10" ht="15.6" x14ac:dyDescent="0.25">
      <c r="A401" s="8" t="s">
        <v>2278</v>
      </c>
      <c r="B401" s="5" t="s">
        <v>2284</v>
      </c>
      <c r="C401" s="82" t="s">
        <v>9383</v>
      </c>
      <c r="D401" s="82" t="s">
        <v>9514</v>
      </c>
      <c r="H401" s="84"/>
      <c r="I401" s="84"/>
      <c r="J401" s="84"/>
    </row>
    <row r="402" spans="1:10" ht="15.6" x14ac:dyDescent="0.25">
      <c r="A402" s="8" t="s">
        <v>2278</v>
      </c>
      <c r="B402" s="5" t="s">
        <v>2284</v>
      </c>
      <c r="C402" s="82" t="s">
        <v>9604</v>
      </c>
      <c r="D402" s="82" t="s">
        <v>9715</v>
      </c>
      <c r="H402" s="84"/>
      <c r="I402" s="84"/>
      <c r="J402" s="84"/>
    </row>
    <row r="403" spans="1:10" ht="15.6" x14ac:dyDescent="0.25">
      <c r="A403" s="8" t="s">
        <v>1167</v>
      </c>
      <c r="B403" s="5" t="s">
        <v>1176</v>
      </c>
      <c r="C403" s="82" t="s">
        <v>9383</v>
      </c>
      <c r="D403" s="82" t="s">
        <v>1180</v>
      </c>
      <c r="H403" s="82"/>
      <c r="I403" s="84"/>
      <c r="J403" s="82" t="s">
        <v>1181</v>
      </c>
    </row>
    <row r="404" spans="1:10" ht="15.6" x14ac:dyDescent="0.25">
      <c r="A404" s="8" t="s">
        <v>1167</v>
      </c>
      <c r="B404" s="5" t="s">
        <v>1176</v>
      </c>
      <c r="C404" s="82" t="s">
        <v>9604</v>
      </c>
      <c r="D404" s="82" t="s">
        <v>7091</v>
      </c>
      <c r="H404" s="82"/>
      <c r="I404" s="84"/>
      <c r="J404" s="82" t="s">
        <v>9663</v>
      </c>
    </row>
    <row r="405" spans="1:10" ht="15.6" x14ac:dyDescent="0.25">
      <c r="A405" s="8" t="s">
        <v>1167</v>
      </c>
      <c r="B405" s="5" t="s">
        <v>1176</v>
      </c>
      <c r="C405" s="82" t="s">
        <v>9987</v>
      </c>
      <c r="D405" s="82" t="s">
        <v>7090</v>
      </c>
      <c r="H405" s="82" t="s">
        <v>9991</v>
      </c>
      <c r="I405" s="84"/>
      <c r="J405" s="82" t="s">
        <v>9992</v>
      </c>
    </row>
    <row r="406" spans="1:10" ht="15.6" x14ac:dyDescent="0.25">
      <c r="A406" s="8" t="s">
        <v>2466</v>
      </c>
      <c r="B406" s="5" t="s">
        <v>2471</v>
      </c>
      <c r="C406" s="82" t="s">
        <v>9383</v>
      </c>
      <c r="D406" s="82" t="s">
        <v>9527</v>
      </c>
      <c r="H406" s="82"/>
      <c r="I406" s="84"/>
      <c r="J406" s="82" t="s">
        <v>9528</v>
      </c>
    </row>
    <row r="407" spans="1:10" ht="15.6" x14ac:dyDescent="0.25">
      <c r="A407" s="8" t="s">
        <v>2466</v>
      </c>
      <c r="B407" s="5" t="s">
        <v>2471</v>
      </c>
      <c r="C407" s="82" t="s">
        <v>9604</v>
      </c>
      <c r="D407" s="82" t="s">
        <v>2475</v>
      </c>
      <c r="H407" s="82"/>
      <c r="I407" s="84"/>
      <c r="J407" s="82" t="s">
        <v>2476</v>
      </c>
    </row>
    <row r="408" spans="1:10" ht="15.6" x14ac:dyDescent="0.25">
      <c r="A408" s="8" t="s">
        <v>2466</v>
      </c>
      <c r="B408" s="5" t="s">
        <v>2471</v>
      </c>
      <c r="C408" s="82" t="s">
        <v>9978</v>
      </c>
      <c r="D408" s="82" t="s">
        <v>9981</v>
      </c>
      <c r="H408" s="82"/>
      <c r="I408" s="82"/>
      <c r="J408" s="84"/>
    </row>
    <row r="409" spans="1:10" ht="15.6" x14ac:dyDescent="0.25">
      <c r="A409" s="8" t="s">
        <v>486</v>
      </c>
      <c r="B409" s="5" t="s">
        <v>496</v>
      </c>
      <c r="C409" s="82" t="s">
        <v>9383</v>
      </c>
      <c r="D409" s="82" t="s">
        <v>7056</v>
      </c>
      <c r="H409" s="82"/>
      <c r="I409" s="82" t="s">
        <v>9270</v>
      </c>
      <c r="J409" s="84"/>
    </row>
    <row r="410" spans="1:10" ht="15.6" x14ac:dyDescent="0.25">
      <c r="A410" s="8" t="s">
        <v>486</v>
      </c>
      <c r="B410" s="5" t="s">
        <v>496</v>
      </c>
      <c r="C410" s="82" t="s">
        <v>9604</v>
      </c>
      <c r="D410" s="82" t="s">
        <v>499</v>
      </c>
      <c r="H410" s="82"/>
      <c r="I410" s="82" t="s">
        <v>9270</v>
      </c>
      <c r="J410" s="84"/>
    </row>
    <row r="411" spans="1:10" ht="15.6" x14ac:dyDescent="0.25">
      <c r="A411" s="8" t="s">
        <v>3346</v>
      </c>
      <c r="B411" s="5" t="s">
        <v>3351</v>
      </c>
      <c r="C411" s="82" t="s">
        <v>9383</v>
      </c>
      <c r="D411" s="82" t="s">
        <v>9397</v>
      </c>
      <c r="H411" s="84"/>
      <c r="I411" s="84"/>
      <c r="J411" s="82" t="s">
        <v>9398</v>
      </c>
    </row>
    <row r="412" spans="1:10" ht="15.6" x14ac:dyDescent="0.25">
      <c r="A412" s="8" t="s">
        <v>3346</v>
      </c>
      <c r="B412" s="5" t="s">
        <v>3351</v>
      </c>
      <c r="C412" s="82" t="s">
        <v>9604</v>
      </c>
      <c r="D412" s="82" t="s">
        <v>9865</v>
      </c>
      <c r="H412" s="84"/>
      <c r="I412" s="84"/>
      <c r="J412" s="82" t="s">
        <v>9866</v>
      </c>
    </row>
    <row r="413" spans="1:10" ht="15.6" x14ac:dyDescent="0.25">
      <c r="A413" s="8" t="s">
        <v>3346</v>
      </c>
      <c r="B413" s="5" t="s">
        <v>3351</v>
      </c>
      <c r="C413" s="82" t="s">
        <v>370</v>
      </c>
      <c r="D413" s="82" t="s">
        <v>3355</v>
      </c>
      <c r="H413" s="84"/>
      <c r="I413" s="84"/>
      <c r="J413" s="82" t="s">
        <v>3356</v>
      </c>
    </row>
    <row r="414" spans="1:10" ht="15.6" x14ac:dyDescent="0.25">
      <c r="A414" s="8" t="s">
        <v>315</v>
      </c>
      <c r="B414" s="5" t="s">
        <v>326</v>
      </c>
      <c r="C414" s="82" t="s">
        <v>9383</v>
      </c>
      <c r="D414" s="82" t="s">
        <v>9439</v>
      </c>
      <c r="H414" s="82" t="s">
        <v>9440</v>
      </c>
      <c r="I414" s="82" t="s">
        <v>9441</v>
      </c>
      <c r="J414" s="84"/>
    </row>
    <row r="415" spans="1:10" ht="15.6" x14ac:dyDescent="0.25">
      <c r="A415" s="8" t="s">
        <v>315</v>
      </c>
      <c r="B415" s="5" t="s">
        <v>326</v>
      </c>
      <c r="C415" s="82" t="s">
        <v>9604</v>
      </c>
      <c r="D415" s="82" t="s">
        <v>9808</v>
      </c>
      <c r="H415" s="82" t="s">
        <v>9440</v>
      </c>
      <c r="I415" s="82" t="s">
        <v>4029</v>
      </c>
      <c r="J415" s="82" t="s">
        <v>9809</v>
      </c>
    </row>
    <row r="416" spans="1:10" ht="15.6" x14ac:dyDescent="0.25">
      <c r="A416" s="8" t="s">
        <v>315</v>
      </c>
      <c r="B416" s="5" t="s">
        <v>326</v>
      </c>
      <c r="C416" s="82" t="s">
        <v>9987</v>
      </c>
      <c r="D416" s="82" t="s">
        <v>334</v>
      </c>
      <c r="H416" s="82" t="s">
        <v>9440</v>
      </c>
      <c r="I416" s="82"/>
      <c r="J416" s="82" t="s">
        <v>336</v>
      </c>
    </row>
    <row r="417" spans="1:10" ht="15.6" x14ac:dyDescent="0.25">
      <c r="A417" s="8" t="s">
        <v>1596</v>
      </c>
      <c r="B417" s="5" t="s">
        <v>1601</v>
      </c>
      <c r="C417" s="82" t="s">
        <v>10003</v>
      </c>
      <c r="D417" s="82" t="s">
        <v>9253</v>
      </c>
      <c r="E417" s="79"/>
      <c r="H417" s="82" t="s">
        <v>9254</v>
      </c>
      <c r="I417" s="82" t="s">
        <v>9255</v>
      </c>
      <c r="J417" s="84"/>
    </row>
    <row r="418" spans="1:10" ht="15.6" x14ac:dyDescent="0.25">
      <c r="A418" s="8" t="s">
        <v>2215</v>
      </c>
      <c r="B418" s="5" t="s">
        <v>2219</v>
      </c>
      <c r="C418" s="82" t="s">
        <v>9383</v>
      </c>
      <c r="D418" s="82" t="s">
        <v>9523</v>
      </c>
      <c r="H418" s="82"/>
      <c r="I418" s="82" t="s">
        <v>9270</v>
      </c>
      <c r="J418" s="84"/>
    </row>
    <row r="419" spans="1:10" ht="15.6" x14ac:dyDescent="0.25">
      <c r="A419" s="8" t="s">
        <v>2215</v>
      </c>
      <c r="B419" s="5" t="s">
        <v>2219</v>
      </c>
      <c r="C419" s="82" t="s">
        <v>9604</v>
      </c>
      <c r="D419" s="82" t="s">
        <v>9703</v>
      </c>
      <c r="H419" s="82"/>
      <c r="I419" s="82" t="s">
        <v>9270</v>
      </c>
      <c r="J419" s="84"/>
    </row>
    <row r="420" spans="1:10" ht="15.6" x14ac:dyDescent="0.25">
      <c r="A420" s="8" t="s">
        <v>2384</v>
      </c>
      <c r="B420" s="5" t="s">
        <v>2388</v>
      </c>
      <c r="C420" s="82" t="s">
        <v>9383</v>
      </c>
      <c r="D420" s="82" t="s">
        <v>2389</v>
      </c>
      <c r="H420" s="84"/>
      <c r="I420" s="84"/>
      <c r="J420" s="82" t="s">
        <v>2390</v>
      </c>
    </row>
    <row r="421" spans="1:10" ht="15.6" x14ac:dyDescent="0.25">
      <c r="A421" s="8" t="s">
        <v>2384</v>
      </c>
      <c r="B421" s="5" t="s">
        <v>2388</v>
      </c>
      <c r="C421" s="82" t="s">
        <v>9604</v>
      </c>
      <c r="D421" s="82" t="s">
        <v>9802</v>
      </c>
      <c r="H421" s="84"/>
      <c r="I421" s="84"/>
      <c r="J421" s="84"/>
    </row>
    <row r="422" spans="1:10" ht="15.6" x14ac:dyDescent="0.25">
      <c r="A422" s="8" t="s">
        <v>3176</v>
      </c>
      <c r="B422" s="5" t="s">
        <v>3181</v>
      </c>
      <c r="C422" s="82" t="s">
        <v>10003</v>
      </c>
      <c r="D422" s="82" t="s">
        <v>3183</v>
      </c>
      <c r="E422" s="79"/>
      <c r="H422" s="84"/>
      <c r="I422" s="84"/>
      <c r="J422" s="82" t="s">
        <v>3184</v>
      </c>
    </row>
    <row r="423" spans="1:10" ht="15.6" x14ac:dyDescent="0.25">
      <c r="A423" s="8" t="s">
        <v>3176</v>
      </c>
      <c r="B423" s="5" t="s">
        <v>3181</v>
      </c>
      <c r="C423" s="82" t="s">
        <v>9383</v>
      </c>
      <c r="D423" s="82" t="s">
        <v>9452</v>
      </c>
      <c r="H423" s="84"/>
      <c r="I423" s="82"/>
      <c r="J423" s="84"/>
    </row>
    <row r="424" spans="1:10" ht="15.6" x14ac:dyDescent="0.25">
      <c r="A424" s="8" t="s">
        <v>3176</v>
      </c>
      <c r="B424" s="5" t="s">
        <v>3181</v>
      </c>
      <c r="C424" s="82" t="s">
        <v>9604</v>
      </c>
      <c r="D424" s="82" t="s">
        <v>9790</v>
      </c>
      <c r="H424" s="84"/>
      <c r="I424" s="82"/>
      <c r="J424" s="84"/>
    </row>
    <row r="425" spans="1:10" ht="15.6" x14ac:dyDescent="0.25">
      <c r="A425" s="8" t="s">
        <v>3176</v>
      </c>
      <c r="B425" s="5" t="s">
        <v>3181</v>
      </c>
      <c r="C425" s="82" t="s">
        <v>9994</v>
      </c>
      <c r="D425" s="82" t="s">
        <v>9931</v>
      </c>
      <c r="H425" s="84"/>
      <c r="I425" s="84"/>
      <c r="J425" s="84"/>
    </row>
    <row r="426" spans="1:10" ht="15.6" x14ac:dyDescent="0.25">
      <c r="A426" s="8" t="s">
        <v>3176</v>
      </c>
      <c r="B426" s="5" t="s">
        <v>3181</v>
      </c>
      <c r="C426" s="82" t="s">
        <v>9978</v>
      </c>
      <c r="D426" s="82" t="s">
        <v>9985</v>
      </c>
      <c r="H426" s="84"/>
      <c r="I426" s="84"/>
      <c r="J426" s="84"/>
    </row>
    <row r="427" spans="1:10" ht="15.6" x14ac:dyDescent="0.25">
      <c r="A427" s="8" t="s">
        <v>579</v>
      </c>
      <c r="B427" s="5" t="s">
        <v>582</v>
      </c>
      <c r="C427" s="82" t="s">
        <v>9383</v>
      </c>
      <c r="D427" s="82" t="s">
        <v>9600</v>
      </c>
      <c r="H427" s="84"/>
      <c r="I427" s="82" t="s">
        <v>1285</v>
      </c>
      <c r="J427" s="82" t="s">
        <v>9601</v>
      </c>
    </row>
    <row r="428" spans="1:10" ht="15.6" x14ac:dyDescent="0.25">
      <c r="A428" s="8" t="s">
        <v>579</v>
      </c>
      <c r="B428" s="5" t="s">
        <v>582</v>
      </c>
      <c r="C428" s="82" t="s">
        <v>9604</v>
      </c>
      <c r="D428" s="82" t="s">
        <v>9605</v>
      </c>
      <c r="H428" s="84"/>
      <c r="I428" s="82"/>
      <c r="J428" s="82" t="s">
        <v>9606</v>
      </c>
    </row>
    <row r="429" spans="1:10" ht="15.6" x14ac:dyDescent="0.25">
      <c r="A429" s="8" t="s">
        <v>2545</v>
      </c>
      <c r="B429" s="5" t="s">
        <v>2550</v>
      </c>
      <c r="C429" s="82" t="s">
        <v>10003</v>
      </c>
      <c r="D429" s="82" t="s">
        <v>2552</v>
      </c>
      <c r="E429" s="79"/>
      <c r="H429" s="82" t="s">
        <v>9272</v>
      </c>
      <c r="I429" s="82" t="s">
        <v>9273</v>
      </c>
      <c r="J429" s="82" t="s">
        <v>2553</v>
      </c>
    </row>
    <row r="430" spans="1:10" ht="15.6" x14ac:dyDescent="0.25">
      <c r="A430" s="8" t="s">
        <v>1677</v>
      </c>
      <c r="B430" s="5" t="s">
        <v>1682</v>
      </c>
      <c r="C430" s="82" t="s">
        <v>10002</v>
      </c>
      <c r="D430" s="82" t="s">
        <v>1686</v>
      </c>
      <c r="E430" s="79"/>
      <c r="H430" s="82" t="s">
        <v>9298</v>
      </c>
      <c r="I430" s="84"/>
      <c r="J430" s="82" t="s">
        <v>1687</v>
      </c>
    </row>
    <row r="431" spans="1:10" ht="15.6" x14ac:dyDescent="0.25">
      <c r="A431" s="8" t="s">
        <v>2816</v>
      </c>
      <c r="B431" s="5" t="s">
        <v>2822</v>
      </c>
      <c r="C431" s="82" t="s">
        <v>10002</v>
      </c>
      <c r="D431" s="82" t="s">
        <v>9316</v>
      </c>
      <c r="H431" s="82" t="s">
        <v>9317</v>
      </c>
      <c r="I431" s="82" t="s">
        <v>9318</v>
      </c>
      <c r="J431" s="84"/>
    </row>
    <row r="432" spans="1:10" ht="15.6" x14ac:dyDescent="0.25">
      <c r="A432" s="8" t="s">
        <v>2816</v>
      </c>
      <c r="B432" s="5" t="s">
        <v>2822</v>
      </c>
      <c r="C432" s="82" t="s">
        <v>9987</v>
      </c>
      <c r="D432" s="82" t="s">
        <v>9903</v>
      </c>
      <c r="H432" s="82" t="s">
        <v>9904</v>
      </c>
      <c r="I432" s="82" t="s">
        <v>9559</v>
      </c>
      <c r="J432" s="84"/>
    </row>
    <row r="433" spans="1:10" ht="15.6" x14ac:dyDescent="0.25">
      <c r="A433" s="8" t="s">
        <v>2816</v>
      </c>
      <c r="B433" s="5" t="s">
        <v>2822</v>
      </c>
      <c r="C433" s="82" t="s">
        <v>9994</v>
      </c>
      <c r="D433" s="82" t="s">
        <v>9926</v>
      </c>
      <c r="H433" s="82" t="s">
        <v>9927</v>
      </c>
      <c r="I433" s="84"/>
      <c r="J433" s="84"/>
    </row>
    <row r="434" spans="1:10" ht="15.6" x14ac:dyDescent="0.25">
      <c r="A434" s="8" t="s">
        <v>1781</v>
      </c>
      <c r="B434" s="5" t="s">
        <v>1785</v>
      </c>
      <c r="C434" s="82" t="s">
        <v>9383</v>
      </c>
      <c r="D434" s="82" t="s">
        <v>9503</v>
      </c>
      <c r="H434" s="82"/>
      <c r="I434" s="82" t="s">
        <v>9270</v>
      </c>
      <c r="J434" s="84"/>
    </row>
    <row r="435" spans="1:10" ht="15.6" x14ac:dyDescent="0.25">
      <c r="A435" s="8" t="s">
        <v>1781</v>
      </c>
      <c r="B435" s="5" t="s">
        <v>1785</v>
      </c>
      <c r="C435" s="82" t="s">
        <v>9604</v>
      </c>
      <c r="D435" s="82" t="s">
        <v>9728</v>
      </c>
      <c r="H435" s="82"/>
      <c r="I435" s="82" t="s">
        <v>9270</v>
      </c>
      <c r="J435" s="84"/>
    </row>
    <row r="436" spans="1:10" ht="15.6" x14ac:dyDescent="0.25">
      <c r="A436" s="8" t="s">
        <v>963</v>
      </c>
      <c r="B436" s="5" t="s">
        <v>968</v>
      </c>
      <c r="C436" s="82" t="s">
        <v>9383</v>
      </c>
      <c r="D436" s="82" t="s">
        <v>9579</v>
      </c>
      <c r="H436" s="84"/>
      <c r="I436" s="82" t="s">
        <v>9270</v>
      </c>
      <c r="J436" s="82" t="s">
        <v>9580</v>
      </c>
    </row>
    <row r="437" spans="1:10" ht="15.6" x14ac:dyDescent="0.25">
      <c r="A437" s="8" t="s">
        <v>1403</v>
      </c>
      <c r="B437" s="5" t="s">
        <v>1408</v>
      </c>
      <c r="C437" s="82" t="s">
        <v>10002</v>
      </c>
      <c r="D437" s="82" t="s">
        <v>1413</v>
      </c>
      <c r="E437" s="79"/>
      <c r="H437" s="82" t="s">
        <v>9302</v>
      </c>
      <c r="I437" s="82" t="s">
        <v>9303</v>
      </c>
      <c r="J437" s="82" t="s">
        <v>1414</v>
      </c>
    </row>
    <row r="438" spans="1:10" ht="15.6" x14ac:dyDescent="0.25">
      <c r="A438" s="8" t="s">
        <v>1403</v>
      </c>
      <c r="B438" s="5" t="s">
        <v>1408</v>
      </c>
      <c r="C438" s="82" t="s">
        <v>9383</v>
      </c>
      <c r="D438" s="82" t="s">
        <v>9476</v>
      </c>
      <c r="H438" s="84"/>
      <c r="I438" s="82" t="s">
        <v>9270</v>
      </c>
      <c r="J438" s="82" t="s">
        <v>9477</v>
      </c>
    </row>
    <row r="439" spans="1:10" ht="15.6" x14ac:dyDescent="0.25">
      <c r="A439" s="8" t="s">
        <v>1146</v>
      </c>
      <c r="B439" s="5" t="s">
        <v>1153</v>
      </c>
      <c r="C439" s="82" t="s">
        <v>10002</v>
      </c>
      <c r="D439" s="82" t="s">
        <v>1163</v>
      </c>
      <c r="H439" s="82" t="s">
        <v>9333</v>
      </c>
      <c r="I439" s="84"/>
      <c r="J439" s="82" t="s">
        <v>1164</v>
      </c>
    </row>
    <row r="440" spans="1:10" ht="15.6" x14ac:dyDescent="0.25">
      <c r="A440" s="8" t="s">
        <v>2836</v>
      </c>
      <c r="B440" s="5" t="s">
        <v>2841</v>
      </c>
      <c r="C440" s="82" t="s">
        <v>9383</v>
      </c>
      <c r="D440" s="82" t="s">
        <v>2844</v>
      </c>
      <c r="H440" s="84"/>
      <c r="I440" s="82" t="s">
        <v>9270</v>
      </c>
      <c r="J440" s="82" t="s">
        <v>2845</v>
      </c>
    </row>
    <row r="441" spans="1:10" ht="15.6" x14ac:dyDescent="0.25">
      <c r="A441" s="8" t="s">
        <v>2836</v>
      </c>
      <c r="B441" s="5" t="s">
        <v>2841</v>
      </c>
      <c r="C441" s="82" t="s">
        <v>9604</v>
      </c>
      <c r="D441" s="82" t="s">
        <v>9874</v>
      </c>
      <c r="H441" s="84"/>
      <c r="I441" s="82" t="s">
        <v>9270</v>
      </c>
      <c r="J441" s="82" t="s">
        <v>9875</v>
      </c>
    </row>
    <row r="442" spans="1:10" ht="15.6" x14ac:dyDescent="0.25">
      <c r="A442" s="8" t="s">
        <v>2899</v>
      </c>
      <c r="B442" s="5" t="s">
        <v>2903</v>
      </c>
      <c r="C442" s="82" t="s">
        <v>9383</v>
      </c>
      <c r="D442" s="82" t="s">
        <v>2905</v>
      </c>
      <c r="H442" s="84"/>
      <c r="I442" s="84"/>
      <c r="J442" s="82" t="s">
        <v>2906</v>
      </c>
    </row>
    <row r="443" spans="1:10" ht="15.6" x14ac:dyDescent="0.25">
      <c r="A443" s="8" t="s">
        <v>3326</v>
      </c>
      <c r="B443" s="5" t="s">
        <v>3331</v>
      </c>
      <c r="C443" s="82" t="s">
        <v>9383</v>
      </c>
      <c r="D443" s="82" t="s">
        <v>9402</v>
      </c>
      <c r="H443" s="84"/>
      <c r="I443" s="84"/>
      <c r="J443" s="84"/>
    </row>
    <row r="444" spans="1:10" ht="15.6" x14ac:dyDescent="0.25">
      <c r="A444" s="8" t="s">
        <v>3326</v>
      </c>
      <c r="B444" s="5" t="s">
        <v>3331</v>
      </c>
      <c r="C444" s="82" t="s">
        <v>9604</v>
      </c>
      <c r="D444" s="82" t="s">
        <v>9859</v>
      </c>
      <c r="H444" s="84"/>
      <c r="I444" s="84"/>
      <c r="J444" s="82" t="s">
        <v>9860</v>
      </c>
    </row>
    <row r="445" spans="1:10" ht="15.6" x14ac:dyDescent="0.25">
      <c r="A445" s="8" t="s">
        <v>3326</v>
      </c>
      <c r="B445" s="5" t="s">
        <v>3331</v>
      </c>
      <c r="C445" s="82" t="s">
        <v>9994</v>
      </c>
      <c r="D445" s="82" t="s">
        <v>9940</v>
      </c>
      <c r="H445" s="84"/>
      <c r="I445" s="84"/>
      <c r="J445" s="82" t="s">
        <v>9941</v>
      </c>
    </row>
    <row r="446" spans="1:10" ht="15.6" x14ac:dyDescent="0.25">
      <c r="A446" s="8" t="s">
        <v>777</v>
      </c>
      <c r="B446" s="5" t="s">
        <v>784</v>
      </c>
      <c r="C446" s="82" t="s">
        <v>9383</v>
      </c>
      <c r="D446" s="82" t="s">
        <v>7066</v>
      </c>
      <c r="H446" s="84"/>
      <c r="I446" s="82"/>
      <c r="J446" s="82" t="s">
        <v>7067</v>
      </c>
    </row>
    <row r="447" spans="1:10" ht="15.6" x14ac:dyDescent="0.25">
      <c r="A447" s="8" t="s">
        <v>777</v>
      </c>
      <c r="B447" s="5" t="s">
        <v>784</v>
      </c>
      <c r="C447" s="82" t="s">
        <v>9604</v>
      </c>
      <c r="D447" s="82" t="s">
        <v>7068</v>
      </c>
      <c r="H447" s="84"/>
      <c r="I447" s="82" t="s">
        <v>9281</v>
      </c>
      <c r="J447" s="82" t="s">
        <v>7069</v>
      </c>
    </row>
    <row r="448" spans="1:10" ht="15.6" x14ac:dyDescent="0.25">
      <c r="A448" s="8" t="s">
        <v>2477</v>
      </c>
      <c r="B448" s="5" t="s">
        <v>2482</v>
      </c>
      <c r="C448" s="82" t="s">
        <v>9383</v>
      </c>
      <c r="D448" s="82" t="s">
        <v>2484</v>
      </c>
      <c r="I448" s="82" t="s">
        <v>9270</v>
      </c>
      <c r="J448" s="82" t="s">
        <v>2485</v>
      </c>
    </row>
    <row r="449" spans="1:10" ht="15.6" x14ac:dyDescent="0.25">
      <c r="A449" s="8" t="s">
        <v>2477</v>
      </c>
      <c r="B449" s="5" t="s">
        <v>2482</v>
      </c>
      <c r="C449" s="82" t="s">
        <v>9604</v>
      </c>
      <c r="D449" s="82" t="s">
        <v>9698</v>
      </c>
      <c r="I449" s="82" t="s">
        <v>9270</v>
      </c>
      <c r="J449" s="82" t="s">
        <v>2485</v>
      </c>
    </row>
    <row r="450" spans="1:10" ht="15.6" x14ac:dyDescent="0.25">
      <c r="A450" s="8" t="s">
        <v>2477</v>
      </c>
      <c r="B450" s="5" t="s">
        <v>2482</v>
      </c>
      <c r="C450" s="82" t="s">
        <v>9987</v>
      </c>
      <c r="D450" s="82" t="s">
        <v>9917</v>
      </c>
      <c r="H450" s="82"/>
      <c r="I450" s="82" t="s">
        <v>9270</v>
      </c>
      <c r="J450" s="84"/>
    </row>
    <row r="451" spans="1:10" ht="15.6" x14ac:dyDescent="0.25">
      <c r="A451" s="8" t="s">
        <v>1926</v>
      </c>
      <c r="B451" s="5" t="s">
        <v>1929</v>
      </c>
      <c r="C451" s="82" t="s">
        <v>9604</v>
      </c>
      <c r="D451" s="82" t="s">
        <v>9723</v>
      </c>
      <c r="H451" s="84"/>
      <c r="I451" s="82" t="s">
        <v>9270</v>
      </c>
      <c r="J451" s="84"/>
    </row>
    <row r="452" spans="1:10" ht="15.6" x14ac:dyDescent="0.25">
      <c r="A452" s="8" t="s">
        <v>1926</v>
      </c>
      <c r="B452" s="5" t="s">
        <v>1929</v>
      </c>
      <c r="C452" s="82" t="s">
        <v>370</v>
      </c>
      <c r="D452" s="82" t="s">
        <v>9969</v>
      </c>
      <c r="H452" s="84"/>
      <c r="I452" s="84"/>
      <c r="J452" s="84"/>
    </row>
    <row r="453" spans="1:10" ht="15.6" x14ac:dyDescent="0.25">
      <c r="A453" s="8" t="s">
        <v>2772</v>
      </c>
      <c r="B453" s="5" t="s">
        <v>2776</v>
      </c>
      <c r="C453" s="82" t="s">
        <v>9383</v>
      </c>
      <c r="D453" s="82" t="s">
        <v>2778</v>
      </c>
      <c r="H453" s="84"/>
      <c r="I453" s="82" t="s">
        <v>9270</v>
      </c>
      <c r="J453" s="82" t="s">
        <v>2779</v>
      </c>
    </row>
    <row r="454" spans="1:10" ht="15.6" x14ac:dyDescent="0.25">
      <c r="A454" s="8" t="s">
        <v>2772</v>
      </c>
      <c r="B454" s="5" t="s">
        <v>2776</v>
      </c>
      <c r="C454" s="82" t="s">
        <v>9604</v>
      </c>
      <c r="D454" s="82" t="s">
        <v>9842</v>
      </c>
      <c r="H454" s="84"/>
      <c r="I454" s="82" t="s">
        <v>9270</v>
      </c>
      <c r="J454" s="82" t="s">
        <v>9843</v>
      </c>
    </row>
    <row r="455" spans="1:10" ht="15.6" x14ac:dyDescent="0.25">
      <c r="A455" s="8" t="s">
        <v>2772</v>
      </c>
      <c r="B455" s="5" t="s">
        <v>2776</v>
      </c>
      <c r="C455" s="82" t="s">
        <v>9987</v>
      </c>
      <c r="D455" s="82" t="s">
        <v>9895</v>
      </c>
      <c r="H455" s="84"/>
      <c r="I455" s="84"/>
      <c r="J455" s="82" t="s">
        <v>9896</v>
      </c>
    </row>
    <row r="456" spans="1:10" ht="15.6" x14ac:dyDescent="0.25">
      <c r="A456" s="8" t="s">
        <v>607</v>
      </c>
      <c r="B456" s="5" t="s">
        <v>611</v>
      </c>
      <c r="C456" s="82" t="s">
        <v>9383</v>
      </c>
      <c r="D456" s="82" t="s">
        <v>9455</v>
      </c>
      <c r="I456" s="82" t="s">
        <v>9270</v>
      </c>
      <c r="J456" s="82" t="s">
        <v>9456</v>
      </c>
    </row>
    <row r="457" spans="1:10" ht="15.6" x14ac:dyDescent="0.25">
      <c r="A457" s="8" t="s">
        <v>607</v>
      </c>
      <c r="B457" s="5" t="s">
        <v>611</v>
      </c>
      <c r="C457" s="82" t="s">
        <v>9604</v>
      </c>
      <c r="D457" s="82" t="s">
        <v>9783</v>
      </c>
      <c r="I457" s="82" t="s">
        <v>9270</v>
      </c>
      <c r="J457" s="82" t="s">
        <v>9784</v>
      </c>
    </row>
    <row r="458" spans="1:10" ht="15.6" x14ac:dyDescent="0.25">
      <c r="A458" s="8" t="s">
        <v>3294</v>
      </c>
      <c r="B458" s="5" t="s">
        <v>3298</v>
      </c>
      <c r="C458" s="82" t="s">
        <v>10002</v>
      </c>
      <c r="D458" s="82" t="s">
        <v>3302</v>
      </c>
      <c r="H458" s="84"/>
      <c r="I458" s="84"/>
      <c r="J458" s="82" t="s">
        <v>3303</v>
      </c>
    </row>
    <row r="459" spans="1:10" ht="15.6" x14ac:dyDescent="0.25">
      <c r="A459" s="8" t="s">
        <v>3294</v>
      </c>
      <c r="B459" s="5" t="s">
        <v>3298</v>
      </c>
      <c r="C459" s="82" t="s">
        <v>9337</v>
      </c>
      <c r="D459" s="82" t="s">
        <v>9349</v>
      </c>
      <c r="H459" s="84"/>
      <c r="I459" s="84"/>
      <c r="J459" s="84"/>
    </row>
    <row r="460" spans="1:10" ht="15.6" x14ac:dyDescent="0.25">
      <c r="A460" s="8" t="s">
        <v>3294</v>
      </c>
      <c r="B460" s="5" t="s">
        <v>3298</v>
      </c>
      <c r="C460" s="82" t="s">
        <v>9337</v>
      </c>
      <c r="D460" s="82" t="s">
        <v>9350</v>
      </c>
      <c r="H460" s="84"/>
      <c r="I460" s="84"/>
      <c r="J460" s="84"/>
    </row>
    <row r="461" spans="1:10" ht="15.6" x14ac:dyDescent="0.25">
      <c r="A461" s="8" t="s">
        <v>1870</v>
      </c>
      <c r="B461" s="5" t="s">
        <v>1874</v>
      </c>
      <c r="C461" s="82" t="s">
        <v>10002</v>
      </c>
      <c r="D461" s="82" t="s">
        <v>9294</v>
      </c>
      <c r="E461" s="79"/>
      <c r="H461" s="84"/>
      <c r="I461" s="84"/>
      <c r="J461" s="84"/>
    </row>
    <row r="462" spans="1:10" ht="15.6" x14ac:dyDescent="0.25">
      <c r="A462" s="8" t="s">
        <v>1870</v>
      </c>
      <c r="B462" s="5" t="s">
        <v>1874</v>
      </c>
      <c r="C462" s="82" t="s">
        <v>9383</v>
      </c>
      <c r="D462" s="82" t="s">
        <v>9498</v>
      </c>
      <c r="H462" s="84"/>
      <c r="I462" s="84"/>
      <c r="J462" s="84"/>
    </row>
    <row r="463" spans="1:10" ht="15.6" x14ac:dyDescent="0.25">
      <c r="A463" s="8" t="s">
        <v>1809</v>
      </c>
      <c r="B463" s="5" t="s">
        <v>1816</v>
      </c>
      <c r="C463" s="82" t="s">
        <v>10003</v>
      </c>
      <c r="D463" s="82" t="s">
        <v>9256</v>
      </c>
      <c r="E463" s="79"/>
      <c r="H463" s="82" t="s">
        <v>9257</v>
      </c>
      <c r="I463" s="82" t="s">
        <v>9258</v>
      </c>
      <c r="J463" s="82" t="s">
        <v>9259</v>
      </c>
    </row>
    <row r="464" spans="1:10" ht="15.6" x14ac:dyDescent="0.25">
      <c r="A464" s="8" t="s">
        <v>1809</v>
      </c>
      <c r="B464" s="5" t="s">
        <v>1816</v>
      </c>
      <c r="C464" s="82" t="s">
        <v>9359</v>
      </c>
      <c r="D464" s="82" t="s">
        <v>9368</v>
      </c>
      <c r="H464" s="82"/>
      <c r="I464" s="82"/>
      <c r="J464" s="84"/>
    </row>
    <row r="465" spans="1:10" ht="15.6" x14ac:dyDescent="0.25">
      <c r="A465" s="8" t="s">
        <v>2790</v>
      </c>
      <c r="B465" s="5" t="s">
        <v>2795</v>
      </c>
      <c r="C465" s="82" t="s">
        <v>10002</v>
      </c>
      <c r="D465" s="82" t="s">
        <v>2797</v>
      </c>
      <c r="H465" s="84"/>
      <c r="I465" s="84"/>
      <c r="J465" s="82" t="s">
        <v>2798</v>
      </c>
    </row>
    <row r="466" spans="1:10" ht="15.6" x14ac:dyDescent="0.25">
      <c r="A466" s="8" t="s">
        <v>2790</v>
      </c>
      <c r="B466" s="5" t="s">
        <v>2795</v>
      </c>
      <c r="C466" s="82" t="s">
        <v>9359</v>
      </c>
      <c r="D466" s="82" t="s">
        <v>9381</v>
      </c>
      <c r="H466" s="84"/>
      <c r="I466" s="84"/>
      <c r="J466" s="82" t="s">
        <v>9382</v>
      </c>
    </row>
    <row r="467" spans="1:10" ht="15.6" x14ac:dyDescent="0.25">
      <c r="A467" s="8" t="s">
        <v>3433</v>
      </c>
      <c r="B467" s="5" t="s">
        <v>3438</v>
      </c>
      <c r="C467" s="82" t="s">
        <v>10002</v>
      </c>
      <c r="D467" s="82" t="s">
        <v>3443</v>
      </c>
      <c r="H467" s="84"/>
      <c r="I467" s="84"/>
      <c r="J467" s="82" t="s">
        <v>3444</v>
      </c>
    </row>
    <row r="468" spans="1:10" ht="15.6" x14ac:dyDescent="0.25">
      <c r="A468" s="8" t="s">
        <v>3433</v>
      </c>
      <c r="B468" s="5" t="s">
        <v>3438</v>
      </c>
      <c r="C468" s="82" t="s">
        <v>9383</v>
      </c>
      <c r="D468" s="82" t="s">
        <v>9395</v>
      </c>
      <c r="H468" s="84"/>
      <c r="I468" s="84"/>
      <c r="J468" s="82" t="s">
        <v>9396</v>
      </c>
    </row>
    <row r="469" spans="1:10" ht="15.6" x14ac:dyDescent="0.25">
      <c r="A469" s="8" t="s">
        <v>3433</v>
      </c>
      <c r="B469" s="5" t="s">
        <v>3438</v>
      </c>
      <c r="C469" s="82" t="s">
        <v>9604</v>
      </c>
      <c r="D469" s="82" t="s">
        <v>9872</v>
      </c>
      <c r="H469" s="84"/>
      <c r="I469" s="84"/>
      <c r="J469" s="82" t="s">
        <v>9396</v>
      </c>
    </row>
    <row r="470" spans="1:10" ht="15.6" x14ac:dyDescent="0.25">
      <c r="A470" s="8" t="s">
        <v>3304</v>
      </c>
      <c r="B470" s="5" t="s">
        <v>3308</v>
      </c>
      <c r="C470" s="82" t="s">
        <v>10002</v>
      </c>
      <c r="D470" s="82" t="s">
        <v>3310</v>
      </c>
      <c r="H470" s="84"/>
      <c r="I470" s="84"/>
      <c r="J470" s="82" t="s">
        <v>3311</v>
      </c>
    </row>
    <row r="471" spans="1:10" ht="15.6" x14ac:dyDescent="0.25">
      <c r="A471" s="8" t="s">
        <v>3304</v>
      </c>
      <c r="B471" s="5" t="s">
        <v>3308</v>
      </c>
      <c r="C471" s="82" t="s">
        <v>9359</v>
      </c>
      <c r="D471" s="82" t="s">
        <v>9378</v>
      </c>
      <c r="H471" s="84"/>
      <c r="I471" s="84"/>
      <c r="J471" s="84"/>
    </row>
    <row r="472" spans="1:10" ht="15.6" x14ac:dyDescent="0.25">
      <c r="A472" s="8" t="s">
        <v>3536</v>
      </c>
      <c r="B472" s="5" t="s">
        <v>3540</v>
      </c>
      <c r="C472" s="82" t="s">
        <v>10002</v>
      </c>
      <c r="D472" s="82" t="s">
        <v>3542</v>
      </c>
      <c r="E472" s="79"/>
      <c r="H472" s="84"/>
      <c r="I472" s="84"/>
      <c r="J472" s="82" t="s">
        <v>3543</v>
      </c>
    </row>
    <row r="473" spans="1:10" ht="15.6" x14ac:dyDescent="0.25">
      <c r="A473" s="8" t="s">
        <v>3536</v>
      </c>
      <c r="B473" s="5" t="s">
        <v>3540</v>
      </c>
      <c r="C473" s="82" t="s">
        <v>9359</v>
      </c>
      <c r="D473" s="82" t="s">
        <v>9360</v>
      </c>
      <c r="H473" s="84"/>
      <c r="I473" s="84"/>
      <c r="J473" s="84"/>
    </row>
    <row r="474" spans="1:10" ht="15.6" x14ac:dyDescent="0.25">
      <c r="A474" s="8" t="s">
        <v>3536</v>
      </c>
      <c r="B474" s="5" t="s">
        <v>3540</v>
      </c>
      <c r="C474" s="82" t="s">
        <v>9604</v>
      </c>
      <c r="D474" s="82" t="s">
        <v>9686</v>
      </c>
      <c r="H474" s="84"/>
      <c r="I474" s="84"/>
      <c r="J474" s="82" t="s">
        <v>9687</v>
      </c>
    </row>
    <row r="475" spans="1:10" ht="15.6" x14ac:dyDescent="0.25">
      <c r="A475" s="8" t="s">
        <v>2431</v>
      </c>
      <c r="B475" s="5" t="s">
        <v>2436</v>
      </c>
      <c r="C475" s="82" t="s">
        <v>9383</v>
      </c>
      <c r="D475" s="82" t="s">
        <v>2438</v>
      </c>
      <c r="H475" s="84"/>
      <c r="I475" s="84"/>
      <c r="J475" s="82" t="s">
        <v>2439</v>
      </c>
    </row>
    <row r="476" spans="1:10" ht="15.6" x14ac:dyDescent="0.25">
      <c r="A476" s="8" t="s">
        <v>2431</v>
      </c>
      <c r="B476" s="5" t="s">
        <v>2436</v>
      </c>
      <c r="C476" s="82" t="s">
        <v>9604</v>
      </c>
      <c r="D476" s="82" t="s">
        <v>9690</v>
      </c>
      <c r="H476" s="84"/>
      <c r="I476" s="84"/>
      <c r="J476" s="82" t="s">
        <v>9691</v>
      </c>
    </row>
    <row r="477" spans="1:10" ht="15.6" x14ac:dyDescent="0.25">
      <c r="A477" s="8" t="s">
        <v>2431</v>
      </c>
      <c r="B477" s="5" t="s">
        <v>2436</v>
      </c>
      <c r="C477" s="82" t="s">
        <v>9987</v>
      </c>
      <c r="D477" s="82" t="s">
        <v>9916</v>
      </c>
      <c r="H477" s="84"/>
      <c r="I477" s="84"/>
      <c r="J477" s="82" t="s">
        <v>2439</v>
      </c>
    </row>
    <row r="478" spans="1:10" ht="15.6" x14ac:dyDescent="0.25">
      <c r="A478" s="8" t="s">
        <v>2193</v>
      </c>
      <c r="B478" s="5" t="s">
        <v>2199</v>
      </c>
      <c r="C478" s="82" t="s">
        <v>9383</v>
      </c>
      <c r="D478" s="82" t="s">
        <v>9521</v>
      </c>
      <c r="H478" s="82"/>
      <c r="I478" s="82" t="s">
        <v>9270</v>
      </c>
      <c r="J478" s="84"/>
    </row>
    <row r="479" spans="1:10" ht="15.6" x14ac:dyDescent="0.25">
      <c r="A479" s="8" t="s">
        <v>2193</v>
      </c>
      <c r="B479" s="5" t="s">
        <v>2199</v>
      </c>
      <c r="C479" s="82" t="s">
        <v>9604</v>
      </c>
      <c r="D479" s="82" t="s">
        <v>9706</v>
      </c>
      <c r="H479" s="82"/>
      <c r="I479" s="82" t="s">
        <v>9270</v>
      </c>
      <c r="J479" s="84"/>
    </row>
    <row r="480" spans="1:10" ht="15.6" x14ac:dyDescent="0.25">
      <c r="A480" s="8" t="s">
        <v>2193</v>
      </c>
      <c r="B480" s="5" t="s">
        <v>2199</v>
      </c>
      <c r="C480" s="82" t="s">
        <v>9994</v>
      </c>
      <c r="D480" s="82" t="s">
        <v>9997</v>
      </c>
      <c r="H480" s="82" t="s">
        <v>9998</v>
      </c>
      <c r="I480" s="84"/>
      <c r="J480" s="84"/>
    </row>
    <row r="481" spans="1:10" ht="15.6" x14ac:dyDescent="0.25">
      <c r="A481" s="8" t="s">
        <v>2799</v>
      </c>
      <c r="B481" s="5" t="s">
        <v>2803</v>
      </c>
      <c r="C481" s="82" t="s">
        <v>9359</v>
      </c>
      <c r="D481" s="82" t="s">
        <v>2805</v>
      </c>
      <c r="H481" s="82"/>
      <c r="I481" s="84"/>
      <c r="J481" s="82" t="s">
        <v>2807</v>
      </c>
    </row>
    <row r="482" spans="1:10" ht="15.6" x14ac:dyDescent="0.25">
      <c r="A482" s="8" t="s">
        <v>2020</v>
      </c>
      <c r="B482" s="5" t="s">
        <v>2027</v>
      </c>
      <c r="C482" s="82" t="s">
        <v>10003</v>
      </c>
      <c r="D482" s="82" t="s">
        <v>9263</v>
      </c>
      <c r="E482" s="79"/>
      <c r="H482" s="84"/>
      <c r="I482" s="84"/>
      <c r="J482" s="84"/>
    </row>
    <row r="483" spans="1:10" ht="15.6" x14ac:dyDescent="0.25">
      <c r="A483" s="8" t="s">
        <v>2020</v>
      </c>
      <c r="B483" s="5" t="s">
        <v>2027</v>
      </c>
      <c r="C483" s="82" t="s">
        <v>9359</v>
      </c>
      <c r="D483" s="82" t="s">
        <v>9365</v>
      </c>
      <c r="H483" s="84"/>
      <c r="I483" s="82"/>
      <c r="J483" s="84"/>
    </row>
    <row r="484" spans="1:10" ht="15.6" x14ac:dyDescent="0.25">
      <c r="A484" s="8" t="s">
        <v>584</v>
      </c>
      <c r="B484" s="5" t="s">
        <v>587</v>
      </c>
      <c r="C484" s="82" t="s">
        <v>9383</v>
      </c>
      <c r="D484" s="82" t="s">
        <v>9595</v>
      </c>
      <c r="H484" s="84"/>
      <c r="I484" s="82" t="s">
        <v>9270</v>
      </c>
      <c r="J484" s="82" t="s">
        <v>9596</v>
      </c>
    </row>
    <row r="485" spans="1:10" ht="15.6" x14ac:dyDescent="0.25">
      <c r="A485" s="8" t="s">
        <v>584</v>
      </c>
      <c r="B485" s="5" t="s">
        <v>587</v>
      </c>
      <c r="C485" s="82" t="s">
        <v>9604</v>
      </c>
      <c r="D485" s="82" t="s">
        <v>9613</v>
      </c>
      <c r="H485" s="84"/>
      <c r="I485" s="82" t="s">
        <v>9270</v>
      </c>
      <c r="J485" s="82" t="s">
        <v>9614</v>
      </c>
    </row>
    <row r="486" spans="1:10" ht="15.6" x14ac:dyDescent="0.25">
      <c r="A486" s="8" t="s">
        <v>2632</v>
      </c>
      <c r="B486" s="5" t="s">
        <v>2637</v>
      </c>
      <c r="C486" s="82" t="s">
        <v>10002</v>
      </c>
      <c r="D486" s="82" t="s">
        <v>2642</v>
      </c>
      <c r="H486" s="84"/>
      <c r="I486" s="84"/>
      <c r="J486" s="82" t="s">
        <v>2643</v>
      </c>
    </row>
    <row r="487" spans="1:10" ht="15.6" x14ac:dyDescent="0.25">
      <c r="A487" s="8" t="s">
        <v>2632</v>
      </c>
      <c r="B487" s="5" t="s">
        <v>2637</v>
      </c>
      <c r="C487" s="82" t="s">
        <v>9337</v>
      </c>
      <c r="D487" s="82" t="s">
        <v>9353</v>
      </c>
      <c r="H487" s="84"/>
      <c r="I487" s="84"/>
      <c r="J487" s="84"/>
    </row>
    <row r="488" spans="1:10" ht="15.6" x14ac:dyDescent="0.25">
      <c r="A488" s="8" t="s">
        <v>2340</v>
      </c>
      <c r="B488" s="5" t="s">
        <v>2344</v>
      </c>
      <c r="C488" s="82" t="s">
        <v>9383</v>
      </c>
      <c r="D488" s="82" t="s">
        <v>9532</v>
      </c>
      <c r="H488" s="84"/>
      <c r="I488" s="84"/>
      <c r="J488" s="84"/>
    </row>
    <row r="489" spans="1:10" ht="15.6" x14ac:dyDescent="0.25">
      <c r="A489" s="8" t="s">
        <v>2340</v>
      </c>
      <c r="B489" s="5" t="s">
        <v>2344</v>
      </c>
      <c r="C489" s="82" t="s">
        <v>9604</v>
      </c>
      <c r="D489" s="82" t="s">
        <v>9692</v>
      </c>
      <c r="H489" s="82" t="s">
        <v>9693</v>
      </c>
      <c r="I489" s="84"/>
      <c r="J489" s="84"/>
    </row>
    <row r="490" spans="1:10" ht="15.6" x14ac:dyDescent="0.25">
      <c r="A490" s="8" t="s">
        <v>3093</v>
      </c>
      <c r="B490" s="5" t="s">
        <v>3097</v>
      </c>
      <c r="C490" s="82" t="s">
        <v>9383</v>
      </c>
      <c r="D490" s="82" t="s">
        <v>3102</v>
      </c>
      <c r="I490" s="82" t="s">
        <v>9270</v>
      </c>
      <c r="J490" s="82" t="s">
        <v>3103</v>
      </c>
    </row>
    <row r="491" spans="1:10" ht="15.6" x14ac:dyDescent="0.25">
      <c r="A491" s="8" t="s">
        <v>3093</v>
      </c>
      <c r="B491" s="5" t="s">
        <v>3097</v>
      </c>
      <c r="C491" s="82" t="s">
        <v>9604</v>
      </c>
      <c r="D491" s="82" t="s">
        <v>9800</v>
      </c>
      <c r="I491" s="82" t="s">
        <v>9270</v>
      </c>
      <c r="J491" s="82" t="s">
        <v>9801</v>
      </c>
    </row>
    <row r="492" spans="1:10" ht="15.6" x14ac:dyDescent="0.25">
      <c r="A492" s="8" t="s">
        <v>3093</v>
      </c>
      <c r="B492" s="5" t="s">
        <v>3097</v>
      </c>
      <c r="C492" s="82" t="s">
        <v>9978</v>
      </c>
      <c r="D492" s="82" t="s">
        <v>9982</v>
      </c>
      <c r="H492" s="82"/>
      <c r="I492" s="84"/>
      <c r="J492" s="84"/>
    </row>
    <row r="493" spans="1:10" ht="15.6" x14ac:dyDescent="0.25">
      <c r="A493" s="8" t="s">
        <v>2286</v>
      </c>
      <c r="B493" s="5" t="s">
        <v>2292</v>
      </c>
      <c r="C493" s="82" t="s">
        <v>10002</v>
      </c>
      <c r="D493" s="82" t="s">
        <v>9287</v>
      </c>
      <c r="E493" s="79"/>
      <c r="H493" s="82" t="s">
        <v>9288</v>
      </c>
      <c r="I493" s="84"/>
      <c r="J493" s="84"/>
    </row>
    <row r="494" spans="1:10" ht="15.6" x14ac:dyDescent="0.25">
      <c r="A494" s="8" t="s">
        <v>2286</v>
      </c>
      <c r="B494" s="5" t="s">
        <v>2292</v>
      </c>
      <c r="C494" s="82" t="s">
        <v>9604</v>
      </c>
      <c r="D494" s="82" t="s">
        <v>9709</v>
      </c>
      <c r="H494" s="84"/>
      <c r="I494" s="84"/>
      <c r="J494" s="84"/>
    </row>
    <row r="495" spans="1:10" ht="15.6" x14ac:dyDescent="0.25">
      <c r="A495" s="8" t="s">
        <v>3025</v>
      </c>
      <c r="B495" s="5" t="s">
        <v>3028</v>
      </c>
      <c r="C495" s="82" t="s">
        <v>10003</v>
      </c>
      <c r="D495" s="82" t="s">
        <v>3033</v>
      </c>
      <c r="E495" s="79"/>
      <c r="H495" s="82" t="s">
        <v>9246</v>
      </c>
      <c r="I495" s="84"/>
      <c r="J495" s="82" t="s">
        <v>3034</v>
      </c>
    </row>
    <row r="496" spans="1:10" ht="15.6" x14ac:dyDescent="0.25">
      <c r="A496" s="8" t="s">
        <v>3025</v>
      </c>
      <c r="B496" s="5" t="s">
        <v>3028</v>
      </c>
      <c r="C496" s="82" t="s">
        <v>9383</v>
      </c>
      <c r="D496" s="82" t="s">
        <v>9444</v>
      </c>
      <c r="H496" s="84"/>
      <c r="I496" s="82" t="s">
        <v>9270</v>
      </c>
      <c r="J496" s="82" t="s">
        <v>9445</v>
      </c>
    </row>
    <row r="497" spans="1:10" ht="15.6" x14ac:dyDescent="0.25">
      <c r="A497" s="8" t="s">
        <v>3025</v>
      </c>
      <c r="B497" s="5" t="s">
        <v>3028</v>
      </c>
      <c r="C497" s="82" t="s">
        <v>9604</v>
      </c>
      <c r="D497" s="82" t="s">
        <v>9796</v>
      </c>
      <c r="H497" s="84"/>
      <c r="I497" s="82" t="s">
        <v>9270</v>
      </c>
      <c r="J497" s="82" t="s">
        <v>9797</v>
      </c>
    </row>
    <row r="498" spans="1:10" ht="15.6" x14ac:dyDescent="0.25">
      <c r="A498" s="8" t="s">
        <v>793</v>
      </c>
      <c r="B498" s="5" t="s">
        <v>800</v>
      </c>
      <c r="C498" s="82" t="s">
        <v>9383</v>
      </c>
      <c r="D498" s="82" t="s">
        <v>9419</v>
      </c>
      <c r="H498" s="82"/>
      <c r="I498" s="84"/>
      <c r="J498" s="82" t="s">
        <v>9420</v>
      </c>
    </row>
    <row r="499" spans="1:10" ht="15.6" x14ac:dyDescent="0.25">
      <c r="A499" s="8" t="s">
        <v>793</v>
      </c>
      <c r="B499" s="5" t="s">
        <v>800</v>
      </c>
      <c r="C499" s="82" t="s">
        <v>9604</v>
      </c>
      <c r="D499" s="82" t="s">
        <v>9829</v>
      </c>
      <c r="H499" s="82" t="s">
        <v>9830</v>
      </c>
      <c r="I499" s="82" t="s">
        <v>9251</v>
      </c>
      <c r="J499" s="82" t="s">
        <v>9831</v>
      </c>
    </row>
    <row r="500" spans="1:10" ht="15.6" x14ac:dyDescent="0.25">
      <c r="A500" s="8" t="s">
        <v>2663</v>
      </c>
      <c r="B500" s="5" t="s">
        <v>2667</v>
      </c>
      <c r="C500" s="82" t="s">
        <v>10002</v>
      </c>
      <c r="D500" s="82" t="s">
        <v>9283</v>
      </c>
      <c r="E500" s="79"/>
      <c r="H500" s="82" t="s">
        <v>9284</v>
      </c>
      <c r="I500" s="82" t="s">
        <v>9285</v>
      </c>
      <c r="J500" s="84"/>
    </row>
    <row r="501" spans="1:10" ht="15.6" x14ac:dyDescent="0.25">
      <c r="A501" s="8" t="s">
        <v>2663</v>
      </c>
      <c r="B501" s="5" t="s">
        <v>2667</v>
      </c>
      <c r="C501" s="82" t="s">
        <v>9359</v>
      </c>
      <c r="D501" s="82" t="s">
        <v>9362</v>
      </c>
      <c r="H501" s="84"/>
      <c r="I501" s="84"/>
      <c r="J501" s="84"/>
    </row>
    <row r="502" spans="1:10" ht="15.6" x14ac:dyDescent="0.25">
      <c r="A502" s="8" t="s">
        <v>3005</v>
      </c>
      <c r="B502" s="5" t="s">
        <v>3009</v>
      </c>
      <c r="C502" s="82" t="s">
        <v>10003</v>
      </c>
      <c r="D502" s="82" t="s">
        <v>3012</v>
      </c>
      <c r="E502" s="79"/>
      <c r="H502" s="82" t="s">
        <v>9252</v>
      </c>
      <c r="I502" s="84"/>
      <c r="J502" s="82" t="s">
        <v>3013</v>
      </c>
    </row>
    <row r="503" spans="1:10" ht="15.6" x14ac:dyDescent="0.25">
      <c r="A503" s="8" t="s">
        <v>3005</v>
      </c>
      <c r="B503" s="5" t="s">
        <v>3009</v>
      </c>
      <c r="C503" s="82" t="s">
        <v>9604</v>
      </c>
      <c r="D503" s="82" t="s">
        <v>9779</v>
      </c>
      <c r="H503" s="82"/>
      <c r="I503" s="82"/>
      <c r="J503" s="84"/>
    </row>
    <row r="504" spans="1:10" ht="15.6" x14ac:dyDescent="0.25">
      <c r="A504" s="8" t="s">
        <v>1323</v>
      </c>
      <c r="B504" s="5" t="s">
        <v>1330</v>
      </c>
      <c r="C504" s="82" t="s">
        <v>9383</v>
      </c>
      <c r="D504" s="82" t="s">
        <v>1334</v>
      </c>
      <c r="H504" s="84"/>
      <c r="I504" s="82" t="s">
        <v>9270</v>
      </c>
      <c r="J504" s="82" t="s">
        <v>1335</v>
      </c>
    </row>
    <row r="505" spans="1:10" ht="15.6" x14ac:dyDescent="0.25">
      <c r="A505" s="8" t="s">
        <v>1323</v>
      </c>
      <c r="B505" s="5" t="s">
        <v>1330</v>
      </c>
      <c r="C505" s="82" t="s">
        <v>9604</v>
      </c>
      <c r="D505" s="82" t="s">
        <v>9626</v>
      </c>
      <c r="H505" s="84"/>
      <c r="I505" s="82" t="s">
        <v>9270</v>
      </c>
      <c r="J505" s="82" t="s">
        <v>9627</v>
      </c>
    </row>
    <row r="506" spans="1:10" ht="15.6" x14ac:dyDescent="0.25">
      <c r="A506" s="8" t="s">
        <v>3169</v>
      </c>
      <c r="B506" s="5" t="s">
        <v>3173</v>
      </c>
      <c r="C506" s="82" t="s">
        <v>10003</v>
      </c>
      <c r="D506" s="82" t="s">
        <v>3174</v>
      </c>
      <c r="E506" s="79"/>
      <c r="I506" s="82" t="s">
        <v>9270</v>
      </c>
      <c r="J506" s="82" t="s">
        <v>3175</v>
      </c>
    </row>
    <row r="507" spans="1:10" ht="15.6" x14ac:dyDescent="0.25">
      <c r="A507" s="8" t="s">
        <v>3169</v>
      </c>
      <c r="B507" s="5" t="s">
        <v>3173</v>
      </c>
      <c r="C507" s="82" t="s">
        <v>9337</v>
      </c>
      <c r="D507" s="82" t="s">
        <v>9334</v>
      </c>
      <c r="H507" s="82"/>
      <c r="I507" s="84"/>
      <c r="J507" s="84"/>
    </row>
    <row r="508" spans="1:10" ht="15.6" x14ac:dyDescent="0.25">
      <c r="A508" s="8" t="s">
        <v>3169</v>
      </c>
      <c r="B508" s="5" t="s">
        <v>3173</v>
      </c>
      <c r="C508" s="82" t="s">
        <v>9383</v>
      </c>
      <c r="D508" s="82" t="s">
        <v>9539</v>
      </c>
      <c r="H508" s="82"/>
      <c r="I508" s="82"/>
      <c r="J508" s="84"/>
    </row>
    <row r="509" spans="1:10" ht="15.6" x14ac:dyDescent="0.25">
      <c r="A509" s="8" t="s">
        <v>3119</v>
      </c>
      <c r="B509" s="5" t="s">
        <v>3124</v>
      </c>
      <c r="C509" s="82" t="s">
        <v>10002</v>
      </c>
      <c r="D509" s="82" t="s">
        <v>3126</v>
      </c>
      <c r="H509" s="84"/>
      <c r="I509" s="84"/>
      <c r="J509" s="82" t="s">
        <v>3127</v>
      </c>
    </row>
    <row r="510" spans="1:10" ht="15.6" x14ac:dyDescent="0.25">
      <c r="A510" s="8" t="s">
        <v>3119</v>
      </c>
      <c r="B510" s="5" t="s">
        <v>3124</v>
      </c>
      <c r="C510" s="82" t="s">
        <v>9383</v>
      </c>
      <c r="D510" s="82" t="s">
        <v>9394</v>
      </c>
      <c r="H510" s="84"/>
      <c r="I510" s="82" t="s">
        <v>9270</v>
      </c>
      <c r="J510" s="84"/>
    </row>
    <row r="511" spans="1:10" ht="15.6" x14ac:dyDescent="0.25">
      <c r="A511" s="8" t="s">
        <v>3119</v>
      </c>
      <c r="B511" s="5" t="s">
        <v>3124</v>
      </c>
      <c r="C511" s="82" t="s">
        <v>9604</v>
      </c>
      <c r="D511" s="82" t="s">
        <v>9873</v>
      </c>
      <c r="H511" s="84"/>
      <c r="I511" s="82" t="s">
        <v>9270</v>
      </c>
      <c r="J511" s="84"/>
    </row>
    <row r="512" spans="1:10" ht="15.6" x14ac:dyDescent="0.25">
      <c r="A512" s="8" t="s">
        <v>3119</v>
      </c>
      <c r="B512" s="5" t="s">
        <v>3124</v>
      </c>
      <c r="C512" s="82" t="s">
        <v>9987</v>
      </c>
      <c r="D512" s="82" t="s">
        <v>9902</v>
      </c>
      <c r="H512" s="84"/>
      <c r="I512" s="82" t="s">
        <v>9270</v>
      </c>
      <c r="J512" s="84"/>
    </row>
    <row r="513" spans="1:10" ht="15.6" x14ac:dyDescent="0.25">
      <c r="A513" s="8" t="s">
        <v>600</v>
      </c>
      <c r="B513" s="5" t="s">
        <v>604</v>
      </c>
      <c r="C513" s="82" t="s">
        <v>9383</v>
      </c>
      <c r="D513" s="82" t="s">
        <v>9425</v>
      </c>
      <c r="I513" s="82" t="s">
        <v>9270</v>
      </c>
      <c r="J513" s="82" t="s">
        <v>9426</v>
      </c>
    </row>
    <row r="514" spans="1:10" ht="15.6" x14ac:dyDescent="0.25">
      <c r="A514" s="8" t="s">
        <v>600</v>
      </c>
      <c r="B514" s="5" t="s">
        <v>604</v>
      </c>
      <c r="C514" s="82" t="s">
        <v>9604</v>
      </c>
      <c r="D514" s="82" t="s">
        <v>9823</v>
      </c>
      <c r="I514" s="82" t="s">
        <v>9270</v>
      </c>
      <c r="J514" s="82" t="s">
        <v>9824</v>
      </c>
    </row>
    <row r="515" spans="1:10" ht="15.6" x14ac:dyDescent="0.25">
      <c r="A515" s="8" t="s">
        <v>600</v>
      </c>
      <c r="B515" s="5" t="s">
        <v>604</v>
      </c>
      <c r="C515" s="82" t="s">
        <v>370</v>
      </c>
      <c r="D515" s="82" t="s">
        <v>9963</v>
      </c>
      <c r="H515" s="84"/>
      <c r="I515" s="84"/>
      <c r="J515" s="84"/>
    </row>
    <row r="516" spans="1:10" ht="15.6" x14ac:dyDescent="0.25">
      <c r="A516" s="8" t="s">
        <v>2536</v>
      </c>
      <c r="B516" s="5" t="s">
        <v>2541</v>
      </c>
      <c r="C516" s="82" t="s">
        <v>9383</v>
      </c>
      <c r="D516" s="82" t="s">
        <v>2543</v>
      </c>
      <c r="H516" s="84"/>
      <c r="I516" s="82" t="s">
        <v>9270</v>
      </c>
      <c r="J516" s="82" t="s">
        <v>2544</v>
      </c>
    </row>
    <row r="517" spans="1:10" ht="15.6" x14ac:dyDescent="0.25">
      <c r="A517" s="8" t="s">
        <v>2536</v>
      </c>
      <c r="B517" s="5" t="s">
        <v>2541</v>
      </c>
      <c r="C517" s="82" t="s">
        <v>9604</v>
      </c>
      <c r="D517" s="82" t="s">
        <v>9676</v>
      </c>
      <c r="H517" s="84"/>
      <c r="I517" s="82" t="s">
        <v>9270</v>
      </c>
      <c r="J517" s="84"/>
    </row>
    <row r="518" spans="1:10" ht="15.6" x14ac:dyDescent="0.25">
      <c r="A518" s="8" t="s">
        <v>2536</v>
      </c>
      <c r="B518" s="5" t="s">
        <v>2541</v>
      </c>
      <c r="C518" s="82" t="s">
        <v>370</v>
      </c>
      <c r="D518" s="82" t="s">
        <v>9968</v>
      </c>
      <c r="H518" s="84"/>
      <c r="I518" s="84"/>
      <c r="J518" s="84"/>
    </row>
    <row r="519" spans="1:10" ht="15.6" x14ac:dyDescent="0.25">
      <c r="A519" s="8" t="s">
        <v>454</v>
      </c>
      <c r="B519" s="5" t="s">
        <v>464</v>
      </c>
      <c r="C519" s="82" t="s">
        <v>9604</v>
      </c>
      <c r="D519" s="82" t="s">
        <v>468</v>
      </c>
      <c r="H519" s="82"/>
      <c r="I519" s="82"/>
      <c r="J519" s="82" t="s">
        <v>9838</v>
      </c>
    </row>
    <row r="520" spans="1:10" ht="15.6" x14ac:dyDescent="0.25">
      <c r="A520" s="8" t="s">
        <v>1205</v>
      </c>
      <c r="B520" s="5" t="s">
        <v>1212</v>
      </c>
      <c r="C520" s="82" t="s">
        <v>9383</v>
      </c>
      <c r="D520" s="82" t="s">
        <v>1215</v>
      </c>
      <c r="H520" s="84"/>
      <c r="I520" s="82" t="s">
        <v>9270</v>
      </c>
      <c r="J520" s="82" t="s">
        <v>1216</v>
      </c>
    </row>
    <row r="521" spans="1:10" ht="15.6" x14ac:dyDescent="0.25">
      <c r="A521" s="8" t="s">
        <v>1205</v>
      </c>
      <c r="B521" s="5" t="s">
        <v>1212</v>
      </c>
      <c r="C521" s="82" t="s">
        <v>9604</v>
      </c>
      <c r="D521" s="82" t="s">
        <v>9645</v>
      </c>
      <c r="H521" s="84"/>
      <c r="I521" s="82" t="s">
        <v>9270</v>
      </c>
      <c r="J521" s="82" t="s">
        <v>9646</v>
      </c>
    </row>
    <row r="522" spans="1:10" ht="15.6" x14ac:dyDescent="0.25">
      <c r="A522" s="8" t="s">
        <v>1390</v>
      </c>
      <c r="B522" s="5" t="s">
        <v>1396</v>
      </c>
      <c r="C522" s="82" t="s">
        <v>10002</v>
      </c>
      <c r="D522" s="82" t="s">
        <v>1401</v>
      </c>
      <c r="E522" s="79"/>
      <c r="H522" s="82" t="s">
        <v>9244</v>
      </c>
      <c r="I522" s="82" t="s">
        <v>9245</v>
      </c>
      <c r="J522" s="82" t="s">
        <v>1402</v>
      </c>
    </row>
    <row r="523" spans="1:10" ht="15.6" x14ac:dyDescent="0.25">
      <c r="A523" s="8" t="s">
        <v>2347</v>
      </c>
      <c r="B523" s="5" t="s">
        <v>2352</v>
      </c>
      <c r="C523" s="82" t="s">
        <v>9383</v>
      </c>
      <c r="D523" s="82" t="s">
        <v>2356</v>
      </c>
      <c r="H523" s="84"/>
      <c r="I523" s="84"/>
      <c r="J523" s="82" t="s">
        <v>2357</v>
      </c>
    </row>
    <row r="524" spans="1:10" ht="15.6" x14ac:dyDescent="0.25">
      <c r="A524" s="8" t="s">
        <v>2347</v>
      </c>
      <c r="B524" s="5" t="s">
        <v>2352</v>
      </c>
      <c r="C524" s="82" t="s">
        <v>9604</v>
      </c>
      <c r="D524" s="82" t="s">
        <v>9688</v>
      </c>
      <c r="H524" s="84"/>
      <c r="I524" s="84"/>
      <c r="J524" s="82" t="s">
        <v>9689</v>
      </c>
    </row>
    <row r="525" spans="1:10" ht="15.6" x14ac:dyDescent="0.25">
      <c r="A525" s="8" t="s">
        <v>2347</v>
      </c>
      <c r="B525" s="5" t="s">
        <v>2352</v>
      </c>
      <c r="C525" s="82" t="s">
        <v>9987</v>
      </c>
      <c r="D525" s="82" t="s">
        <v>9918</v>
      </c>
      <c r="H525" s="82" t="s">
        <v>9919</v>
      </c>
      <c r="I525" s="84"/>
      <c r="J525" s="84"/>
    </row>
    <row r="526" spans="1:10" ht="15.6" x14ac:dyDescent="0.25">
      <c r="A526" s="8" t="s">
        <v>3357</v>
      </c>
      <c r="B526" s="5" t="s">
        <v>3360</v>
      </c>
      <c r="C526" s="82" t="s">
        <v>10002</v>
      </c>
      <c r="D526" s="82" t="s">
        <v>3363</v>
      </c>
      <c r="H526" s="84"/>
      <c r="I526" s="84"/>
      <c r="J526" s="82" t="s">
        <v>3364</v>
      </c>
    </row>
    <row r="527" spans="1:10" ht="15.6" x14ac:dyDescent="0.25">
      <c r="A527" s="8" t="s">
        <v>3357</v>
      </c>
      <c r="B527" s="5" t="s">
        <v>3360</v>
      </c>
      <c r="C527" s="82" t="s">
        <v>9383</v>
      </c>
      <c r="D527" s="82" t="s">
        <v>9431</v>
      </c>
      <c r="H527" s="84"/>
      <c r="I527" s="84"/>
      <c r="J527" s="82" t="s">
        <v>9432</v>
      </c>
    </row>
    <row r="528" spans="1:10" ht="15.6" x14ac:dyDescent="0.25">
      <c r="A528" s="8" t="s">
        <v>2936</v>
      </c>
      <c r="B528" s="5" t="s">
        <v>2941</v>
      </c>
      <c r="C528" s="82" t="s">
        <v>9383</v>
      </c>
      <c r="D528" s="82" t="s">
        <v>2943</v>
      </c>
      <c r="H528" s="84"/>
      <c r="I528" s="82" t="s">
        <v>9270</v>
      </c>
      <c r="J528" s="82" t="s">
        <v>2944</v>
      </c>
    </row>
    <row r="529" spans="1:10" ht="15.6" x14ac:dyDescent="0.25">
      <c r="A529" s="8" t="s">
        <v>2936</v>
      </c>
      <c r="B529" s="5" t="s">
        <v>2941</v>
      </c>
      <c r="C529" s="82" t="s">
        <v>9604</v>
      </c>
      <c r="D529" s="82" t="s">
        <v>9803</v>
      </c>
      <c r="H529" s="84"/>
      <c r="I529" s="82" t="s">
        <v>9270</v>
      </c>
      <c r="J529" s="82" t="s">
        <v>9804</v>
      </c>
    </row>
    <row r="530" spans="1:10" ht="15.6" x14ac:dyDescent="0.25">
      <c r="A530" s="8" t="s">
        <v>2936</v>
      </c>
      <c r="B530" s="5" t="s">
        <v>2941</v>
      </c>
      <c r="C530" s="82" t="s">
        <v>9978</v>
      </c>
      <c r="D530" s="82" t="s">
        <v>9983</v>
      </c>
      <c r="H530" s="84"/>
      <c r="I530" s="82" t="s">
        <v>9270</v>
      </c>
      <c r="J530" s="84"/>
    </row>
    <row r="531" spans="1:10" ht="15.6" x14ac:dyDescent="0.25">
      <c r="A531" s="8" t="s">
        <v>3473</v>
      </c>
      <c r="B531" s="5" t="s">
        <v>3477</v>
      </c>
      <c r="C531" s="82" t="s">
        <v>10002</v>
      </c>
      <c r="D531" s="82" t="s">
        <v>3480</v>
      </c>
      <c r="E531" s="79"/>
      <c r="H531" s="84"/>
      <c r="I531" s="84"/>
      <c r="J531" s="82" t="s">
        <v>3481</v>
      </c>
    </row>
    <row r="532" spans="1:10" ht="15.6" x14ac:dyDescent="0.25">
      <c r="A532" s="8" t="s">
        <v>3473</v>
      </c>
      <c r="B532" s="5" t="s">
        <v>3477</v>
      </c>
      <c r="C532" s="82" t="s">
        <v>9337</v>
      </c>
      <c r="D532" s="82" t="s">
        <v>9339</v>
      </c>
      <c r="H532" s="84"/>
      <c r="I532" s="84"/>
      <c r="J532" s="84"/>
    </row>
    <row r="533" spans="1:10" ht="15.6" x14ac:dyDescent="0.25">
      <c r="A533" s="8" t="s">
        <v>1755</v>
      </c>
      <c r="B533" s="5" t="s">
        <v>1759</v>
      </c>
      <c r="C533" s="82" t="s">
        <v>9383</v>
      </c>
      <c r="D533" s="82" t="s">
        <v>9501</v>
      </c>
      <c r="H533" s="82"/>
      <c r="I533" s="82" t="s">
        <v>9270</v>
      </c>
      <c r="J533" s="84"/>
    </row>
    <row r="534" spans="1:10" ht="15.6" x14ac:dyDescent="0.25">
      <c r="A534" s="8" t="s">
        <v>1755</v>
      </c>
      <c r="B534" s="5" t="s">
        <v>1759</v>
      </c>
      <c r="C534" s="82" t="s">
        <v>9604</v>
      </c>
      <c r="D534" s="82" t="s">
        <v>9729</v>
      </c>
      <c r="H534" s="82"/>
      <c r="I534" s="82" t="s">
        <v>9270</v>
      </c>
      <c r="J534" s="84"/>
    </row>
    <row r="535" spans="1:10" ht="15.6" x14ac:dyDescent="0.25">
      <c r="A535" s="8" t="s">
        <v>2972</v>
      </c>
      <c r="B535" s="5" t="s">
        <v>2979</v>
      </c>
      <c r="C535" s="82" t="s">
        <v>9383</v>
      </c>
      <c r="D535" s="82" t="s">
        <v>2983</v>
      </c>
      <c r="H535" s="84"/>
      <c r="I535" s="82" t="s">
        <v>9270</v>
      </c>
      <c r="J535" s="82" t="s">
        <v>2984</v>
      </c>
    </row>
    <row r="536" spans="1:10" ht="15.6" x14ac:dyDescent="0.25">
      <c r="A536" s="8" t="s">
        <v>2972</v>
      </c>
      <c r="B536" s="5" t="s">
        <v>2979</v>
      </c>
      <c r="C536" s="82" t="s">
        <v>9604</v>
      </c>
      <c r="D536" s="82" t="s">
        <v>9810</v>
      </c>
      <c r="H536" s="82" t="s">
        <v>9811</v>
      </c>
      <c r="I536" s="82" t="s">
        <v>9812</v>
      </c>
      <c r="J536" s="84"/>
    </row>
    <row r="537" spans="1:10" ht="15.6" x14ac:dyDescent="0.25">
      <c r="A537" s="8" t="s">
        <v>2367</v>
      </c>
      <c r="B537" s="5" t="s">
        <v>2371</v>
      </c>
      <c r="C537" s="82" t="s">
        <v>9383</v>
      </c>
      <c r="D537" s="82" t="s">
        <v>2373</v>
      </c>
      <c r="H537" s="84"/>
      <c r="I537" s="84"/>
      <c r="J537" s="82" t="s">
        <v>2374</v>
      </c>
    </row>
    <row r="538" spans="1:10" ht="15.6" x14ac:dyDescent="0.25">
      <c r="A538" s="8" t="s">
        <v>3056</v>
      </c>
      <c r="B538" s="5" t="s">
        <v>3062</v>
      </c>
      <c r="C538" s="82" t="s">
        <v>9383</v>
      </c>
      <c r="D538" s="82" t="s">
        <v>9389</v>
      </c>
      <c r="H538" s="84"/>
      <c r="I538" s="84"/>
      <c r="J538" s="84"/>
    </row>
    <row r="539" spans="1:10" ht="15.6" x14ac:dyDescent="0.25">
      <c r="A539" s="8" t="s">
        <v>3056</v>
      </c>
      <c r="B539" s="5" t="s">
        <v>3062</v>
      </c>
      <c r="C539" s="82" t="s">
        <v>9604</v>
      </c>
      <c r="D539" s="82" t="s">
        <v>9878</v>
      </c>
      <c r="H539" s="84"/>
      <c r="I539" s="84"/>
      <c r="J539" s="84"/>
    </row>
    <row r="540" spans="1:10" ht="15.6" x14ac:dyDescent="0.25">
      <c r="A540" s="8" t="s">
        <v>3513</v>
      </c>
      <c r="B540" s="5" t="s">
        <v>3518</v>
      </c>
      <c r="C540" s="82" t="s">
        <v>10002</v>
      </c>
      <c r="D540" s="82" t="s">
        <v>3521</v>
      </c>
      <c r="E540" s="79"/>
      <c r="H540" s="82" t="s">
        <v>9286</v>
      </c>
      <c r="I540" s="84"/>
      <c r="J540" s="82" t="s">
        <v>3522</v>
      </c>
    </row>
    <row r="541" spans="1:10" ht="15.6" x14ac:dyDescent="0.25">
      <c r="A541" s="8" t="s">
        <v>688</v>
      </c>
      <c r="B541" s="5" t="s">
        <v>699</v>
      </c>
      <c r="C541" s="82" t="s">
        <v>9383</v>
      </c>
      <c r="D541" s="82" t="s">
        <v>7061</v>
      </c>
      <c r="H541" s="82" t="s">
        <v>9413</v>
      </c>
      <c r="I541" s="82"/>
      <c r="J541" s="82" t="s">
        <v>9415</v>
      </c>
    </row>
    <row r="542" spans="1:10" ht="15.6" x14ac:dyDescent="0.25">
      <c r="A542" s="8" t="s">
        <v>3482</v>
      </c>
      <c r="B542" s="5" t="s">
        <v>3485</v>
      </c>
      <c r="C542" s="82" t="s">
        <v>9383</v>
      </c>
      <c r="D542" s="82" t="s">
        <v>9451</v>
      </c>
      <c r="H542" s="82"/>
      <c r="I542" s="82"/>
      <c r="J542" s="84"/>
    </row>
    <row r="543" spans="1:10" ht="15.6" x14ac:dyDescent="0.25">
      <c r="A543" s="8" t="s">
        <v>3482</v>
      </c>
      <c r="B543" s="5" t="s">
        <v>3485</v>
      </c>
      <c r="C543" s="82" t="s">
        <v>9604</v>
      </c>
      <c r="D543" s="82" t="s">
        <v>9789</v>
      </c>
      <c r="H543" s="82"/>
      <c r="I543" s="82"/>
      <c r="J543" s="84"/>
    </row>
    <row r="544" spans="1:10" ht="15.6" x14ac:dyDescent="0.25">
      <c r="A544" s="8" t="s">
        <v>373</v>
      </c>
      <c r="B544" s="5" t="s">
        <v>381</v>
      </c>
      <c r="C544" s="82" t="s">
        <v>9383</v>
      </c>
      <c r="D544" s="82" t="s">
        <v>388</v>
      </c>
      <c r="H544" s="82" t="s">
        <v>9437</v>
      </c>
      <c r="I544" s="82" t="s">
        <v>9438</v>
      </c>
      <c r="J544" s="82" t="s">
        <v>389</v>
      </c>
    </row>
    <row r="545" spans="1:10" ht="15.6" x14ac:dyDescent="0.25">
      <c r="A545" s="8" t="s">
        <v>373</v>
      </c>
      <c r="B545" s="5" t="s">
        <v>381</v>
      </c>
      <c r="C545" s="82" t="s">
        <v>9604</v>
      </c>
      <c r="D545" s="82" t="s">
        <v>7049</v>
      </c>
      <c r="H545" s="82" t="s">
        <v>9813</v>
      </c>
      <c r="I545" s="82" t="s">
        <v>9814</v>
      </c>
      <c r="J545" s="82" t="s">
        <v>7050</v>
      </c>
    </row>
    <row r="546" spans="1:10" ht="15.6" x14ac:dyDescent="0.25">
      <c r="A546" s="8" t="s">
        <v>1999</v>
      </c>
      <c r="B546" s="5" t="s">
        <v>2004</v>
      </c>
      <c r="C546" s="82" t="s">
        <v>9383</v>
      </c>
      <c r="D546" s="82" t="s">
        <v>9494</v>
      </c>
      <c r="H546" s="84"/>
      <c r="I546" s="84"/>
      <c r="J546" s="84"/>
    </row>
    <row r="547" spans="1:10" ht="15.6" x14ac:dyDescent="0.25">
      <c r="A547" s="8" t="s">
        <v>1999</v>
      </c>
      <c r="B547" s="5" t="s">
        <v>2004</v>
      </c>
      <c r="C547" s="82" t="s">
        <v>9604</v>
      </c>
      <c r="D547" s="82" t="s">
        <v>9735</v>
      </c>
      <c r="H547" s="84"/>
      <c r="I547" s="84"/>
      <c r="J547" s="84"/>
    </row>
    <row r="548" spans="1:10" ht="15.6" x14ac:dyDescent="0.25">
      <c r="A548" s="8" t="s">
        <v>1999</v>
      </c>
      <c r="B548" s="5" t="s">
        <v>2004</v>
      </c>
      <c r="C548" s="82" t="s">
        <v>9987</v>
      </c>
      <c r="D548" s="82" t="s">
        <v>9910</v>
      </c>
      <c r="H548" s="84"/>
      <c r="I548" s="84"/>
      <c r="J548" s="84"/>
    </row>
    <row r="549" spans="1:10" ht="15.6" x14ac:dyDescent="0.25">
      <c r="A549" s="8" t="s">
        <v>2040</v>
      </c>
      <c r="B549" s="5" t="s">
        <v>2044</v>
      </c>
      <c r="C549" s="82" t="s">
        <v>9383</v>
      </c>
      <c r="D549" s="82" t="s">
        <v>9495</v>
      </c>
      <c r="H549" s="84"/>
      <c r="I549" s="84"/>
      <c r="J549" s="84"/>
    </row>
    <row r="550" spans="1:10" ht="15.6" x14ac:dyDescent="0.25">
      <c r="A550" s="8" t="s">
        <v>2040</v>
      </c>
      <c r="B550" s="5" t="s">
        <v>2044</v>
      </c>
      <c r="C550" s="82" t="s">
        <v>9604</v>
      </c>
      <c r="D550" s="82" t="s">
        <v>2048</v>
      </c>
      <c r="H550" s="84"/>
      <c r="I550" s="84"/>
      <c r="J550" s="82" t="s">
        <v>2049</v>
      </c>
    </row>
    <row r="551" spans="1:10" ht="15.6" x14ac:dyDescent="0.25">
      <c r="A551" s="8" t="s">
        <v>1972</v>
      </c>
      <c r="B551" s="5" t="s">
        <v>1976</v>
      </c>
      <c r="C551" s="82" t="s">
        <v>9383</v>
      </c>
      <c r="D551" s="82" t="s">
        <v>9493</v>
      </c>
      <c r="H551" s="84"/>
      <c r="I551" s="84"/>
      <c r="J551" s="84"/>
    </row>
    <row r="552" spans="1:10" ht="15.6" x14ac:dyDescent="0.25">
      <c r="A552" s="8" t="s">
        <v>1972</v>
      </c>
      <c r="B552" s="5" t="s">
        <v>1976</v>
      </c>
      <c r="C552" s="82" t="s">
        <v>9604</v>
      </c>
      <c r="D552" s="82" t="s">
        <v>9736</v>
      </c>
      <c r="H552" s="84"/>
      <c r="I552" s="84"/>
      <c r="J552" s="84"/>
    </row>
    <row r="553" spans="1:10" ht="15.6" x14ac:dyDescent="0.25">
      <c r="A553" s="8" t="s">
        <v>2050</v>
      </c>
      <c r="B553" s="5" t="s">
        <v>2055</v>
      </c>
      <c r="C553" s="82" t="s">
        <v>9383</v>
      </c>
      <c r="D553" s="82" t="s">
        <v>2058</v>
      </c>
      <c r="H553" s="84"/>
      <c r="I553" s="84"/>
      <c r="J553" s="82" t="s">
        <v>2059</v>
      </c>
    </row>
    <row r="554" spans="1:10" ht="15.6" x14ac:dyDescent="0.25">
      <c r="A554" s="8" t="s">
        <v>2050</v>
      </c>
      <c r="B554" s="5" t="s">
        <v>2055</v>
      </c>
      <c r="C554" s="82" t="s">
        <v>9604</v>
      </c>
      <c r="D554" s="82" t="s">
        <v>9745</v>
      </c>
      <c r="H554" s="84"/>
      <c r="I554" s="84"/>
      <c r="J554" s="84"/>
    </row>
    <row r="555" spans="1:10" ht="15.6" x14ac:dyDescent="0.25">
      <c r="A555" s="8" t="s">
        <v>1521</v>
      </c>
      <c r="B555" s="5" t="s">
        <v>3270</v>
      </c>
      <c r="C555" s="82" t="s">
        <v>10002</v>
      </c>
      <c r="D555" s="82" t="s">
        <v>3274</v>
      </c>
      <c r="E555" s="79"/>
      <c r="H555" s="84"/>
      <c r="I555" s="84"/>
      <c r="J555" s="82" t="s">
        <v>3275</v>
      </c>
    </row>
    <row r="556" spans="1:10" ht="15.6" x14ac:dyDescent="0.25">
      <c r="A556" s="8" t="s">
        <v>1521</v>
      </c>
      <c r="B556" s="5" t="s">
        <v>3270</v>
      </c>
      <c r="C556" s="82" t="s">
        <v>9337</v>
      </c>
      <c r="D556" s="82" t="s">
        <v>9352</v>
      </c>
      <c r="H556" s="84"/>
      <c r="I556" s="84"/>
      <c r="J556" s="84"/>
    </row>
    <row r="557" spans="1:10" ht="15.6" x14ac:dyDescent="0.25">
      <c r="A557" s="8" t="s">
        <v>548</v>
      </c>
      <c r="B557" s="5" t="s">
        <v>557</v>
      </c>
      <c r="C557" s="82" t="s">
        <v>9383</v>
      </c>
      <c r="D557" s="82" t="s">
        <v>9423</v>
      </c>
      <c r="H557" s="84"/>
      <c r="I557" s="82" t="s">
        <v>9270</v>
      </c>
      <c r="J557" s="82" t="s">
        <v>9424</v>
      </c>
    </row>
    <row r="558" spans="1:10" ht="15.6" x14ac:dyDescent="0.25">
      <c r="A558" s="8" t="s">
        <v>548</v>
      </c>
      <c r="B558" s="5" t="s">
        <v>557</v>
      </c>
      <c r="C558" s="82" t="s">
        <v>9604</v>
      </c>
      <c r="D558" s="82" t="s">
        <v>9828</v>
      </c>
      <c r="H558" s="84"/>
      <c r="I558" s="82" t="s">
        <v>9270</v>
      </c>
      <c r="J558" s="82" t="s">
        <v>9424</v>
      </c>
    </row>
    <row r="559" spans="1:10" ht="15.6" x14ac:dyDescent="0.25">
      <c r="A559" s="8" t="s">
        <v>2447</v>
      </c>
      <c r="B559" s="5" t="s">
        <v>2452</v>
      </c>
      <c r="C559" s="82" t="s">
        <v>9383</v>
      </c>
      <c r="D559" s="82" t="s">
        <v>2456</v>
      </c>
      <c r="H559" s="84"/>
      <c r="I559" s="84"/>
      <c r="J559" s="82" t="s">
        <v>2457</v>
      </c>
    </row>
    <row r="560" spans="1:10" ht="15.6" x14ac:dyDescent="0.25">
      <c r="A560" s="8" t="s">
        <v>2447</v>
      </c>
      <c r="B560" s="5" t="s">
        <v>2452</v>
      </c>
      <c r="C560" s="82" t="s">
        <v>9604</v>
      </c>
      <c r="D560" s="82" t="s">
        <v>9794</v>
      </c>
      <c r="H560" s="84"/>
      <c r="I560" s="84"/>
      <c r="J560" s="82" t="s">
        <v>9795</v>
      </c>
    </row>
    <row r="561" spans="1:10" ht="15.6" x14ac:dyDescent="0.25">
      <c r="A561" s="8" t="s">
        <v>2447</v>
      </c>
      <c r="B561" s="5" t="s">
        <v>2452</v>
      </c>
      <c r="C561" s="82" t="s">
        <v>9994</v>
      </c>
      <c r="D561" s="82" t="s">
        <v>9929</v>
      </c>
      <c r="H561" s="84"/>
      <c r="I561" s="84"/>
      <c r="J561" s="82" t="s">
        <v>9930</v>
      </c>
    </row>
    <row r="562" spans="1:10" ht="15.6" x14ac:dyDescent="0.25">
      <c r="A562" s="8" t="s">
        <v>2953</v>
      </c>
      <c r="B562" s="5" t="s">
        <v>2957</v>
      </c>
      <c r="C562" s="82" t="s">
        <v>9383</v>
      </c>
      <c r="D562" s="82" t="s">
        <v>2960</v>
      </c>
      <c r="H562" s="84"/>
      <c r="I562" s="84"/>
      <c r="J562" s="82" t="s">
        <v>2961</v>
      </c>
    </row>
    <row r="563" spans="1:10" ht="15.6" x14ac:dyDescent="0.25">
      <c r="A563" s="8" t="s">
        <v>2953</v>
      </c>
      <c r="B563" s="5" t="s">
        <v>2957</v>
      </c>
      <c r="C563" s="82" t="s">
        <v>9604</v>
      </c>
      <c r="D563" s="82" t="s">
        <v>9778</v>
      </c>
      <c r="H563" s="84"/>
      <c r="I563" s="84"/>
      <c r="J563" s="84"/>
    </row>
    <row r="564" spans="1:10" ht="15.6" x14ac:dyDescent="0.25">
      <c r="A564" s="8" t="s">
        <v>1259</v>
      </c>
      <c r="B564" s="5" t="s">
        <v>1263</v>
      </c>
      <c r="C564" s="82" t="s">
        <v>9383</v>
      </c>
      <c r="D564" s="82" t="s">
        <v>1268</v>
      </c>
      <c r="H564" s="82" t="s">
        <v>9592</v>
      </c>
      <c r="I564" s="82"/>
      <c r="J564" s="82" t="s">
        <v>1269</v>
      </c>
    </row>
    <row r="565" spans="1:10" ht="15.6" x14ac:dyDescent="0.25">
      <c r="A565" s="8" t="s">
        <v>1259</v>
      </c>
      <c r="B565" s="5" t="s">
        <v>1263</v>
      </c>
      <c r="C565" s="82" t="s">
        <v>9604</v>
      </c>
      <c r="D565" s="82" t="s">
        <v>9617</v>
      </c>
      <c r="H565" s="82" t="s">
        <v>9618</v>
      </c>
      <c r="I565" s="82" t="s">
        <v>9281</v>
      </c>
      <c r="J565" s="82" t="s">
        <v>9619</v>
      </c>
    </row>
    <row r="566" spans="1:10" ht="15.6" x14ac:dyDescent="0.25">
      <c r="A566" s="8" t="s">
        <v>3209</v>
      </c>
      <c r="B566" s="5" t="s">
        <v>3213</v>
      </c>
      <c r="C566" s="82" t="s">
        <v>10002</v>
      </c>
      <c r="D566" s="82" t="s">
        <v>9331</v>
      </c>
      <c r="H566" s="84"/>
      <c r="I566" s="84"/>
      <c r="J566" s="84"/>
    </row>
    <row r="567" spans="1:10" ht="15.6" x14ac:dyDescent="0.25">
      <c r="A567" s="8" t="s">
        <v>3209</v>
      </c>
      <c r="B567" s="5" t="s">
        <v>3213</v>
      </c>
      <c r="C567" s="82" t="s">
        <v>9359</v>
      </c>
      <c r="D567" s="82" t="s">
        <v>9380</v>
      </c>
      <c r="H567" s="84"/>
      <c r="I567" s="84"/>
      <c r="J567" s="84"/>
    </row>
    <row r="568" spans="1:10" ht="15.6" x14ac:dyDescent="0.25">
      <c r="A568" s="8" t="s">
        <v>3256</v>
      </c>
      <c r="B568" s="5" t="s">
        <v>3262</v>
      </c>
      <c r="C568" s="82" t="s">
        <v>10002</v>
      </c>
      <c r="D568" s="82" t="s">
        <v>3264</v>
      </c>
      <c r="H568" s="84"/>
      <c r="I568" s="84"/>
      <c r="J568" s="82" t="s">
        <v>3265</v>
      </c>
    </row>
    <row r="569" spans="1:10" ht="15.6" x14ac:dyDescent="0.25">
      <c r="A569" s="8" t="s">
        <v>3256</v>
      </c>
      <c r="B569" s="5" t="s">
        <v>3262</v>
      </c>
      <c r="C569" s="82" t="s">
        <v>9337</v>
      </c>
      <c r="D569" s="82" t="s">
        <v>9351</v>
      </c>
      <c r="H569" s="84"/>
      <c r="I569" s="84"/>
      <c r="J569" s="84"/>
    </row>
    <row r="570" spans="1:10" ht="15.6" x14ac:dyDescent="0.25">
      <c r="A570" s="8" t="s">
        <v>1545</v>
      </c>
      <c r="B570" s="5" t="s">
        <v>1551</v>
      </c>
      <c r="C570" s="82" t="s">
        <v>9383</v>
      </c>
      <c r="D570" s="82" t="s">
        <v>1554</v>
      </c>
      <c r="H570" s="82" t="s">
        <v>9486</v>
      </c>
      <c r="I570" s="82" t="s">
        <v>9487</v>
      </c>
      <c r="J570" s="82" t="s">
        <v>1555</v>
      </c>
    </row>
    <row r="571" spans="1:10" ht="15.6" x14ac:dyDescent="0.25">
      <c r="A571" s="8" t="s">
        <v>1545</v>
      </c>
      <c r="B571" s="5" t="s">
        <v>1551</v>
      </c>
      <c r="C571" s="82" t="s">
        <v>9604</v>
      </c>
      <c r="D571" s="82" t="s">
        <v>9748</v>
      </c>
      <c r="H571" s="82" t="s">
        <v>9486</v>
      </c>
      <c r="I571" s="82" t="s">
        <v>9487</v>
      </c>
      <c r="J571" s="82" t="s">
        <v>1555</v>
      </c>
    </row>
    <row r="572" spans="1:10" ht="15.6" x14ac:dyDescent="0.25">
      <c r="A572" s="8" t="s">
        <v>1545</v>
      </c>
      <c r="B572" s="5" t="s">
        <v>1551</v>
      </c>
      <c r="C572" s="82" t="s">
        <v>9978</v>
      </c>
      <c r="D572" s="82" t="s">
        <v>9979</v>
      </c>
      <c r="H572" s="82"/>
      <c r="I572" s="82"/>
      <c r="J572" s="82" t="s">
        <v>9980</v>
      </c>
    </row>
    <row r="573" spans="1:10" ht="15.6" x14ac:dyDescent="0.25">
      <c r="A573" s="8" t="s">
        <v>2080</v>
      </c>
      <c r="B573" s="5" t="s">
        <v>2085</v>
      </c>
      <c r="C573" s="82" t="s">
        <v>9337</v>
      </c>
      <c r="D573" s="82" t="s">
        <v>9345</v>
      </c>
      <c r="H573" s="82"/>
      <c r="I573" s="84"/>
      <c r="J573" s="84"/>
    </row>
    <row r="574" spans="1:10" ht="15.6" x14ac:dyDescent="0.25">
      <c r="A574" s="8" t="s">
        <v>2080</v>
      </c>
      <c r="B574" s="5" t="s">
        <v>2085</v>
      </c>
      <c r="C574" s="82" t="s">
        <v>9604</v>
      </c>
      <c r="D574" s="82" t="s">
        <v>2089</v>
      </c>
      <c r="I574" s="82" t="s">
        <v>9270</v>
      </c>
      <c r="J574" s="82" t="s">
        <v>2090</v>
      </c>
    </row>
    <row r="575" spans="1:10" ht="15.6" x14ac:dyDescent="0.25">
      <c r="A575" s="8" t="s">
        <v>3128</v>
      </c>
      <c r="B575" s="5" t="s">
        <v>3133</v>
      </c>
      <c r="C575" s="82" t="s">
        <v>10002</v>
      </c>
      <c r="D575" s="82" t="s">
        <v>3135</v>
      </c>
      <c r="E575" s="79"/>
      <c r="I575" s="82" t="s">
        <v>9270</v>
      </c>
      <c r="J575" s="82" t="s">
        <v>3136</v>
      </c>
    </row>
    <row r="576" spans="1:10" ht="15.6" x14ac:dyDescent="0.25">
      <c r="A576" s="8" t="s">
        <v>3128</v>
      </c>
      <c r="B576" s="5" t="s">
        <v>3133</v>
      </c>
      <c r="C576" s="82" t="s">
        <v>9383</v>
      </c>
      <c r="D576" s="82" t="s">
        <v>9540</v>
      </c>
      <c r="I576" s="82" t="s">
        <v>9270</v>
      </c>
      <c r="J576" s="84"/>
    </row>
    <row r="577" spans="1:10" ht="15.6" x14ac:dyDescent="0.25">
      <c r="A577" s="8" t="s">
        <v>3128</v>
      </c>
      <c r="B577" s="5" t="s">
        <v>3133</v>
      </c>
      <c r="C577" s="82" t="s">
        <v>9604</v>
      </c>
      <c r="D577" s="82" t="s">
        <v>9669</v>
      </c>
      <c r="I577" s="82" t="s">
        <v>9270</v>
      </c>
      <c r="J577" s="84"/>
    </row>
    <row r="578" spans="1:10" ht="15.6" x14ac:dyDescent="0.25">
      <c r="A578" s="8" t="s">
        <v>2907</v>
      </c>
      <c r="B578" s="5" t="s">
        <v>2910</v>
      </c>
      <c r="C578" s="82" t="s">
        <v>9383</v>
      </c>
      <c r="D578" s="82" t="s">
        <v>2913</v>
      </c>
      <c r="H578" s="82" t="s">
        <v>9405</v>
      </c>
      <c r="I578" s="82" t="s">
        <v>9285</v>
      </c>
      <c r="J578" s="82" t="s">
        <v>2914</v>
      </c>
    </row>
    <row r="579" spans="1:10" ht="15.6" x14ac:dyDescent="0.25">
      <c r="A579" s="8" t="s">
        <v>2907</v>
      </c>
      <c r="B579" s="5" t="s">
        <v>2910</v>
      </c>
      <c r="C579" s="82" t="s">
        <v>9604</v>
      </c>
      <c r="D579" s="82" t="s">
        <v>9844</v>
      </c>
      <c r="H579" s="84"/>
      <c r="I579" s="84"/>
      <c r="J579" s="82" t="s">
        <v>9845</v>
      </c>
    </row>
    <row r="580" spans="1:10" ht="15.6" x14ac:dyDescent="0.25">
      <c r="A580" s="8" t="s">
        <v>2907</v>
      </c>
      <c r="B580" s="5" t="s">
        <v>2910</v>
      </c>
      <c r="C580" s="82" t="s">
        <v>370</v>
      </c>
      <c r="D580" s="82" t="s">
        <v>9949</v>
      </c>
      <c r="H580" s="82" t="s">
        <v>9950</v>
      </c>
      <c r="I580" s="82" t="s">
        <v>9951</v>
      </c>
      <c r="J580" s="82" t="s">
        <v>9952</v>
      </c>
    </row>
    <row r="581" spans="1:10" ht="15.6" x14ac:dyDescent="0.25">
      <c r="A581" s="8" t="s">
        <v>3152</v>
      </c>
      <c r="B581" s="5" t="s">
        <v>3157</v>
      </c>
      <c r="C581" s="82" t="s">
        <v>10002</v>
      </c>
      <c r="D581" s="82" t="s">
        <v>3160</v>
      </c>
      <c r="H581" s="84"/>
      <c r="I581" s="84"/>
      <c r="J581" s="82" t="s">
        <v>3161</v>
      </c>
    </row>
    <row r="582" spans="1:10" ht="15.6" x14ac:dyDescent="0.25">
      <c r="A582" s="8" t="s">
        <v>3152</v>
      </c>
      <c r="B582" s="5" t="s">
        <v>3157</v>
      </c>
      <c r="C582" s="82" t="s">
        <v>9383</v>
      </c>
      <c r="D582" s="82" t="s">
        <v>9390</v>
      </c>
      <c r="H582" s="82" t="s">
        <v>9391</v>
      </c>
      <c r="I582" s="82" t="s">
        <v>9392</v>
      </c>
      <c r="J582" s="82" t="s">
        <v>9393</v>
      </c>
    </row>
    <row r="583" spans="1:10" ht="15.6" x14ac:dyDescent="0.25">
      <c r="A583" s="8" t="s">
        <v>3152</v>
      </c>
      <c r="B583" s="5" t="s">
        <v>3157</v>
      </c>
      <c r="C583" s="82" t="s">
        <v>9604</v>
      </c>
      <c r="D583" s="82" t="s">
        <v>9876</v>
      </c>
      <c r="H583" s="84"/>
      <c r="I583" s="82" t="s">
        <v>9270</v>
      </c>
      <c r="J583" s="82" t="s">
        <v>9877</v>
      </c>
    </row>
    <row r="584" spans="1:10" ht="15.6" x14ac:dyDescent="0.25">
      <c r="A584" s="8" t="s">
        <v>3152</v>
      </c>
      <c r="B584" s="5" t="s">
        <v>3157</v>
      </c>
      <c r="C584" s="82" t="s">
        <v>9994</v>
      </c>
      <c r="D584" s="82" t="s">
        <v>9934</v>
      </c>
      <c r="H584" s="82" t="s">
        <v>9935</v>
      </c>
      <c r="I584" s="82" t="s">
        <v>9913</v>
      </c>
      <c r="J584" s="82" t="s">
        <v>9936</v>
      </c>
    </row>
    <row r="585" spans="1:10" ht="15.6" x14ac:dyDescent="0.25">
      <c r="A585" s="8" t="s">
        <v>705</v>
      </c>
      <c r="B585" s="5" t="s">
        <v>712</v>
      </c>
      <c r="C585" s="82" t="s">
        <v>10002</v>
      </c>
      <c r="D585" s="82" t="s">
        <v>9319</v>
      </c>
      <c r="H585" s="82" t="s">
        <v>10005</v>
      </c>
      <c r="I585" s="84" t="s">
        <v>10004</v>
      </c>
      <c r="J585" s="82" t="s">
        <v>9320</v>
      </c>
    </row>
    <row r="586" spans="1:10" ht="15.6" x14ac:dyDescent="0.25">
      <c r="A586" s="8" t="s">
        <v>705</v>
      </c>
      <c r="B586" s="5" t="s">
        <v>712</v>
      </c>
      <c r="C586" s="82" t="s">
        <v>9383</v>
      </c>
      <c r="D586" s="82" t="s">
        <v>9411</v>
      </c>
      <c r="I586" s="82" t="s">
        <v>9270</v>
      </c>
      <c r="J586" s="82" t="s">
        <v>9412</v>
      </c>
    </row>
    <row r="587" spans="1:10" ht="15.6" x14ac:dyDescent="0.25">
      <c r="A587" s="8" t="s">
        <v>705</v>
      </c>
      <c r="B587" s="5" t="s">
        <v>712</v>
      </c>
      <c r="C587" s="82" t="s">
        <v>9604</v>
      </c>
      <c r="D587" s="82" t="s">
        <v>9835</v>
      </c>
      <c r="I587" s="82" t="s">
        <v>9270</v>
      </c>
      <c r="J587" s="82" t="s">
        <v>9836</v>
      </c>
    </row>
    <row r="588" spans="1:10" ht="15.6" x14ac:dyDescent="0.25">
      <c r="A588" s="8" t="s">
        <v>432</v>
      </c>
      <c r="B588" s="5" t="s">
        <v>444</v>
      </c>
      <c r="C588" s="82" t="s">
        <v>10002</v>
      </c>
      <c r="D588" s="82" t="s">
        <v>451</v>
      </c>
      <c r="H588" s="82" t="s">
        <v>9313</v>
      </c>
      <c r="I588" s="84"/>
      <c r="J588" s="84"/>
    </row>
    <row r="589" spans="1:10" ht="15.6" x14ac:dyDescent="0.25">
      <c r="A589" s="8" t="s">
        <v>1511</v>
      </c>
      <c r="B589" s="5" t="s">
        <v>1518</v>
      </c>
      <c r="C589" s="82" t="s">
        <v>9383</v>
      </c>
      <c r="D589" s="82" t="s">
        <v>1521</v>
      </c>
      <c r="H589" s="84"/>
      <c r="I589" s="82" t="s">
        <v>9270</v>
      </c>
      <c r="J589" s="82" t="s">
        <v>1522</v>
      </c>
    </row>
    <row r="590" spans="1:10" ht="15.6" x14ac:dyDescent="0.25">
      <c r="A590" s="8" t="s">
        <v>1511</v>
      </c>
      <c r="B590" s="5" t="s">
        <v>1518</v>
      </c>
      <c r="C590" s="82" t="s">
        <v>9604</v>
      </c>
      <c r="D590" s="82" t="s">
        <v>9628</v>
      </c>
      <c r="H590" s="84"/>
      <c r="I590" s="82" t="s">
        <v>9270</v>
      </c>
      <c r="J590" s="82" t="s">
        <v>9629</v>
      </c>
    </row>
    <row r="591" spans="1:10" ht="15.6" x14ac:dyDescent="0.25">
      <c r="A591" s="8" t="s">
        <v>1726</v>
      </c>
      <c r="B591" s="5" t="s">
        <v>1732</v>
      </c>
      <c r="C591" s="82" t="s">
        <v>9383</v>
      </c>
      <c r="D591" s="82" t="s">
        <v>9464</v>
      </c>
      <c r="H591" s="82"/>
      <c r="I591" s="82" t="s">
        <v>9270</v>
      </c>
      <c r="J591" s="84"/>
    </row>
    <row r="592" spans="1:10" ht="15.6" x14ac:dyDescent="0.25">
      <c r="A592" s="8" t="s">
        <v>1726</v>
      </c>
      <c r="B592" s="5" t="s">
        <v>1732</v>
      </c>
      <c r="C592" s="82" t="s">
        <v>9604</v>
      </c>
      <c r="D592" s="82" t="s">
        <v>9774</v>
      </c>
      <c r="H592" s="82"/>
      <c r="I592" s="82" t="s">
        <v>9270</v>
      </c>
      <c r="J592" s="84"/>
    </row>
    <row r="593" spans="1:10" ht="15.6" x14ac:dyDescent="0.25">
      <c r="A593" s="8" t="s">
        <v>2945</v>
      </c>
      <c r="B593" s="5" t="s">
        <v>2950</v>
      </c>
      <c r="C593" s="82" t="s">
        <v>9383</v>
      </c>
      <c r="D593" s="82" t="s">
        <v>9429</v>
      </c>
      <c r="H593" s="84"/>
      <c r="I593" s="82" t="s">
        <v>9270</v>
      </c>
      <c r="J593" s="84"/>
    </row>
    <row r="594" spans="1:10" ht="15.6" x14ac:dyDescent="0.25">
      <c r="A594" s="8" t="s">
        <v>2945</v>
      </c>
      <c r="B594" s="5" t="s">
        <v>2950</v>
      </c>
      <c r="C594" s="82" t="s">
        <v>9604</v>
      </c>
      <c r="D594" s="82" t="s">
        <v>9822</v>
      </c>
      <c r="H594" s="84"/>
      <c r="I594" s="82" t="s">
        <v>9270</v>
      </c>
      <c r="J594" s="84"/>
    </row>
    <row r="595" spans="1:10" ht="15.6" x14ac:dyDescent="0.25">
      <c r="A595" s="8" t="s">
        <v>2945</v>
      </c>
      <c r="B595" s="5" t="s">
        <v>2950</v>
      </c>
      <c r="C595" s="82" t="s">
        <v>9994</v>
      </c>
      <c r="D595" s="82" t="s">
        <v>9928</v>
      </c>
      <c r="H595" s="84"/>
      <c r="I595" s="84"/>
      <c r="J595" s="84"/>
    </row>
    <row r="596" spans="1:10" ht="15.6" x14ac:dyDescent="0.25">
      <c r="A596" s="8" t="s">
        <v>3491</v>
      </c>
      <c r="B596" s="5" t="s">
        <v>3496</v>
      </c>
      <c r="C596" s="82" t="s">
        <v>10002</v>
      </c>
      <c r="D596" s="82" t="s">
        <v>3501</v>
      </c>
      <c r="H596" s="84"/>
      <c r="I596" s="84"/>
      <c r="J596" s="82" t="s">
        <v>3502</v>
      </c>
    </row>
    <row r="597" spans="1:10" ht="15.6" x14ac:dyDescent="0.25">
      <c r="A597" s="8" t="s">
        <v>3491</v>
      </c>
      <c r="B597" s="5" t="s">
        <v>3496</v>
      </c>
      <c r="C597" s="82" t="s">
        <v>9359</v>
      </c>
      <c r="D597" s="82" t="s">
        <v>9372</v>
      </c>
      <c r="H597" s="84"/>
      <c r="I597" s="84"/>
      <c r="J597" s="84"/>
    </row>
    <row r="598" spans="1:10" ht="15.6" x14ac:dyDescent="0.25">
      <c r="A598" s="8" t="s">
        <v>738</v>
      </c>
      <c r="B598" s="5" t="s">
        <v>750</v>
      </c>
      <c r="C598" s="82" t="s">
        <v>9383</v>
      </c>
      <c r="D598" s="82" t="s">
        <v>7065</v>
      </c>
      <c r="H598" s="82"/>
      <c r="I598" s="84"/>
      <c r="J598" s="82" t="s">
        <v>9442</v>
      </c>
    </row>
    <row r="599" spans="1:10" ht="15.6" x14ac:dyDescent="0.25">
      <c r="A599" s="8" t="s">
        <v>738</v>
      </c>
      <c r="B599" s="5" t="s">
        <v>750</v>
      </c>
      <c r="C599" s="82" t="s">
        <v>9604</v>
      </c>
      <c r="D599" s="82" t="s">
        <v>7064</v>
      </c>
      <c r="I599" s="82"/>
      <c r="J599" s="82" t="s">
        <v>9825</v>
      </c>
    </row>
    <row r="600" spans="1:10" ht="15.6" x14ac:dyDescent="0.25">
      <c r="A600" s="8" t="s">
        <v>2399</v>
      </c>
      <c r="B600" s="5" t="s">
        <v>2404</v>
      </c>
      <c r="C600" s="82" t="s">
        <v>9383</v>
      </c>
      <c r="D600" s="82" t="s">
        <v>2406</v>
      </c>
      <c r="H600" s="82" t="s">
        <v>9526</v>
      </c>
      <c r="I600" s="82" t="s">
        <v>9281</v>
      </c>
      <c r="J600" s="82" t="s">
        <v>2407</v>
      </c>
    </row>
    <row r="601" spans="1:10" ht="15.6" x14ac:dyDescent="0.25">
      <c r="A601" s="8" t="s">
        <v>2399</v>
      </c>
      <c r="B601" s="5" t="s">
        <v>2404</v>
      </c>
      <c r="C601" s="82" t="s">
        <v>9604</v>
      </c>
      <c r="D601" s="82" t="s">
        <v>9699</v>
      </c>
      <c r="H601" s="82"/>
      <c r="I601" s="82" t="s">
        <v>9270</v>
      </c>
      <c r="J601" s="82" t="s">
        <v>9700</v>
      </c>
    </row>
    <row r="602" spans="1:10" ht="15.6" x14ac:dyDescent="0.25">
      <c r="A602" s="8" t="s">
        <v>1456</v>
      </c>
      <c r="B602" s="5" t="s">
        <v>1463</v>
      </c>
      <c r="C602" s="82" t="s">
        <v>9383</v>
      </c>
      <c r="D602" s="82" t="s">
        <v>1466</v>
      </c>
      <c r="I602" s="82" t="s">
        <v>9270</v>
      </c>
      <c r="J602" s="82" t="s">
        <v>1467</v>
      </c>
    </row>
    <row r="603" spans="1:10" ht="15.6" x14ac:dyDescent="0.25">
      <c r="A603" s="8" t="s">
        <v>2669</v>
      </c>
      <c r="B603" s="5" t="s">
        <v>2674</v>
      </c>
      <c r="C603" s="82" t="s">
        <v>9383</v>
      </c>
      <c r="D603" s="82" t="s">
        <v>2677</v>
      </c>
      <c r="H603" s="84"/>
      <c r="I603" s="84"/>
      <c r="J603" s="82" t="s">
        <v>2678</v>
      </c>
    </row>
    <row r="604" spans="1:10" ht="15.6" x14ac:dyDescent="0.25">
      <c r="A604" s="8" t="s">
        <v>1569</v>
      </c>
      <c r="B604" s="5" t="s">
        <v>1578</v>
      </c>
      <c r="C604" s="82" t="s">
        <v>9383</v>
      </c>
      <c r="D604" s="82" t="s">
        <v>1581</v>
      </c>
      <c r="H604" s="82" t="s">
        <v>9484</v>
      </c>
      <c r="I604" s="84"/>
      <c r="J604" s="82" t="s">
        <v>1582</v>
      </c>
    </row>
    <row r="605" spans="1:10" ht="15.6" x14ac:dyDescent="0.25">
      <c r="A605" s="8" t="s">
        <v>1569</v>
      </c>
      <c r="B605" s="5" t="s">
        <v>1578</v>
      </c>
      <c r="C605" s="82" t="s">
        <v>9604</v>
      </c>
      <c r="D605" s="82" t="s">
        <v>9752</v>
      </c>
      <c r="H605" s="82" t="s">
        <v>9484</v>
      </c>
      <c r="I605" s="84"/>
      <c r="J605" s="82" t="s">
        <v>9753</v>
      </c>
    </row>
    <row r="606" spans="1:10" ht="15.6" x14ac:dyDescent="0.25">
      <c r="A606" s="8" t="s">
        <v>1745</v>
      </c>
      <c r="B606" s="5" t="s">
        <v>1751</v>
      </c>
      <c r="C606" s="82" t="s">
        <v>9604</v>
      </c>
      <c r="D606" s="82" t="s">
        <v>9776</v>
      </c>
      <c r="H606" s="82"/>
      <c r="I606" s="82" t="s">
        <v>9270</v>
      </c>
      <c r="J606" s="84"/>
    </row>
    <row r="607" spans="1:10" ht="15.6" x14ac:dyDescent="0.25">
      <c r="A607" s="8" t="s">
        <v>471</v>
      </c>
      <c r="B607" s="5" t="s">
        <v>481</v>
      </c>
      <c r="C607" s="82" t="s">
        <v>9604</v>
      </c>
      <c r="D607" s="82" t="s">
        <v>484</v>
      </c>
      <c r="H607" s="82"/>
      <c r="I607" s="84"/>
      <c r="J607" s="82" t="s">
        <v>485</v>
      </c>
    </row>
    <row r="608" spans="1:10" ht="15.6" x14ac:dyDescent="0.25">
      <c r="A608" s="8" t="s">
        <v>1788</v>
      </c>
      <c r="B608" s="5" t="s">
        <v>1791</v>
      </c>
      <c r="C608" s="82" t="s">
        <v>9383</v>
      </c>
      <c r="D608" s="82" t="s">
        <v>9466</v>
      </c>
      <c r="H608" s="82"/>
      <c r="I608" s="82" t="s">
        <v>9270</v>
      </c>
      <c r="J608" s="84"/>
    </row>
    <row r="609" spans="1:10" ht="15.6" x14ac:dyDescent="0.25">
      <c r="A609" s="8" t="s">
        <v>1788</v>
      </c>
      <c r="B609" s="5" t="s">
        <v>1791</v>
      </c>
      <c r="C609" s="82" t="s">
        <v>9604</v>
      </c>
      <c r="D609" s="82" t="s">
        <v>9773</v>
      </c>
      <c r="H609" s="82"/>
      <c r="I609" s="82" t="s">
        <v>9270</v>
      </c>
      <c r="J609" s="84"/>
    </row>
    <row r="610" spans="1:10" ht="15.6" x14ac:dyDescent="0.25">
      <c r="A610" s="8" t="s">
        <v>2554</v>
      </c>
      <c r="B610" s="5" t="s">
        <v>2560</v>
      </c>
      <c r="C610" s="82" t="s">
        <v>10003</v>
      </c>
      <c r="D610" s="82" t="s">
        <v>2562</v>
      </c>
      <c r="E610" s="79"/>
      <c r="H610" s="84"/>
      <c r="I610" s="84"/>
      <c r="J610" s="82" t="s">
        <v>2563</v>
      </c>
    </row>
    <row r="611" spans="1:10" ht="15.6" x14ac:dyDescent="0.25">
      <c r="A611" s="8" t="s">
        <v>2554</v>
      </c>
      <c r="B611" s="5" t="s">
        <v>2560</v>
      </c>
      <c r="C611" s="82" t="s">
        <v>9604</v>
      </c>
      <c r="D611" s="82" t="s">
        <v>9670</v>
      </c>
      <c r="H611" s="84"/>
      <c r="I611" s="84"/>
      <c r="J611" s="82" t="s">
        <v>9671</v>
      </c>
    </row>
    <row r="612" spans="1:10" ht="15.6" x14ac:dyDescent="0.25">
      <c r="A612" s="8" t="s">
        <v>1987</v>
      </c>
      <c r="B612" s="5" t="s">
        <v>1992</v>
      </c>
      <c r="C612" s="82" t="s">
        <v>9383</v>
      </c>
      <c r="D612" s="82" t="s">
        <v>1997</v>
      </c>
      <c r="H612" s="84"/>
      <c r="I612" s="84"/>
      <c r="J612" s="82" t="s">
        <v>1998</v>
      </c>
    </row>
    <row r="613" spans="1:10" ht="15.6" x14ac:dyDescent="0.25">
      <c r="A613" s="8" t="s">
        <v>1987</v>
      </c>
      <c r="B613" s="5" t="s">
        <v>1992</v>
      </c>
      <c r="C613" s="82" t="s">
        <v>9604</v>
      </c>
      <c r="D613" s="82" t="s">
        <v>9805</v>
      </c>
      <c r="H613" s="84"/>
      <c r="I613" s="84"/>
      <c r="J613" s="82" t="s">
        <v>9806</v>
      </c>
    </row>
    <row r="614" spans="1:10" ht="15.6" x14ac:dyDescent="0.25">
      <c r="A614" s="8" t="s">
        <v>1987</v>
      </c>
      <c r="B614" s="5" t="s">
        <v>1992</v>
      </c>
      <c r="C614" s="82" t="s">
        <v>370</v>
      </c>
      <c r="D614" s="82" t="s">
        <v>9958</v>
      </c>
      <c r="H614" s="84"/>
      <c r="I614" s="84"/>
      <c r="J614" s="82" t="s">
        <v>9959</v>
      </c>
    </row>
    <row r="615" spans="1:10" ht="15.6" x14ac:dyDescent="0.25">
      <c r="A615" s="8" t="s">
        <v>2808</v>
      </c>
      <c r="B615" s="5" t="s">
        <v>2812</v>
      </c>
      <c r="C615" s="82" t="s">
        <v>10002</v>
      </c>
      <c r="D615" s="82" t="s">
        <v>2814</v>
      </c>
      <c r="E615" s="79"/>
      <c r="I615" s="82" t="s">
        <v>9270</v>
      </c>
      <c r="J615" s="82" t="s">
        <v>2815</v>
      </c>
    </row>
    <row r="616" spans="1:10" ht="15.6" x14ac:dyDescent="0.25">
      <c r="A616" s="8" t="s">
        <v>2808</v>
      </c>
      <c r="B616" s="5" t="s">
        <v>2812</v>
      </c>
      <c r="C616" s="82" t="s">
        <v>9383</v>
      </c>
      <c r="D616" s="82" t="s">
        <v>9538</v>
      </c>
      <c r="I616" s="82" t="s">
        <v>9270</v>
      </c>
      <c r="J616" s="84"/>
    </row>
    <row r="617" spans="1:10" ht="15.6" x14ac:dyDescent="0.25">
      <c r="A617" s="8" t="s">
        <v>2808</v>
      </c>
      <c r="B617" s="5" t="s">
        <v>2812</v>
      </c>
      <c r="C617" s="82" t="s">
        <v>9604</v>
      </c>
      <c r="D617" s="82" t="s">
        <v>9675</v>
      </c>
      <c r="I617" s="82" t="s">
        <v>9270</v>
      </c>
      <c r="J617" s="84"/>
    </row>
    <row r="618" spans="1:10" ht="15.6" x14ac:dyDescent="0.25">
      <c r="A618" s="8" t="s">
        <v>3606</v>
      </c>
      <c r="B618" s="5" t="s">
        <v>3612</v>
      </c>
      <c r="C618" s="82" t="s">
        <v>10002</v>
      </c>
      <c r="D618" s="82" t="s">
        <v>3615</v>
      </c>
      <c r="H618" s="82" t="s">
        <v>9321</v>
      </c>
      <c r="I618" s="84"/>
      <c r="J618" s="82" t="s">
        <v>3616</v>
      </c>
    </row>
    <row r="619" spans="1:10" ht="15.6" x14ac:dyDescent="0.25">
      <c r="A619" s="8" t="s">
        <v>3606</v>
      </c>
      <c r="B619" s="5" t="s">
        <v>3612</v>
      </c>
      <c r="C619" s="82" t="s">
        <v>9359</v>
      </c>
      <c r="D619" s="82" t="s">
        <v>9373</v>
      </c>
      <c r="H619" s="84"/>
      <c r="I619" s="84"/>
      <c r="J619" s="84"/>
    </row>
    <row r="620" spans="1:10" ht="15.6" x14ac:dyDescent="0.25">
      <c r="A620" s="8" t="s">
        <v>1836</v>
      </c>
      <c r="B620" s="5" t="s">
        <v>1841</v>
      </c>
      <c r="C620" s="82" t="s">
        <v>9383</v>
      </c>
      <c r="D620" s="82" t="s">
        <v>9502</v>
      </c>
      <c r="H620" s="84"/>
      <c r="I620" s="84"/>
      <c r="J620" s="84"/>
    </row>
    <row r="621" spans="1:10" ht="15.6" x14ac:dyDescent="0.25">
      <c r="A621" s="8" t="s">
        <v>1836</v>
      </c>
      <c r="B621" s="5" t="s">
        <v>1841</v>
      </c>
      <c r="C621" s="82" t="s">
        <v>9604</v>
      </c>
      <c r="D621" s="82" t="s">
        <v>9727</v>
      </c>
      <c r="H621" s="84"/>
      <c r="I621" s="84"/>
      <c r="J621" s="84"/>
    </row>
    <row r="622" spans="1:10" ht="15.6" x14ac:dyDescent="0.25">
      <c r="A622" s="8" t="s">
        <v>3238</v>
      </c>
      <c r="B622" s="5" t="s">
        <v>3241</v>
      </c>
      <c r="C622" s="82" t="s">
        <v>9337</v>
      </c>
      <c r="D622" s="82" t="s">
        <v>3243</v>
      </c>
      <c r="H622" s="84"/>
      <c r="I622" s="84"/>
      <c r="J622" s="82" t="s">
        <v>3244</v>
      </c>
    </row>
    <row r="623" spans="1:10" ht="15.6" x14ac:dyDescent="0.25">
      <c r="A623" s="8" t="s">
        <v>1627</v>
      </c>
      <c r="B623" s="5" t="s">
        <v>1630</v>
      </c>
      <c r="C623" s="82" t="s">
        <v>9383</v>
      </c>
      <c r="D623" s="82" t="s">
        <v>9471</v>
      </c>
      <c r="H623" s="82"/>
      <c r="I623" s="84"/>
      <c r="J623" s="84"/>
    </row>
    <row r="624" spans="1:10" ht="15.6" x14ac:dyDescent="0.25">
      <c r="A624" s="8" t="s">
        <v>1627</v>
      </c>
      <c r="B624" s="5" t="s">
        <v>1630</v>
      </c>
      <c r="C624" s="82" t="s">
        <v>9604</v>
      </c>
      <c r="D624" s="82" t="s">
        <v>9768</v>
      </c>
      <c r="H624" s="82"/>
      <c r="I624" s="84"/>
      <c r="J624" s="84"/>
    </row>
    <row r="625" spans="1:10" ht="15.6" x14ac:dyDescent="0.25">
      <c r="A625" s="8" t="s">
        <v>2571</v>
      </c>
      <c r="B625" s="5" t="s">
        <v>2575</v>
      </c>
      <c r="C625" s="82" t="s">
        <v>10002</v>
      </c>
      <c r="D625" s="82" t="s">
        <v>2580</v>
      </c>
      <c r="H625" s="84"/>
      <c r="I625" s="84"/>
      <c r="J625" s="82" t="s">
        <v>2581</v>
      </c>
    </row>
    <row r="626" spans="1:10" ht="15.6" x14ac:dyDescent="0.25">
      <c r="A626" s="8" t="s">
        <v>1109</v>
      </c>
      <c r="B626" s="5" t="s">
        <v>1116</v>
      </c>
      <c r="C626" s="82" t="s">
        <v>9383</v>
      </c>
      <c r="D626" s="82" t="s">
        <v>1123</v>
      </c>
      <c r="H626" s="82"/>
      <c r="I626" s="84"/>
      <c r="J626" s="82" t="s">
        <v>1124</v>
      </c>
    </row>
    <row r="627" spans="1:10" ht="15.6" x14ac:dyDescent="0.25">
      <c r="A627" s="8" t="s">
        <v>1109</v>
      </c>
      <c r="B627" s="5" t="s">
        <v>1116</v>
      </c>
      <c r="C627" s="82" t="s">
        <v>9604</v>
      </c>
      <c r="D627" s="82" t="s">
        <v>9780</v>
      </c>
      <c r="H627" s="82"/>
      <c r="I627" s="84"/>
      <c r="J627" s="82" t="s">
        <v>9781</v>
      </c>
    </row>
    <row r="628" spans="1:10" ht="15.6" x14ac:dyDescent="0.25">
      <c r="A628" s="8" t="s">
        <v>1230</v>
      </c>
      <c r="B628" s="5" t="s">
        <v>1235</v>
      </c>
      <c r="C628" s="82" t="s">
        <v>9383</v>
      </c>
      <c r="D628" s="82" t="s">
        <v>1240</v>
      </c>
      <c r="H628" s="84"/>
      <c r="I628" s="82" t="s">
        <v>9270</v>
      </c>
      <c r="J628" s="82" t="s">
        <v>1241</v>
      </c>
    </row>
    <row r="629" spans="1:10" ht="15.6" x14ac:dyDescent="0.25">
      <c r="A629" s="8" t="s">
        <v>1230</v>
      </c>
      <c r="B629" s="5" t="s">
        <v>1235</v>
      </c>
      <c r="C629" s="82" t="s">
        <v>9604</v>
      </c>
      <c r="D629" s="82" t="s">
        <v>9649</v>
      </c>
      <c r="H629" s="84"/>
      <c r="I629" s="82" t="s">
        <v>9270</v>
      </c>
      <c r="J629" s="84"/>
    </row>
    <row r="630" spans="1:10" ht="15.6" x14ac:dyDescent="0.25">
      <c r="A630" s="8" t="s">
        <v>1633</v>
      </c>
      <c r="B630" s="5" t="s">
        <v>1637</v>
      </c>
      <c r="C630" s="82" t="s">
        <v>9383</v>
      </c>
      <c r="D630" s="82" t="s">
        <v>9475</v>
      </c>
      <c r="H630" s="82"/>
      <c r="I630" s="82"/>
      <c r="J630" s="84"/>
    </row>
    <row r="631" spans="1:10" ht="15.6" x14ac:dyDescent="0.25">
      <c r="A631" s="8" t="s">
        <v>1633</v>
      </c>
      <c r="B631" s="5" t="s">
        <v>1637</v>
      </c>
      <c r="C631" s="82" t="s">
        <v>9604</v>
      </c>
      <c r="D631" s="82" t="s">
        <v>9761</v>
      </c>
      <c r="H631" s="82"/>
      <c r="I631" s="82"/>
      <c r="J631" s="84"/>
    </row>
    <row r="632" spans="1:10" ht="15.6" x14ac:dyDescent="0.25">
      <c r="A632" s="8" t="s">
        <v>2962</v>
      </c>
      <c r="B632" s="5" t="s">
        <v>2966</v>
      </c>
      <c r="C632" s="82" t="s">
        <v>10002</v>
      </c>
      <c r="D632" s="82" t="s">
        <v>2970</v>
      </c>
      <c r="H632" s="82" t="s">
        <v>9328</v>
      </c>
      <c r="I632" s="82" t="s">
        <v>9251</v>
      </c>
      <c r="J632" s="82" t="s">
        <v>2971</v>
      </c>
    </row>
    <row r="633" spans="1:10" ht="15.6" x14ac:dyDescent="0.25">
      <c r="A633" s="8" t="s">
        <v>2962</v>
      </c>
      <c r="B633" s="5" t="s">
        <v>2966</v>
      </c>
      <c r="C633" s="82" t="s">
        <v>9383</v>
      </c>
      <c r="D633" s="82" t="s">
        <v>9406</v>
      </c>
      <c r="H633" s="84"/>
      <c r="I633" s="82" t="s">
        <v>9270</v>
      </c>
      <c r="J633" s="82" t="s">
        <v>9407</v>
      </c>
    </row>
    <row r="634" spans="1:10" ht="15.6" x14ac:dyDescent="0.25">
      <c r="A634" s="8" t="s">
        <v>2962</v>
      </c>
      <c r="B634" s="5" t="s">
        <v>2966</v>
      </c>
      <c r="C634" s="82" t="s">
        <v>9604</v>
      </c>
      <c r="D634" s="82" t="s">
        <v>9851</v>
      </c>
      <c r="H634" s="84"/>
      <c r="I634" s="82" t="s">
        <v>9270</v>
      </c>
      <c r="J634" s="82" t="s">
        <v>9852</v>
      </c>
    </row>
    <row r="635" spans="1:10" ht="15.6" x14ac:dyDescent="0.25">
      <c r="A635" s="8" t="s">
        <v>1714</v>
      </c>
      <c r="B635" s="5" t="s">
        <v>1721</v>
      </c>
      <c r="C635" s="82" t="s">
        <v>10002</v>
      </c>
      <c r="D635" s="82" t="s">
        <v>9299</v>
      </c>
      <c r="E635" s="79"/>
      <c r="H635" s="82"/>
      <c r="I635" s="82" t="s">
        <v>9270</v>
      </c>
      <c r="J635" s="84"/>
    </row>
    <row r="636" spans="1:10" ht="15.6" x14ac:dyDescent="0.25">
      <c r="A636" s="8" t="s">
        <v>1714</v>
      </c>
      <c r="B636" s="5" t="s">
        <v>1721</v>
      </c>
      <c r="C636" s="82" t="s">
        <v>9337</v>
      </c>
      <c r="D636" s="82" t="s">
        <v>9344</v>
      </c>
      <c r="H636" s="82"/>
      <c r="I636" s="82" t="s">
        <v>9270</v>
      </c>
      <c r="J636" s="84"/>
    </row>
    <row r="637" spans="1:10" ht="15.6" x14ac:dyDescent="0.25">
      <c r="A637" s="8" t="s">
        <v>1901</v>
      </c>
      <c r="B637" s="5" t="s">
        <v>1905</v>
      </c>
      <c r="C637" s="82" t="s">
        <v>9383</v>
      </c>
      <c r="D637" s="82" t="s">
        <v>1907</v>
      </c>
      <c r="H637" s="84"/>
      <c r="I637" s="84"/>
      <c r="J637" s="82" t="s">
        <v>1908</v>
      </c>
    </row>
    <row r="638" spans="1:10" ht="15.6" x14ac:dyDescent="0.25">
      <c r="A638" s="8" t="s">
        <v>1901</v>
      </c>
      <c r="B638" s="5" t="s">
        <v>1905</v>
      </c>
      <c r="C638" s="82" t="s">
        <v>9604</v>
      </c>
      <c r="D638" s="82" t="s">
        <v>9846</v>
      </c>
      <c r="H638" s="84"/>
      <c r="I638" s="84"/>
      <c r="J638" s="82" t="s">
        <v>9847</v>
      </c>
    </row>
    <row r="639" spans="1:10" ht="15.6" x14ac:dyDescent="0.25">
      <c r="A639" s="8" t="s">
        <v>1901</v>
      </c>
      <c r="B639" s="5" t="s">
        <v>1905</v>
      </c>
      <c r="C639" s="82" t="s">
        <v>9994</v>
      </c>
      <c r="D639" s="82" t="s">
        <v>10000</v>
      </c>
      <c r="H639" s="84"/>
      <c r="I639" s="84"/>
      <c r="J639" s="84"/>
    </row>
    <row r="640" spans="1:10" ht="15.6" x14ac:dyDescent="0.25">
      <c r="A640" s="8" t="s">
        <v>2995</v>
      </c>
      <c r="B640" s="5" t="s">
        <v>3000</v>
      </c>
      <c r="C640" s="82" t="s">
        <v>9383</v>
      </c>
      <c r="D640" s="82" t="s">
        <v>3003</v>
      </c>
      <c r="I640" s="82" t="s">
        <v>9270</v>
      </c>
      <c r="J640" s="82" t="s">
        <v>3004</v>
      </c>
    </row>
    <row r="641" spans="1:10" ht="15.6" x14ac:dyDescent="0.25">
      <c r="A641" s="8" t="s">
        <v>2995</v>
      </c>
      <c r="B641" s="5" t="s">
        <v>3000</v>
      </c>
      <c r="C641" s="82" t="s">
        <v>9604</v>
      </c>
      <c r="D641" s="82" t="s">
        <v>9867</v>
      </c>
      <c r="H641" s="82"/>
      <c r="I641" s="82" t="s">
        <v>9270</v>
      </c>
      <c r="J641" s="82" t="s">
        <v>9868</v>
      </c>
    </row>
    <row r="642" spans="1:10" ht="15.6" x14ac:dyDescent="0.25">
      <c r="A642" s="8" t="s">
        <v>2995</v>
      </c>
      <c r="B642" s="5" t="s">
        <v>3000</v>
      </c>
      <c r="C642" s="82" t="s">
        <v>9987</v>
      </c>
      <c r="D642" s="82" t="s">
        <v>9893</v>
      </c>
      <c r="I642" s="82" t="s">
        <v>9270</v>
      </c>
      <c r="J642" s="82" t="s">
        <v>9894</v>
      </c>
    </row>
    <row r="643" spans="1:10" ht="15.6" x14ac:dyDescent="0.25">
      <c r="A643" s="8" t="s">
        <v>1091</v>
      </c>
      <c r="B643" s="5" t="s">
        <v>1101</v>
      </c>
      <c r="C643" s="82" t="s">
        <v>9383</v>
      </c>
      <c r="D643" s="82" t="s">
        <v>1107</v>
      </c>
      <c r="H643" s="84"/>
      <c r="I643" s="82" t="s">
        <v>9485</v>
      </c>
      <c r="J643" s="82" t="s">
        <v>1108</v>
      </c>
    </row>
    <row r="644" spans="1:10" ht="15.6" x14ac:dyDescent="0.25">
      <c r="A644" s="8" t="s">
        <v>1091</v>
      </c>
      <c r="B644" s="5" t="s">
        <v>1101</v>
      </c>
      <c r="C644" s="82" t="s">
        <v>9604</v>
      </c>
      <c r="D644" s="82" t="s">
        <v>7089</v>
      </c>
      <c r="H644" s="84"/>
      <c r="I644" s="82" t="s">
        <v>9485</v>
      </c>
      <c r="J644" s="82" t="s">
        <v>9664</v>
      </c>
    </row>
    <row r="645" spans="1:10" ht="15.6" x14ac:dyDescent="0.25">
      <c r="A645" s="8" t="s">
        <v>571</v>
      </c>
      <c r="B645" s="5" t="s">
        <v>576</v>
      </c>
      <c r="C645" s="82" t="s">
        <v>9383</v>
      </c>
      <c r="D645" s="82" t="s">
        <v>9602</v>
      </c>
      <c r="H645" s="84"/>
      <c r="I645" s="82" t="s">
        <v>9270</v>
      </c>
      <c r="J645" s="82" t="s">
        <v>9603</v>
      </c>
    </row>
    <row r="646" spans="1:10" ht="15.6" x14ac:dyDescent="0.25">
      <c r="A646" s="8" t="s">
        <v>571</v>
      </c>
      <c r="B646" s="5" t="s">
        <v>576</v>
      </c>
      <c r="C646" s="82" t="s">
        <v>9604</v>
      </c>
      <c r="D646" s="82" t="s">
        <v>9607</v>
      </c>
      <c r="H646" s="84"/>
      <c r="I646" s="82" t="s">
        <v>9270</v>
      </c>
      <c r="J646" s="82" t="s">
        <v>9608</v>
      </c>
    </row>
    <row r="647" spans="1:10" ht="15.6" x14ac:dyDescent="0.25">
      <c r="A647" s="8" t="s">
        <v>2734</v>
      </c>
      <c r="B647" s="5" t="s">
        <v>2738</v>
      </c>
      <c r="C647" s="82" t="s">
        <v>9383</v>
      </c>
      <c r="D647" s="82" t="s">
        <v>2740</v>
      </c>
      <c r="H647" s="84"/>
      <c r="I647" s="84"/>
      <c r="J647" s="82" t="s">
        <v>2741</v>
      </c>
    </row>
    <row r="648" spans="1:10" ht="15.6" x14ac:dyDescent="0.25">
      <c r="A648" s="8" t="s">
        <v>664</v>
      </c>
      <c r="B648" s="5" t="s">
        <v>679</v>
      </c>
      <c r="C648" s="82" t="s">
        <v>9383</v>
      </c>
      <c r="D648" s="82" t="s">
        <v>9416</v>
      </c>
      <c r="H648" s="82" t="s">
        <v>9417</v>
      </c>
      <c r="I648" s="82" t="s">
        <v>9269</v>
      </c>
      <c r="J648" s="82" t="s">
        <v>9418</v>
      </c>
    </row>
    <row r="649" spans="1:10" ht="15.6" x14ac:dyDescent="0.25">
      <c r="A649" s="8" t="s">
        <v>664</v>
      </c>
      <c r="B649" s="5" t="s">
        <v>679</v>
      </c>
      <c r="C649" s="82" t="s">
        <v>9604</v>
      </c>
      <c r="D649" s="82" t="s">
        <v>685</v>
      </c>
      <c r="H649" s="82" t="s">
        <v>327</v>
      </c>
      <c r="I649" s="82" t="s">
        <v>9414</v>
      </c>
      <c r="J649" s="82" t="s">
        <v>686</v>
      </c>
    </row>
    <row r="650" spans="1:10" ht="15.6" x14ac:dyDescent="0.25">
      <c r="A650" s="8" t="s">
        <v>502</v>
      </c>
      <c r="B650" s="5" t="s">
        <v>511</v>
      </c>
      <c r="C650" s="82" t="s">
        <v>9383</v>
      </c>
      <c r="D650" s="82" t="s">
        <v>7058</v>
      </c>
      <c r="H650" s="82" t="s">
        <v>9409</v>
      </c>
      <c r="I650" s="84"/>
      <c r="J650" s="82" t="s">
        <v>9410</v>
      </c>
    </row>
    <row r="651" spans="1:10" ht="15.6" x14ac:dyDescent="0.25">
      <c r="A651" s="8" t="s">
        <v>502</v>
      </c>
      <c r="B651" s="5" t="s">
        <v>511</v>
      </c>
      <c r="C651" s="82" t="s">
        <v>9604</v>
      </c>
      <c r="D651" s="82" t="s">
        <v>7057</v>
      </c>
      <c r="H651" s="82" t="s">
        <v>9409</v>
      </c>
      <c r="I651" s="84"/>
      <c r="J651" s="82" t="s">
        <v>9837</v>
      </c>
    </row>
    <row r="652" spans="1:10" ht="15.6" x14ac:dyDescent="0.25">
      <c r="A652" s="8" t="s">
        <v>2091</v>
      </c>
      <c r="B652" s="5" t="s">
        <v>2096</v>
      </c>
      <c r="C652" s="82" t="s">
        <v>9383</v>
      </c>
      <c r="D652" s="82" t="s">
        <v>9489</v>
      </c>
      <c r="H652" s="82"/>
      <c r="I652" s="82"/>
      <c r="J652" s="84"/>
    </row>
    <row r="653" spans="1:10" ht="15.6" x14ac:dyDescent="0.25">
      <c r="A653" s="8" t="s">
        <v>2091</v>
      </c>
      <c r="B653" s="5" t="s">
        <v>2096</v>
      </c>
      <c r="C653" s="82" t="s">
        <v>9604</v>
      </c>
      <c r="D653" s="82" t="s">
        <v>9743</v>
      </c>
      <c r="H653" s="82"/>
      <c r="I653" s="82"/>
      <c r="J653" s="84"/>
    </row>
    <row r="654" spans="1:10" ht="15.6" x14ac:dyDescent="0.25">
      <c r="A654" s="8" t="s">
        <v>2889</v>
      </c>
      <c r="B654" s="5" t="s">
        <v>2894</v>
      </c>
      <c r="C654" s="82" t="s">
        <v>370</v>
      </c>
      <c r="D654" s="82" t="s">
        <v>2897</v>
      </c>
      <c r="H654" s="84"/>
      <c r="I654" s="84"/>
      <c r="J654" s="82" t="s">
        <v>2898</v>
      </c>
    </row>
  </sheetData>
  <sortState xmlns:xlrd2="http://schemas.microsoft.com/office/spreadsheetml/2017/richdata2" ref="A4:J654">
    <sortCondition ref="A4:A654"/>
  </sortState>
  <mergeCells count="2">
    <mergeCell ref="A1:J1"/>
    <mergeCell ref="A2:J2"/>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49" activePane="bottomLeft" state="frozen"/>
      <selection pane="bottomLeft" activeCell="H153" sqref="H153"/>
    </sheetView>
  </sheetViews>
  <sheetFormatPr defaultRowHeight="14.4" x14ac:dyDescent="0.25"/>
  <cols>
    <col min="1" max="1" width="22.44140625" bestFit="1" customWidth="1"/>
    <col min="2" max="2" width="21.109375" style="5"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87" t="s">
        <v>3902</v>
      </c>
      <c r="B1" s="88"/>
      <c r="C1" s="88"/>
      <c r="D1" s="88"/>
      <c r="E1" s="88"/>
      <c r="F1" s="88"/>
      <c r="G1" s="88"/>
      <c r="H1" s="88"/>
      <c r="I1" s="88"/>
    </row>
    <row r="2" spans="1:9" ht="18" customHeight="1" x14ac:dyDescent="0.25">
      <c r="A2" s="86" t="s">
        <v>3909</v>
      </c>
      <c r="B2" s="86"/>
      <c r="C2" s="86"/>
      <c r="D2" s="86"/>
      <c r="E2" s="86"/>
      <c r="F2" s="86"/>
      <c r="G2" s="86"/>
      <c r="H2" s="86"/>
      <c r="I2" s="86"/>
    </row>
    <row r="3" spans="1:9" ht="22.05" customHeight="1" x14ac:dyDescent="0.25">
      <c r="A3" s="3" t="s">
        <v>37</v>
      </c>
      <c r="B3" s="6" t="s">
        <v>3</v>
      </c>
      <c r="C3" s="7" t="s">
        <v>3910</v>
      </c>
      <c r="D3" s="7" t="s">
        <v>3903</v>
      </c>
      <c r="E3" s="1" t="s">
        <v>3904</v>
      </c>
      <c r="F3" s="1" t="s">
        <v>3905</v>
      </c>
      <c r="G3" s="1" t="s">
        <v>3907</v>
      </c>
      <c r="H3" s="1" t="s">
        <v>3906</v>
      </c>
      <c r="I3" s="1" t="s">
        <v>3908</v>
      </c>
    </row>
    <row r="4" spans="1:9" ht="15.6" x14ac:dyDescent="0.25">
      <c r="A4" s="8" t="s">
        <v>2926</v>
      </c>
      <c r="B4" s="8" t="s">
        <v>2930</v>
      </c>
      <c r="C4" t="s">
        <v>6232</v>
      </c>
      <c r="D4" t="s">
        <v>2865</v>
      </c>
      <c r="F4" t="s">
        <v>964</v>
      </c>
      <c r="H4" t="s">
        <v>6251</v>
      </c>
    </row>
    <row r="5" spans="1:9" ht="15.6" x14ac:dyDescent="0.25">
      <c r="A5" s="8" t="s">
        <v>2880</v>
      </c>
      <c r="B5" s="8" t="s">
        <v>2885</v>
      </c>
      <c r="C5" t="s">
        <v>6232</v>
      </c>
      <c r="D5" t="s">
        <v>2242</v>
      </c>
      <c r="F5" t="s">
        <v>4050</v>
      </c>
      <c r="H5" t="s">
        <v>244</v>
      </c>
    </row>
    <row r="6" spans="1:9" ht="15.6" x14ac:dyDescent="0.25">
      <c r="A6" s="8" t="s">
        <v>2880</v>
      </c>
      <c r="B6" s="8" t="s">
        <v>2885</v>
      </c>
      <c r="C6" t="s">
        <v>6272</v>
      </c>
      <c r="D6" t="s">
        <v>3837</v>
      </c>
      <c r="E6" t="s">
        <v>2881</v>
      </c>
      <c r="F6" t="s">
        <v>4050</v>
      </c>
      <c r="H6" t="s">
        <v>3859</v>
      </c>
    </row>
    <row r="7" spans="1:9" ht="15.6" x14ac:dyDescent="0.25">
      <c r="A7" s="8" t="s">
        <v>3064</v>
      </c>
      <c r="B7" s="8" t="s">
        <v>3068</v>
      </c>
      <c r="C7" t="s">
        <v>6272</v>
      </c>
      <c r="D7" t="s">
        <v>3844</v>
      </c>
      <c r="E7" t="s">
        <v>1708</v>
      </c>
      <c r="F7" t="s">
        <v>437</v>
      </c>
      <c r="H7" t="s">
        <v>3836</v>
      </c>
    </row>
    <row r="8" spans="1:9" ht="15.6" x14ac:dyDescent="0.25">
      <c r="A8" s="8" t="s">
        <v>1010</v>
      </c>
      <c r="B8" s="8" t="s">
        <v>1018</v>
      </c>
      <c r="C8" t="s">
        <v>6272</v>
      </c>
      <c r="D8" t="s">
        <v>6273</v>
      </c>
      <c r="E8" t="s">
        <v>1013</v>
      </c>
      <c r="F8" t="s">
        <v>1012</v>
      </c>
      <c r="H8" t="s">
        <v>5018</v>
      </c>
    </row>
    <row r="9" spans="1:9" ht="15.6" x14ac:dyDescent="0.25">
      <c r="A9" s="8" t="s">
        <v>3595</v>
      </c>
      <c r="B9" s="8" t="s">
        <v>3601</v>
      </c>
      <c r="C9" t="s">
        <v>6272</v>
      </c>
      <c r="D9" t="s">
        <v>6273</v>
      </c>
      <c r="E9" t="s">
        <v>3597</v>
      </c>
      <c r="F9" t="s">
        <v>1012</v>
      </c>
      <c r="H9">
        <v>2013030551</v>
      </c>
    </row>
    <row r="10" spans="1:9" ht="15.6" x14ac:dyDescent="0.25">
      <c r="A10" s="8" t="s">
        <v>3110</v>
      </c>
      <c r="B10" s="8" t="s">
        <v>3114</v>
      </c>
      <c r="C10" t="s">
        <v>6272</v>
      </c>
      <c r="D10" t="s">
        <v>6273</v>
      </c>
      <c r="E10" t="s">
        <v>1837</v>
      </c>
      <c r="F10" t="s">
        <v>1012</v>
      </c>
      <c r="H10" t="s">
        <v>3878</v>
      </c>
    </row>
    <row r="11" spans="1:9" ht="15.6" x14ac:dyDescent="0.25">
      <c r="A11" s="8" t="s">
        <v>3413</v>
      </c>
      <c r="B11" s="8" t="s">
        <v>3417</v>
      </c>
      <c r="C11" t="s">
        <v>6232</v>
      </c>
      <c r="D11" t="s">
        <v>2827</v>
      </c>
      <c r="F11" t="s">
        <v>964</v>
      </c>
      <c r="H11" t="s">
        <v>6250</v>
      </c>
    </row>
    <row r="12" spans="1:9" ht="15.6" x14ac:dyDescent="0.25">
      <c r="A12" s="8" t="s">
        <v>2008</v>
      </c>
      <c r="B12" s="8" t="s">
        <v>2015</v>
      </c>
      <c r="C12" t="s">
        <v>6232</v>
      </c>
      <c r="D12" t="s">
        <v>2010</v>
      </c>
      <c r="F12" t="s">
        <v>1012</v>
      </c>
      <c r="H12" t="s">
        <v>6252</v>
      </c>
    </row>
    <row r="13" spans="1:9" ht="15.6" x14ac:dyDescent="0.25">
      <c r="A13" s="8" t="s">
        <v>2008</v>
      </c>
      <c r="B13" s="8" t="s">
        <v>2015</v>
      </c>
      <c r="C13" t="s">
        <v>6272</v>
      </c>
      <c r="D13" t="s">
        <v>3844</v>
      </c>
      <c r="E13" t="s">
        <v>2009</v>
      </c>
      <c r="F13" t="s">
        <v>437</v>
      </c>
      <c r="H13" t="s">
        <v>4705</v>
      </c>
    </row>
    <row r="14" spans="1:9" ht="15.6" x14ac:dyDescent="0.25">
      <c r="A14" s="8" t="s">
        <v>3582</v>
      </c>
      <c r="B14" s="8" t="s">
        <v>3589</v>
      </c>
      <c r="C14" t="s">
        <v>6272</v>
      </c>
      <c r="D14" t="s">
        <v>3844</v>
      </c>
      <c r="E14" t="s">
        <v>3584</v>
      </c>
      <c r="F14" t="s">
        <v>437</v>
      </c>
      <c r="H14">
        <v>1105700</v>
      </c>
    </row>
    <row r="15" spans="1:9" ht="15.6" x14ac:dyDescent="0.25">
      <c r="A15" s="8" t="s">
        <v>1346</v>
      </c>
      <c r="B15" s="8" t="s">
        <v>1356</v>
      </c>
      <c r="C15" t="s">
        <v>6232</v>
      </c>
      <c r="D15" t="s">
        <v>1350</v>
      </c>
      <c r="F15" t="s">
        <v>1012</v>
      </c>
      <c r="H15" t="s">
        <v>3894</v>
      </c>
    </row>
    <row r="16" spans="1:9" ht="15.6" x14ac:dyDescent="0.25">
      <c r="A16" s="8" t="s">
        <v>2504</v>
      </c>
      <c r="B16" s="8" t="s">
        <v>2511</v>
      </c>
      <c r="C16" t="s">
        <v>6272</v>
      </c>
      <c r="D16" t="s">
        <v>3837</v>
      </c>
      <c r="E16" t="s">
        <v>2506</v>
      </c>
      <c r="F16" t="s">
        <v>4050</v>
      </c>
      <c r="H16" t="s">
        <v>3843</v>
      </c>
    </row>
    <row r="17" spans="1:8" ht="15.6" x14ac:dyDescent="0.25">
      <c r="A17" s="8" t="s">
        <v>1523</v>
      </c>
      <c r="B17" s="8" t="s">
        <v>1529</v>
      </c>
      <c r="C17" t="s">
        <v>6232</v>
      </c>
      <c r="D17" t="s">
        <v>965</v>
      </c>
      <c r="F17" t="s">
        <v>4050</v>
      </c>
      <c r="H17" t="s">
        <v>6267</v>
      </c>
    </row>
    <row r="18" spans="1:8" ht="15.6" x14ac:dyDescent="0.25">
      <c r="A18" s="8" t="s">
        <v>3035</v>
      </c>
      <c r="B18" s="8" t="s">
        <v>3041</v>
      </c>
      <c r="C18" t="s">
        <v>6272</v>
      </c>
      <c r="D18" t="s">
        <v>3844</v>
      </c>
      <c r="E18" t="s">
        <v>692</v>
      </c>
      <c r="F18" t="s">
        <v>437</v>
      </c>
      <c r="H18" t="s">
        <v>3845</v>
      </c>
    </row>
    <row r="19" spans="1:8" ht="15.6" x14ac:dyDescent="0.25">
      <c r="A19" s="8" t="s">
        <v>1688</v>
      </c>
      <c r="B19" s="8" t="s">
        <v>1692</v>
      </c>
      <c r="C19" t="s">
        <v>6272</v>
      </c>
      <c r="D19" t="s">
        <v>6273</v>
      </c>
      <c r="E19" t="s">
        <v>1654</v>
      </c>
      <c r="F19" t="s">
        <v>1012</v>
      </c>
      <c r="H19" t="s">
        <v>3854</v>
      </c>
    </row>
    <row r="20" spans="1:8" ht="15.6" x14ac:dyDescent="0.25">
      <c r="A20" s="8" t="s">
        <v>1337</v>
      </c>
      <c r="B20" s="8" t="s">
        <v>1341</v>
      </c>
      <c r="C20" t="s">
        <v>6272</v>
      </c>
      <c r="D20" t="s">
        <v>3837</v>
      </c>
      <c r="E20" t="s">
        <v>692</v>
      </c>
      <c r="F20" t="s">
        <v>4050</v>
      </c>
      <c r="H20" t="s">
        <v>6281</v>
      </c>
    </row>
    <row r="21" spans="1:8" ht="15.6" x14ac:dyDescent="0.25">
      <c r="A21" s="8" t="s">
        <v>2608</v>
      </c>
      <c r="B21" s="8" t="s">
        <v>3427</v>
      </c>
      <c r="C21" t="s">
        <v>6272</v>
      </c>
      <c r="D21" t="s">
        <v>3844</v>
      </c>
      <c r="E21" t="s">
        <v>692</v>
      </c>
      <c r="F21" t="s">
        <v>437</v>
      </c>
      <c r="H21" t="s">
        <v>3891</v>
      </c>
    </row>
    <row r="22" spans="1:8" ht="15.6" x14ac:dyDescent="0.25">
      <c r="A22" s="8" t="s">
        <v>1707</v>
      </c>
      <c r="B22" s="8" t="s">
        <v>1712</v>
      </c>
      <c r="C22" t="s">
        <v>6272</v>
      </c>
      <c r="D22" t="s">
        <v>6273</v>
      </c>
      <c r="E22" t="s">
        <v>1708</v>
      </c>
      <c r="F22" t="s">
        <v>1012</v>
      </c>
      <c r="H22" t="s">
        <v>3834</v>
      </c>
    </row>
    <row r="23" spans="1:8" ht="15.6" x14ac:dyDescent="0.25">
      <c r="A23" s="8" t="s">
        <v>2645</v>
      </c>
      <c r="B23" s="8" t="s">
        <v>2651</v>
      </c>
      <c r="C23" t="s">
        <v>6272</v>
      </c>
      <c r="D23" t="s">
        <v>6273</v>
      </c>
      <c r="E23" t="s">
        <v>1654</v>
      </c>
      <c r="F23" t="s">
        <v>1012</v>
      </c>
      <c r="H23" t="s">
        <v>2651</v>
      </c>
    </row>
    <row r="24" spans="1:8" ht="15.6" x14ac:dyDescent="0.25">
      <c r="A24" s="8" t="s">
        <v>2589</v>
      </c>
      <c r="B24" s="8" t="s">
        <v>2596</v>
      </c>
      <c r="C24" t="s">
        <v>6232</v>
      </c>
      <c r="D24" t="s">
        <v>1585</v>
      </c>
      <c r="F24" t="s">
        <v>1012</v>
      </c>
      <c r="H24" t="s">
        <v>244</v>
      </c>
    </row>
    <row r="25" spans="1:8" ht="15.6" x14ac:dyDescent="0.25">
      <c r="A25" s="8" t="s">
        <v>1479</v>
      </c>
      <c r="B25" s="8" t="s">
        <v>1485</v>
      </c>
      <c r="C25" t="s">
        <v>6272</v>
      </c>
      <c r="D25" t="s">
        <v>6273</v>
      </c>
      <c r="E25" t="s">
        <v>692</v>
      </c>
      <c r="F25" t="s">
        <v>1012</v>
      </c>
      <c r="H25" t="s">
        <v>3880</v>
      </c>
    </row>
    <row r="26" spans="1:8" ht="15.6" x14ac:dyDescent="0.25">
      <c r="A26" s="8" t="s">
        <v>2780</v>
      </c>
      <c r="B26" s="8" t="s">
        <v>2784</v>
      </c>
      <c r="C26" t="s">
        <v>6272</v>
      </c>
      <c r="D26" t="s">
        <v>3844</v>
      </c>
      <c r="E26" t="s">
        <v>1708</v>
      </c>
      <c r="F26" t="s">
        <v>437</v>
      </c>
      <c r="H26" t="s">
        <v>6276</v>
      </c>
    </row>
    <row r="27" spans="1:8" ht="15.6" x14ac:dyDescent="0.25">
      <c r="A27" s="8" t="s">
        <v>1793</v>
      </c>
      <c r="B27" s="8" t="s">
        <v>1799</v>
      </c>
      <c r="C27" t="s">
        <v>6232</v>
      </c>
      <c r="D27" t="s">
        <v>1585</v>
      </c>
      <c r="F27" t="s">
        <v>4050</v>
      </c>
      <c r="H27" t="s">
        <v>6269</v>
      </c>
    </row>
    <row r="28" spans="1:8" ht="15.6" x14ac:dyDescent="0.25">
      <c r="A28" s="8" t="s">
        <v>1651</v>
      </c>
      <c r="B28" s="8" t="s">
        <v>1657</v>
      </c>
      <c r="C28" t="s">
        <v>6272</v>
      </c>
      <c r="D28" t="s">
        <v>3844</v>
      </c>
      <c r="E28" t="s">
        <v>1654</v>
      </c>
      <c r="F28" t="s">
        <v>437</v>
      </c>
      <c r="H28" t="s">
        <v>3889</v>
      </c>
    </row>
    <row r="29" spans="1:8" ht="15.6" x14ac:dyDescent="0.25">
      <c r="A29" s="8" t="s">
        <v>1301</v>
      </c>
      <c r="B29" s="8" t="s">
        <v>1307</v>
      </c>
      <c r="C29" t="s">
        <v>6232</v>
      </c>
      <c r="D29" t="s">
        <v>1304</v>
      </c>
      <c r="F29" t="s">
        <v>4050</v>
      </c>
      <c r="H29" t="s">
        <v>6249</v>
      </c>
    </row>
    <row r="30" spans="1:8" ht="15.6" x14ac:dyDescent="0.25">
      <c r="A30" s="8" t="s">
        <v>3404</v>
      </c>
      <c r="B30" s="8" t="s">
        <v>3409</v>
      </c>
      <c r="C30" t="s">
        <v>6232</v>
      </c>
      <c r="D30" t="s">
        <v>965</v>
      </c>
      <c r="F30" t="s">
        <v>964</v>
      </c>
      <c r="H30" t="s">
        <v>6237</v>
      </c>
    </row>
    <row r="31" spans="1:8" ht="15.6" x14ac:dyDescent="0.25">
      <c r="A31" s="8" t="s">
        <v>3218</v>
      </c>
      <c r="B31" s="8" t="s">
        <v>3223</v>
      </c>
      <c r="C31" t="s">
        <v>6232</v>
      </c>
      <c r="D31" t="s">
        <v>3219</v>
      </c>
      <c r="F31" t="s">
        <v>1012</v>
      </c>
      <c r="H31" t="s">
        <v>6235</v>
      </c>
    </row>
    <row r="32" spans="1:8" ht="15.6" x14ac:dyDescent="0.25">
      <c r="A32" s="8" t="s">
        <v>2359</v>
      </c>
      <c r="B32" s="8" t="s">
        <v>2363</v>
      </c>
      <c r="C32" t="s">
        <v>6232</v>
      </c>
      <c r="D32" t="s">
        <v>3841</v>
      </c>
      <c r="F32" t="s">
        <v>4050</v>
      </c>
      <c r="H32" t="s">
        <v>6263</v>
      </c>
    </row>
    <row r="33" spans="1:8" ht="15.6" x14ac:dyDescent="0.25">
      <c r="A33" s="8" t="s">
        <v>1557</v>
      </c>
      <c r="B33" s="8" t="s">
        <v>1563</v>
      </c>
      <c r="C33" t="s">
        <v>6272</v>
      </c>
      <c r="D33" t="s">
        <v>6273</v>
      </c>
      <c r="E33" t="s">
        <v>1559</v>
      </c>
      <c r="F33" t="s">
        <v>1012</v>
      </c>
      <c r="H33" t="s">
        <v>3884</v>
      </c>
    </row>
    <row r="34" spans="1:8" ht="15.6" x14ac:dyDescent="0.25">
      <c r="A34" s="8" t="s">
        <v>2765</v>
      </c>
      <c r="B34" s="8" t="s">
        <v>2768</v>
      </c>
      <c r="C34" t="s">
        <v>6272</v>
      </c>
      <c r="D34" t="s">
        <v>6273</v>
      </c>
      <c r="E34" t="s">
        <v>1559</v>
      </c>
      <c r="F34" t="s">
        <v>1012</v>
      </c>
      <c r="H34" t="s">
        <v>3840</v>
      </c>
    </row>
    <row r="35" spans="1:8" ht="15.6" x14ac:dyDescent="0.25">
      <c r="A35" s="8" t="s">
        <v>2826</v>
      </c>
      <c r="B35" s="8" t="s">
        <v>2830</v>
      </c>
      <c r="C35" t="s">
        <v>6232</v>
      </c>
      <c r="D35" t="s">
        <v>2827</v>
      </c>
      <c r="F35" t="s">
        <v>4050</v>
      </c>
      <c r="H35" t="s">
        <v>6244</v>
      </c>
    </row>
    <row r="36" spans="1:8" ht="15.6" x14ac:dyDescent="0.25">
      <c r="A36" s="8" t="s">
        <v>1827</v>
      </c>
      <c r="B36" s="8" t="s">
        <v>3107</v>
      </c>
      <c r="C36" t="s">
        <v>6272</v>
      </c>
      <c r="D36" t="s">
        <v>3844</v>
      </c>
      <c r="E36" t="s">
        <v>1708</v>
      </c>
      <c r="F36" t="s">
        <v>437</v>
      </c>
      <c r="H36" t="s">
        <v>3882</v>
      </c>
    </row>
    <row r="37" spans="1:8" ht="15.6" x14ac:dyDescent="0.25">
      <c r="A37" s="8" t="s">
        <v>412</v>
      </c>
      <c r="B37" s="8" t="s">
        <v>424</v>
      </c>
      <c r="C37" t="s">
        <v>6272</v>
      </c>
      <c r="D37" t="s">
        <v>3837</v>
      </c>
      <c r="E37" t="s">
        <v>417</v>
      </c>
      <c r="F37" t="s">
        <v>4050</v>
      </c>
      <c r="H37" t="s">
        <v>3897</v>
      </c>
    </row>
    <row r="38" spans="1:8" ht="15.6" x14ac:dyDescent="0.25">
      <c r="A38" s="8" t="s">
        <v>2517</v>
      </c>
      <c r="B38" s="8" t="s">
        <v>2524</v>
      </c>
      <c r="C38" t="s">
        <v>6272</v>
      </c>
      <c r="D38" t="s">
        <v>6273</v>
      </c>
      <c r="E38" t="s">
        <v>2519</v>
      </c>
      <c r="F38" t="s">
        <v>1012</v>
      </c>
    </row>
    <row r="39" spans="1:8" ht="15.6" x14ac:dyDescent="0.25">
      <c r="A39" s="8" t="s">
        <v>3335</v>
      </c>
      <c r="B39" s="8" t="s">
        <v>3340</v>
      </c>
      <c r="C39" t="s">
        <v>6272</v>
      </c>
      <c r="D39" t="s">
        <v>3844</v>
      </c>
      <c r="E39" t="s">
        <v>1095</v>
      </c>
      <c r="F39" t="s">
        <v>437</v>
      </c>
      <c r="H39" t="s">
        <v>3871</v>
      </c>
    </row>
    <row r="40" spans="1:8" ht="15.6" x14ac:dyDescent="0.25">
      <c r="A40" s="8" t="s">
        <v>1963</v>
      </c>
      <c r="B40" s="8" t="s">
        <v>1969</v>
      </c>
      <c r="C40" t="s">
        <v>6232</v>
      </c>
      <c r="D40" t="s">
        <v>1965</v>
      </c>
      <c r="F40" t="s">
        <v>1012</v>
      </c>
      <c r="H40" t="s">
        <v>6253</v>
      </c>
    </row>
    <row r="41" spans="1:8" ht="15.6" x14ac:dyDescent="0.25">
      <c r="A41" s="8" t="s">
        <v>1933</v>
      </c>
      <c r="B41" s="8" t="s">
        <v>1938</v>
      </c>
      <c r="C41" t="s">
        <v>6232</v>
      </c>
      <c r="D41" t="s">
        <v>1934</v>
      </c>
      <c r="F41" t="s">
        <v>964</v>
      </c>
      <c r="H41" t="s">
        <v>6258</v>
      </c>
    </row>
    <row r="42" spans="1:8" ht="15.6" x14ac:dyDescent="0.25">
      <c r="A42" s="8" t="s">
        <v>1933</v>
      </c>
      <c r="B42" s="8" t="s">
        <v>1938</v>
      </c>
      <c r="C42" t="s">
        <v>6272</v>
      </c>
      <c r="D42" t="s">
        <v>6273</v>
      </c>
      <c r="E42" t="s">
        <v>692</v>
      </c>
      <c r="F42" t="s">
        <v>1012</v>
      </c>
      <c r="H42" t="s">
        <v>3881</v>
      </c>
    </row>
    <row r="43" spans="1:8" ht="15.6" x14ac:dyDescent="0.25">
      <c r="A43" s="8" t="s">
        <v>1947</v>
      </c>
      <c r="B43" s="8" t="s">
        <v>1952</v>
      </c>
      <c r="C43" t="s">
        <v>6272</v>
      </c>
      <c r="D43" t="s">
        <v>6273</v>
      </c>
      <c r="E43" t="s">
        <v>692</v>
      </c>
      <c r="F43" t="s">
        <v>1012</v>
      </c>
      <c r="H43" t="s">
        <v>3873</v>
      </c>
    </row>
    <row r="44" spans="1:8" ht="15.6" x14ac:dyDescent="0.25">
      <c r="A44" s="8" t="s">
        <v>2601</v>
      </c>
      <c r="B44" s="8" t="s">
        <v>2605</v>
      </c>
      <c r="C44" t="s">
        <v>6232</v>
      </c>
      <c r="D44" t="s">
        <v>1350</v>
      </c>
      <c r="F44" t="s">
        <v>4050</v>
      </c>
      <c r="H44" t="s">
        <v>6243</v>
      </c>
    </row>
    <row r="45" spans="1:8" ht="15.6" x14ac:dyDescent="0.25">
      <c r="A45" s="8" t="s">
        <v>2324</v>
      </c>
      <c r="B45" s="8" t="s">
        <v>2330</v>
      </c>
      <c r="C45" t="s">
        <v>6272</v>
      </c>
      <c r="D45" t="s">
        <v>6273</v>
      </c>
      <c r="E45" t="s">
        <v>1654</v>
      </c>
      <c r="F45" t="s">
        <v>1012</v>
      </c>
      <c r="H45" t="s">
        <v>3868</v>
      </c>
    </row>
    <row r="46" spans="1:8" ht="15.6" x14ac:dyDescent="0.25">
      <c r="A46" s="8" t="s">
        <v>1218</v>
      </c>
      <c r="B46" s="8" t="s">
        <v>2990</v>
      </c>
      <c r="C46" t="s">
        <v>6272</v>
      </c>
      <c r="D46" t="s">
        <v>6273</v>
      </c>
      <c r="E46" t="s">
        <v>1837</v>
      </c>
      <c r="F46" t="s">
        <v>1012</v>
      </c>
      <c r="H46" t="s">
        <v>3874</v>
      </c>
    </row>
    <row r="47" spans="1:8" ht="15.6" x14ac:dyDescent="0.25">
      <c r="A47" s="8" t="s">
        <v>2202</v>
      </c>
      <c r="B47" s="8" t="s">
        <v>2208</v>
      </c>
      <c r="C47" t="s">
        <v>6232</v>
      </c>
      <c r="D47" t="s">
        <v>6233</v>
      </c>
      <c r="F47" t="s">
        <v>1012</v>
      </c>
      <c r="H47" t="s">
        <v>3899</v>
      </c>
    </row>
    <row r="48" spans="1:8" ht="15.6" x14ac:dyDescent="0.25">
      <c r="A48" s="8" t="s">
        <v>1664</v>
      </c>
      <c r="B48" s="8" t="s">
        <v>1669</v>
      </c>
      <c r="C48" t="s">
        <v>6232</v>
      </c>
      <c r="D48" t="s">
        <v>1665</v>
      </c>
      <c r="F48" t="s">
        <v>964</v>
      </c>
      <c r="H48" t="s">
        <v>3867</v>
      </c>
    </row>
    <row r="49" spans="1:8" ht="15.6" x14ac:dyDescent="0.25">
      <c r="A49" s="8" t="s">
        <v>2302</v>
      </c>
      <c r="B49" s="8" t="s">
        <v>2308</v>
      </c>
      <c r="C49" t="s">
        <v>6232</v>
      </c>
      <c r="D49" t="s">
        <v>2303</v>
      </c>
      <c r="F49" t="s">
        <v>964</v>
      </c>
      <c r="H49" t="s">
        <v>244</v>
      </c>
    </row>
    <row r="50" spans="1:8" ht="15.6" x14ac:dyDescent="0.25">
      <c r="A50" s="8" t="s">
        <v>2610</v>
      </c>
      <c r="B50" s="8" t="s">
        <v>2615</v>
      </c>
      <c r="C50" t="s">
        <v>6232</v>
      </c>
      <c r="D50" t="s">
        <v>2611</v>
      </c>
      <c r="F50" t="s">
        <v>964</v>
      </c>
      <c r="H50" t="s">
        <v>244</v>
      </c>
    </row>
    <row r="51" spans="1:8" ht="15.6" x14ac:dyDescent="0.25">
      <c r="A51" s="8" t="s">
        <v>2528</v>
      </c>
      <c r="B51" s="8" t="s">
        <v>2533</v>
      </c>
      <c r="C51" t="s">
        <v>6232</v>
      </c>
      <c r="D51" t="s">
        <v>2242</v>
      </c>
      <c r="F51" t="s">
        <v>964</v>
      </c>
      <c r="H51" t="s">
        <v>6266</v>
      </c>
    </row>
    <row r="52" spans="1:8" ht="15.6" x14ac:dyDescent="0.25">
      <c r="A52" s="8" t="s">
        <v>2528</v>
      </c>
      <c r="B52" s="8" t="s">
        <v>2533</v>
      </c>
      <c r="C52" t="s">
        <v>6272</v>
      </c>
      <c r="D52" t="s">
        <v>3844</v>
      </c>
      <c r="E52" t="s">
        <v>1837</v>
      </c>
      <c r="F52" t="s">
        <v>437</v>
      </c>
      <c r="H52" t="s">
        <v>3875</v>
      </c>
    </row>
    <row r="53" spans="1:8" ht="15.6" x14ac:dyDescent="0.25">
      <c r="A53" s="8" t="s">
        <v>3452</v>
      </c>
      <c r="B53" s="8" t="s">
        <v>3456</v>
      </c>
      <c r="C53" t="s">
        <v>6232</v>
      </c>
      <c r="D53" t="s">
        <v>3153</v>
      </c>
      <c r="F53" t="s">
        <v>964</v>
      </c>
      <c r="H53" t="s">
        <v>6238</v>
      </c>
    </row>
    <row r="54" spans="1:8" ht="15.6" x14ac:dyDescent="0.25">
      <c r="A54" s="8" t="s">
        <v>2106</v>
      </c>
      <c r="B54" s="8" t="s">
        <v>2113</v>
      </c>
      <c r="C54" t="s">
        <v>6272</v>
      </c>
      <c r="D54" t="s">
        <v>3844</v>
      </c>
      <c r="E54" t="s">
        <v>1708</v>
      </c>
      <c r="F54" t="s">
        <v>437</v>
      </c>
      <c r="H54" t="s">
        <v>3893</v>
      </c>
    </row>
    <row r="55" spans="1:8" ht="15.6" x14ac:dyDescent="0.25">
      <c r="A55" s="8" t="s">
        <v>3572</v>
      </c>
      <c r="B55" s="8" t="s">
        <v>3577</v>
      </c>
      <c r="C55" t="s">
        <v>6232</v>
      </c>
      <c r="D55" t="s">
        <v>1350</v>
      </c>
      <c r="F55" t="s">
        <v>1012</v>
      </c>
      <c r="H55" t="s">
        <v>6240</v>
      </c>
    </row>
    <row r="56" spans="1:8" ht="15.6" x14ac:dyDescent="0.25">
      <c r="A56" s="8" t="s">
        <v>1468</v>
      </c>
      <c r="B56" s="8" t="s">
        <v>1473</v>
      </c>
      <c r="C56" t="s">
        <v>6272</v>
      </c>
      <c r="D56" t="s">
        <v>6273</v>
      </c>
      <c r="E56" t="s">
        <v>692</v>
      </c>
      <c r="F56" t="s">
        <v>1012</v>
      </c>
      <c r="H56" t="s">
        <v>3896</v>
      </c>
    </row>
    <row r="57" spans="1:8" ht="15.6" x14ac:dyDescent="0.25">
      <c r="A57" s="8" t="s">
        <v>2294</v>
      </c>
      <c r="B57" s="8" t="s">
        <v>2298</v>
      </c>
      <c r="C57" t="s">
        <v>6272</v>
      </c>
      <c r="D57" t="s">
        <v>3844</v>
      </c>
      <c r="E57" t="s">
        <v>692</v>
      </c>
      <c r="F57" t="s">
        <v>437</v>
      </c>
      <c r="H57" t="s">
        <v>3901</v>
      </c>
    </row>
    <row r="58" spans="1:8" ht="15.6" x14ac:dyDescent="0.25">
      <c r="A58" s="8" t="s">
        <v>2718</v>
      </c>
      <c r="B58" s="8" t="s">
        <v>2722</v>
      </c>
      <c r="C58" t="s">
        <v>6232</v>
      </c>
      <c r="D58" t="s">
        <v>2242</v>
      </c>
      <c r="F58" t="s">
        <v>964</v>
      </c>
      <c r="H58" t="s">
        <v>6246</v>
      </c>
    </row>
    <row r="59" spans="1:8" ht="15.6" x14ac:dyDescent="0.25">
      <c r="A59" s="8" t="s">
        <v>1607</v>
      </c>
      <c r="B59" s="8" t="s">
        <v>1612</v>
      </c>
      <c r="C59" t="s">
        <v>6272</v>
      </c>
      <c r="D59" t="s">
        <v>6273</v>
      </c>
      <c r="E59" t="s">
        <v>692</v>
      </c>
      <c r="F59" t="s">
        <v>1012</v>
      </c>
      <c r="H59" t="s">
        <v>3887</v>
      </c>
    </row>
    <row r="60" spans="1:8" ht="15.6" x14ac:dyDescent="0.25">
      <c r="A60" s="8" t="s">
        <v>3503</v>
      </c>
      <c r="B60" s="8" t="s">
        <v>3509</v>
      </c>
      <c r="C60" t="s">
        <v>6272</v>
      </c>
      <c r="D60" t="s">
        <v>3844</v>
      </c>
      <c r="E60" t="s">
        <v>1654</v>
      </c>
      <c r="F60" t="s">
        <v>437</v>
      </c>
      <c r="H60" t="s">
        <v>3866</v>
      </c>
    </row>
    <row r="61" spans="1:8" ht="15.6" x14ac:dyDescent="0.25">
      <c r="A61" s="8" t="s">
        <v>1845</v>
      </c>
      <c r="B61" s="8" t="s">
        <v>1850</v>
      </c>
      <c r="C61" t="s">
        <v>6272</v>
      </c>
      <c r="D61" t="s">
        <v>3837</v>
      </c>
      <c r="E61" t="s">
        <v>1846</v>
      </c>
      <c r="F61" t="s">
        <v>4050</v>
      </c>
      <c r="H61" t="s">
        <v>6278</v>
      </c>
    </row>
    <row r="62" spans="1:8" ht="15.6" x14ac:dyDescent="0.25">
      <c r="A62" s="8" t="s">
        <v>1919</v>
      </c>
      <c r="B62" s="8" t="s">
        <v>1922</v>
      </c>
      <c r="C62" t="s">
        <v>6272</v>
      </c>
      <c r="D62" t="s">
        <v>6273</v>
      </c>
      <c r="E62" t="s">
        <v>1654</v>
      </c>
      <c r="F62" t="s">
        <v>1012</v>
      </c>
      <c r="H62" t="s">
        <v>6282</v>
      </c>
    </row>
    <row r="63" spans="1:8" ht="15.6" x14ac:dyDescent="0.25">
      <c r="A63" s="8" t="s">
        <v>2692</v>
      </c>
      <c r="B63" s="8" t="s">
        <v>2696</v>
      </c>
      <c r="C63" t="s">
        <v>6272</v>
      </c>
      <c r="D63" t="s">
        <v>6273</v>
      </c>
      <c r="E63" t="s">
        <v>1559</v>
      </c>
      <c r="F63" t="s">
        <v>1012</v>
      </c>
      <c r="H63" t="s">
        <v>3862</v>
      </c>
    </row>
    <row r="64" spans="1:8" ht="15.6" x14ac:dyDescent="0.25">
      <c r="A64" s="8" t="s">
        <v>2124</v>
      </c>
      <c r="B64" s="8" t="s">
        <v>2129</v>
      </c>
      <c r="C64" t="s">
        <v>6272</v>
      </c>
      <c r="D64" t="s">
        <v>3837</v>
      </c>
      <c r="E64" t="s">
        <v>1095</v>
      </c>
      <c r="F64" t="s">
        <v>4050</v>
      </c>
      <c r="H64" t="s">
        <v>3838</v>
      </c>
    </row>
    <row r="65" spans="1:8" ht="15.6" x14ac:dyDescent="0.25">
      <c r="A65" s="8" t="s">
        <v>2486</v>
      </c>
      <c r="B65" s="8" t="s">
        <v>2491</v>
      </c>
      <c r="C65" t="s">
        <v>6272</v>
      </c>
      <c r="D65" t="s">
        <v>6273</v>
      </c>
      <c r="E65" t="s">
        <v>1654</v>
      </c>
      <c r="F65" t="s">
        <v>1012</v>
      </c>
      <c r="H65" t="s">
        <v>3900</v>
      </c>
    </row>
    <row r="66" spans="1:8" ht="15.6" x14ac:dyDescent="0.25">
      <c r="A66" s="8" t="s">
        <v>2332</v>
      </c>
      <c r="B66" s="8" t="s">
        <v>2336</v>
      </c>
      <c r="C66" t="s">
        <v>6232</v>
      </c>
      <c r="D66" t="s">
        <v>1665</v>
      </c>
      <c r="F66" t="s">
        <v>964</v>
      </c>
      <c r="H66" t="s">
        <v>244</v>
      </c>
    </row>
    <row r="67" spans="1:8" ht="15.6" x14ac:dyDescent="0.25">
      <c r="A67" s="8" t="s">
        <v>2117</v>
      </c>
      <c r="B67" s="8" t="s">
        <v>2121</v>
      </c>
      <c r="C67" t="s">
        <v>6272</v>
      </c>
      <c r="D67" t="s">
        <v>6273</v>
      </c>
      <c r="E67" t="s">
        <v>1654</v>
      </c>
      <c r="F67" t="s">
        <v>1012</v>
      </c>
      <c r="H67" t="s">
        <v>3833</v>
      </c>
    </row>
    <row r="68" spans="1:8" ht="15.6" x14ac:dyDescent="0.25">
      <c r="A68" s="8" t="s">
        <v>3015</v>
      </c>
      <c r="B68" s="8" t="s">
        <v>3021</v>
      </c>
      <c r="C68" t="s">
        <v>6232</v>
      </c>
      <c r="D68" t="s">
        <v>1350</v>
      </c>
      <c r="F68" t="s">
        <v>1012</v>
      </c>
      <c r="H68" t="s">
        <v>3847</v>
      </c>
    </row>
    <row r="69" spans="1:8" ht="15.6" x14ac:dyDescent="0.25">
      <c r="A69" s="8" t="s">
        <v>1491</v>
      </c>
      <c r="B69" s="8" t="s">
        <v>1496</v>
      </c>
      <c r="C69" t="s">
        <v>6272</v>
      </c>
      <c r="D69" t="s">
        <v>6273</v>
      </c>
      <c r="E69" t="s">
        <v>692</v>
      </c>
      <c r="F69" t="s">
        <v>1012</v>
      </c>
      <c r="H69" t="s">
        <v>3870</v>
      </c>
    </row>
    <row r="70" spans="1:8" ht="15.6" x14ac:dyDescent="0.25">
      <c r="A70" s="8" t="s">
        <v>1941</v>
      </c>
      <c r="B70" s="8" t="s">
        <v>1944</v>
      </c>
      <c r="C70" t="s">
        <v>6272</v>
      </c>
      <c r="D70" t="s">
        <v>3837</v>
      </c>
      <c r="E70" t="s">
        <v>1156</v>
      </c>
      <c r="F70" t="s">
        <v>4050</v>
      </c>
      <c r="H70" t="s">
        <v>3855</v>
      </c>
    </row>
    <row r="71" spans="1:8" ht="15.6" x14ac:dyDescent="0.25">
      <c r="A71" s="8" t="s">
        <v>2031</v>
      </c>
      <c r="B71" s="8" t="s">
        <v>2035</v>
      </c>
      <c r="C71" t="s">
        <v>6272</v>
      </c>
      <c r="D71" t="s">
        <v>3837</v>
      </c>
      <c r="E71" t="s">
        <v>1654</v>
      </c>
      <c r="F71" t="s">
        <v>4050</v>
      </c>
      <c r="H71" t="s">
        <v>3863</v>
      </c>
    </row>
    <row r="72" spans="1:8" ht="15.6" x14ac:dyDescent="0.25">
      <c r="A72" s="8" t="s">
        <v>1858</v>
      </c>
      <c r="B72" s="8" t="s">
        <v>1861</v>
      </c>
      <c r="C72" t="s">
        <v>6272</v>
      </c>
      <c r="D72" t="s">
        <v>6273</v>
      </c>
      <c r="E72" t="s">
        <v>692</v>
      </c>
      <c r="F72" t="s">
        <v>1012</v>
      </c>
      <c r="H72" t="s">
        <v>3832</v>
      </c>
    </row>
    <row r="73" spans="1:8" ht="15.6" x14ac:dyDescent="0.25">
      <c r="A73" s="8" t="s">
        <v>2496</v>
      </c>
      <c r="B73" s="8" t="s">
        <v>2500</v>
      </c>
      <c r="C73" t="s">
        <v>6272</v>
      </c>
      <c r="D73" t="s">
        <v>3844</v>
      </c>
      <c r="E73" t="s">
        <v>692</v>
      </c>
      <c r="F73" t="s">
        <v>437</v>
      </c>
      <c r="H73" t="s">
        <v>4695</v>
      </c>
    </row>
    <row r="74" spans="1:8" ht="15.6" x14ac:dyDescent="0.25">
      <c r="A74" s="8" t="s">
        <v>2239</v>
      </c>
      <c r="B74" s="8" t="s">
        <v>2246</v>
      </c>
      <c r="C74" t="s">
        <v>6232</v>
      </c>
      <c r="D74" t="s">
        <v>2242</v>
      </c>
      <c r="F74" t="s">
        <v>4050</v>
      </c>
      <c r="H74" t="s">
        <v>6271</v>
      </c>
    </row>
    <row r="75" spans="1:8" ht="15.6" x14ac:dyDescent="0.25">
      <c r="A75" s="8" t="s">
        <v>2239</v>
      </c>
      <c r="B75" s="8" t="s">
        <v>2246</v>
      </c>
      <c r="C75" t="s">
        <v>6272</v>
      </c>
      <c r="D75" t="s">
        <v>6273</v>
      </c>
      <c r="E75" t="s">
        <v>2241</v>
      </c>
      <c r="F75" t="s">
        <v>1012</v>
      </c>
      <c r="H75" t="s">
        <v>3879</v>
      </c>
    </row>
    <row r="76" spans="1:8" ht="15.6" x14ac:dyDescent="0.25">
      <c r="A76" s="8" t="s">
        <v>1583</v>
      </c>
      <c r="B76" s="8" t="s">
        <v>1591</v>
      </c>
      <c r="C76" t="s">
        <v>6232</v>
      </c>
      <c r="D76" t="s">
        <v>1585</v>
      </c>
      <c r="F76" t="s">
        <v>4050</v>
      </c>
      <c r="H76" t="s">
        <v>6236</v>
      </c>
    </row>
    <row r="77" spans="1:8" ht="15.6" x14ac:dyDescent="0.25">
      <c r="A77" s="8" t="s">
        <v>3523</v>
      </c>
      <c r="B77" s="8" t="s">
        <v>3529</v>
      </c>
      <c r="C77" t="s">
        <v>6272</v>
      </c>
      <c r="D77" t="s">
        <v>6273</v>
      </c>
      <c r="E77" t="s">
        <v>3525</v>
      </c>
      <c r="F77" t="s">
        <v>1012</v>
      </c>
    </row>
    <row r="78" spans="1:8" ht="15.6" x14ac:dyDescent="0.25">
      <c r="A78" s="8" t="s">
        <v>2278</v>
      </c>
      <c r="B78" s="8" t="s">
        <v>2284</v>
      </c>
      <c r="C78" t="s">
        <v>6272</v>
      </c>
      <c r="D78" t="s">
        <v>6273</v>
      </c>
      <c r="E78" t="s">
        <v>1654</v>
      </c>
      <c r="F78" t="s">
        <v>1012</v>
      </c>
      <c r="H78" t="s">
        <v>3892</v>
      </c>
    </row>
    <row r="79" spans="1:8" ht="15.6" x14ac:dyDescent="0.25">
      <c r="A79" s="8" t="s">
        <v>2466</v>
      </c>
      <c r="B79" s="8" t="s">
        <v>2471</v>
      </c>
      <c r="C79" t="s">
        <v>6232</v>
      </c>
      <c r="D79" t="s">
        <v>1665</v>
      </c>
      <c r="F79" t="s">
        <v>4050</v>
      </c>
      <c r="H79" t="s">
        <v>244</v>
      </c>
    </row>
    <row r="80" spans="1:8" ht="15.6" x14ac:dyDescent="0.25">
      <c r="A80" s="8" t="s">
        <v>3346</v>
      </c>
      <c r="B80" s="8" t="s">
        <v>3351</v>
      </c>
      <c r="C80" t="s">
        <v>6272</v>
      </c>
      <c r="D80" t="s">
        <v>6273</v>
      </c>
      <c r="E80" t="s">
        <v>1095</v>
      </c>
      <c r="F80" t="s">
        <v>1012</v>
      </c>
      <c r="H80" t="s">
        <v>6277</v>
      </c>
    </row>
    <row r="81" spans="1:8" ht="15.6" x14ac:dyDescent="0.25">
      <c r="A81" s="8" t="s">
        <v>1596</v>
      </c>
      <c r="B81" s="8" t="s">
        <v>1601</v>
      </c>
      <c r="C81" t="s">
        <v>6232</v>
      </c>
      <c r="D81" t="s">
        <v>1597</v>
      </c>
      <c r="F81" t="s">
        <v>244</v>
      </c>
      <c r="H81" t="s">
        <v>3895</v>
      </c>
    </row>
    <row r="82" spans="1:8" ht="15.6" x14ac:dyDescent="0.25">
      <c r="A82" s="8" t="s">
        <v>1596</v>
      </c>
      <c r="B82" s="8" t="s">
        <v>1601</v>
      </c>
      <c r="C82" t="s">
        <v>6272</v>
      </c>
      <c r="D82" t="s">
        <v>3844</v>
      </c>
      <c r="E82" t="s">
        <v>692</v>
      </c>
      <c r="F82" t="s">
        <v>437</v>
      </c>
      <c r="H82" t="s">
        <v>3869</v>
      </c>
    </row>
    <row r="83" spans="1:8" ht="15.6" x14ac:dyDescent="0.25">
      <c r="A83" s="8" t="s">
        <v>2384</v>
      </c>
      <c r="B83" s="8" t="s">
        <v>2388</v>
      </c>
      <c r="C83" t="s">
        <v>6232</v>
      </c>
      <c r="D83" t="s">
        <v>1326</v>
      </c>
      <c r="F83" t="s">
        <v>4050</v>
      </c>
      <c r="H83" t="s">
        <v>6262</v>
      </c>
    </row>
    <row r="84" spans="1:8" ht="15.6" x14ac:dyDescent="0.25">
      <c r="A84" s="8" t="s">
        <v>3176</v>
      </c>
      <c r="B84" s="8" t="s">
        <v>3181</v>
      </c>
      <c r="C84" t="s">
        <v>6272</v>
      </c>
      <c r="D84" t="s">
        <v>3844</v>
      </c>
      <c r="E84" t="s">
        <v>692</v>
      </c>
      <c r="F84" t="s">
        <v>437</v>
      </c>
      <c r="H84" t="s">
        <v>3852</v>
      </c>
    </row>
    <row r="85" spans="1:8" ht="15.6" x14ac:dyDescent="0.25">
      <c r="A85" s="8" t="s">
        <v>963</v>
      </c>
      <c r="B85" s="8" t="s">
        <v>968</v>
      </c>
      <c r="C85" t="s">
        <v>6232</v>
      </c>
      <c r="D85" t="s">
        <v>965</v>
      </c>
      <c r="F85" t="s">
        <v>964</v>
      </c>
      <c r="H85" t="s">
        <v>6257</v>
      </c>
    </row>
    <row r="86" spans="1:8" ht="15.6" x14ac:dyDescent="0.25">
      <c r="A86" s="8" t="s">
        <v>2899</v>
      </c>
      <c r="B86" s="8" t="s">
        <v>2903</v>
      </c>
      <c r="C86" t="s">
        <v>6232</v>
      </c>
      <c r="D86" t="s">
        <v>2900</v>
      </c>
      <c r="F86" t="s">
        <v>964</v>
      </c>
      <c r="H86" t="s">
        <v>6245</v>
      </c>
    </row>
    <row r="87" spans="1:8" ht="15.6" x14ac:dyDescent="0.25">
      <c r="A87" s="8" t="s">
        <v>2477</v>
      </c>
      <c r="B87" s="8" t="s">
        <v>2482</v>
      </c>
      <c r="C87" t="s">
        <v>6272</v>
      </c>
      <c r="D87" t="s">
        <v>3844</v>
      </c>
      <c r="E87" t="s">
        <v>1559</v>
      </c>
      <c r="F87" t="s">
        <v>437</v>
      </c>
      <c r="H87" t="s">
        <v>3853</v>
      </c>
    </row>
    <row r="88" spans="1:8" ht="15.6" x14ac:dyDescent="0.25">
      <c r="A88" s="8" t="s">
        <v>1870</v>
      </c>
      <c r="B88" s="8" t="s">
        <v>1874</v>
      </c>
      <c r="C88" t="s">
        <v>6272</v>
      </c>
      <c r="D88" t="s">
        <v>6273</v>
      </c>
      <c r="E88" t="s">
        <v>1654</v>
      </c>
      <c r="F88" t="s">
        <v>1012</v>
      </c>
      <c r="H88" t="s">
        <v>3861</v>
      </c>
    </row>
    <row r="89" spans="1:8" ht="15.6" x14ac:dyDescent="0.25">
      <c r="A89" s="8" t="s">
        <v>1809</v>
      </c>
      <c r="B89" s="8" t="s">
        <v>1816</v>
      </c>
      <c r="C89" t="s">
        <v>6232</v>
      </c>
      <c r="D89" t="s">
        <v>1665</v>
      </c>
      <c r="F89" t="s">
        <v>4050</v>
      </c>
      <c r="H89" t="s">
        <v>244</v>
      </c>
    </row>
    <row r="90" spans="1:8" ht="15.6" x14ac:dyDescent="0.25">
      <c r="A90" s="8" t="s">
        <v>1809</v>
      </c>
      <c r="B90" s="8" t="s">
        <v>1816</v>
      </c>
      <c r="C90" t="s">
        <v>6272</v>
      </c>
      <c r="D90" t="s">
        <v>3837</v>
      </c>
      <c r="E90" t="s">
        <v>1811</v>
      </c>
      <c r="F90" t="s">
        <v>4050</v>
      </c>
      <c r="H90">
        <v>20140401</v>
      </c>
    </row>
    <row r="91" spans="1:8" ht="15.6" x14ac:dyDescent="0.25">
      <c r="A91" s="8" t="s">
        <v>3433</v>
      </c>
      <c r="B91" s="8" t="s">
        <v>3438</v>
      </c>
      <c r="C91" t="s">
        <v>6232</v>
      </c>
      <c r="D91" t="s">
        <v>3435</v>
      </c>
      <c r="F91" t="s">
        <v>964</v>
      </c>
      <c r="H91" t="s">
        <v>6239</v>
      </c>
    </row>
    <row r="92" spans="1:8" ht="15.6" x14ac:dyDescent="0.25">
      <c r="A92" s="8" t="s">
        <v>2431</v>
      </c>
      <c r="B92" s="8" t="s">
        <v>2436</v>
      </c>
      <c r="C92" t="s">
        <v>6272</v>
      </c>
      <c r="D92" t="s">
        <v>6273</v>
      </c>
      <c r="E92" t="s">
        <v>1654</v>
      </c>
      <c r="F92" t="s">
        <v>1012</v>
      </c>
      <c r="H92" t="s">
        <v>3856</v>
      </c>
    </row>
    <row r="93" spans="1:8" ht="15.6" x14ac:dyDescent="0.25">
      <c r="A93" s="8" t="s">
        <v>2193</v>
      </c>
      <c r="B93" s="8" t="s">
        <v>2199</v>
      </c>
      <c r="C93" t="s">
        <v>6232</v>
      </c>
      <c r="D93" t="s">
        <v>2195</v>
      </c>
      <c r="F93" t="s">
        <v>1012</v>
      </c>
      <c r="H93" t="s">
        <v>3831</v>
      </c>
    </row>
    <row r="94" spans="1:8" ht="15.6" x14ac:dyDescent="0.25">
      <c r="A94" s="8" t="s">
        <v>2020</v>
      </c>
      <c r="B94" s="8" t="s">
        <v>2027</v>
      </c>
      <c r="C94" t="s">
        <v>6272</v>
      </c>
      <c r="D94" t="s">
        <v>6273</v>
      </c>
      <c r="E94" t="s">
        <v>2022</v>
      </c>
      <c r="F94" t="s">
        <v>1012</v>
      </c>
      <c r="H94" t="s">
        <v>3886</v>
      </c>
    </row>
    <row r="95" spans="1:8" ht="15.6" x14ac:dyDescent="0.25">
      <c r="A95" s="8" t="s">
        <v>2632</v>
      </c>
      <c r="B95" s="8" t="s">
        <v>2637</v>
      </c>
      <c r="C95" t="s">
        <v>6232</v>
      </c>
      <c r="D95" t="s">
        <v>965</v>
      </c>
      <c r="F95" t="s">
        <v>964</v>
      </c>
      <c r="H95" t="s">
        <v>6241</v>
      </c>
    </row>
    <row r="96" spans="1:8" ht="15.6" x14ac:dyDescent="0.25">
      <c r="A96" s="8" t="s">
        <v>3025</v>
      </c>
      <c r="B96" s="8" t="s">
        <v>3028</v>
      </c>
      <c r="C96" t="s">
        <v>6232</v>
      </c>
      <c r="D96" t="s">
        <v>2827</v>
      </c>
      <c r="F96" t="s">
        <v>964</v>
      </c>
      <c r="H96" t="s">
        <v>6261</v>
      </c>
    </row>
    <row r="97" spans="1:8" ht="15.6" x14ac:dyDescent="0.25">
      <c r="A97" s="8" t="s">
        <v>3005</v>
      </c>
      <c r="B97" s="8" t="s">
        <v>3009</v>
      </c>
      <c r="C97" t="s">
        <v>6272</v>
      </c>
      <c r="D97" t="s">
        <v>6273</v>
      </c>
      <c r="E97" t="s">
        <v>1654</v>
      </c>
      <c r="F97" t="s">
        <v>1012</v>
      </c>
      <c r="H97" t="s">
        <v>3849</v>
      </c>
    </row>
    <row r="98" spans="1:8" ht="15.6" x14ac:dyDescent="0.25">
      <c r="A98" s="8" t="s">
        <v>1323</v>
      </c>
      <c r="B98" s="8" t="s">
        <v>1330</v>
      </c>
      <c r="C98" t="s">
        <v>6232</v>
      </c>
      <c r="D98" t="s">
        <v>1326</v>
      </c>
      <c r="F98" t="s">
        <v>4050</v>
      </c>
      <c r="H98" t="s">
        <v>6270</v>
      </c>
    </row>
    <row r="99" spans="1:8" ht="15.6" x14ac:dyDescent="0.25">
      <c r="A99" s="8" t="s">
        <v>2756</v>
      </c>
      <c r="B99" s="8" t="s">
        <v>2763</v>
      </c>
      <c r="C99" t="s">
        <v>6272</v>
      </c>
      <c r="D99" t="s">
        <v>6273</v>
      </c>
      <c r="E99" t="s">
        <v>692</v>
      </c>
      <c r="F99" t="s">
        <v>1012</v>
      </c>
      <c r="H99" t="s">
        <v>3860</v>
      </c>
    </row>
    <row r="100" spans="1:8" ht="15.6" x14ac:dyDescent="0.25">
      <c r="A100" s="8" t="s">
        <v>1616</v>
      </c>
      <c r="B100" s="8" t="s">
        <v>1623</v>
      </c>
      <c r="C100" t="s">
        <v>6272</v>
      </c>
      <c r="D100" t="s">
        <v>3844</v>
      </c>
      <c r="E100" t="s">
        <v>1095</v>
      </c>
      <c r="F100" t="s">
        <v>437</v>
      </c>
      <c r="H100" t="s">
        <v>6274</v>
      </c>
    </row>
    <row r="101" spans="1:8" ht="15.6" x14ac:dyDescent="0.25">
      <c r="A101" s="8" t="s">
        <v>2536</v>
      </c>
      <c r="B101" s="8" t="s">
        <v>2541</v>
      </c>
      <c r="C101" t="s">
        <v>6272</v>
      </c>
      <c r="D101" t="s">
        <v>6273</v>
      </c>
      <c r="E101" t="s">
        <v>1654</v>
      </c>
      <c r="F101" t="s">
        <v>1012</v>
      </c>
      <c r="H101" t="s">
        <v>3858</v>
      </c>
    </row>
    <row r="102" spans="1:8" ht="15.6" x14ac:dyDescent="0.25">
      <c r="A102" s="8" t="s">
        <v>2347</v>
      </c>
      <c r="B102" s="8" t="s">
        <v>2352</v>
      </c>
      <c r="C102" t="s">
        <v>6232</v>
      </c>
      <c r="D102" t="s">
        <v>2349</v>
      </c>
      <c r="F102" t="s">
        <v>437</v>
      </c>
      <c r="H102" t="s">
        <v>3851</v>
      </c>
    </row>
    <row r="103" spans="1:8" ht="15.6" x14ac:dyDescent="0.25">
      <c r="A103" s="8" t="s">
        <v>3357</v>
      </c>
      <c r="B103" s="8" t="s">
        <v>3360</v>
      </c>
      <c r="C103" t="s">
        <v>6272</v>
      </c>
      <c r="D103" t="s">
        <v>3844</v>
      </c>
      <c r="E103" t="s">
        <v>1708</v>
      </c>
      <c r="F103" t="s">
        <v>437</v>
      </c>
      <c r="H103" t="s">
        <v>3850</v>
      </c>
    </row>
    <row r="104" spans="1:8" ht="15.6" x14ac:dyDescent="0.25">
      <c r="A104" s="8" t="s">
        <v>2936</v>
      </c>
      <c r="B104" s="8" t="s">
        <v>2941</v>
      </c>
      <c r="C104" t="s">
        <v>6232</v>
      </c>
      <c r="D104" t="s">
        <v>2937</v>
      </c>
      <c r="F104" t="s">
        <v>964</v>
      </c>
      <c r="H104" t="s">
        <v>6268</v>
      </c>
    </row>
    <row r="105" spans="1:8" ht="15.6" x14ac:dyDescent="0.25">
      <c r="A105" s="8" t="s">
        <v>2936</v>
      </c>
      <c r="B105" s="8" t="s">
        <v>2941</v>
      </c>
      <c r="C105" t="s">
        <v>6272</v>
      </c>
      <c r="D105" t="s">
        <v>3837</v>
      </c>
      <c r="E105" t="s">
        <v>2873</v>
      </c>
      <c r="F105" t="s">
        <v>4050</v>
      </c>
      <c r="H105" t="s">
        <v>3865</v>
      </c>
    </row>
    <row r="106" spans="1:8" ht="15.6" x14ac:dyDescent="0.25">
      <c r="A106" s="8" t="s">
        <v>2972</v>
      </c>
      <c r="B106" s="8" t="s">
        <v>2979</v>
      </c>
      <c r="C106" t="s">
        <v>6232</v>
      </c>
      <c r="D106" t="s">
        <v>2974</v>
      </c>
      <c r="F106" t="s">
        <v>437</v>
      </c>
      <c r="H106" t="s">
        <v>6234</v>
      </c>
    </row>
    <row r="107" spans="1:8" ht="15.6" x14ac:dyDescent="0.25">
      <c r="A107" s="8" t="s">
        <v>3056</v>
      </c>
      <c r="B107" s="8" t="s">
        <v>3062</v>
      </c>
      <c r="C107" t="s">
        <v>6232</v>
      </c>
      <c r="D107" t="s">
        <v>3059</v>
      </c>
      <c r="F107" t="s">
        <v>964</v>
      </c>
      <c r="H107" t="s">
        <v>6256</v>
      </c>
    </row>
    <row r="108" spans="1:8" ht="15.6" x14ac:dyDescent="0.25">
      <c r="A108" s="8" t="s">
        <v>688</v>
      </c>
      <c r="B108" s="8" t="s">
        <v>699</v>
      </c>
      <c r="C108" t="s">
        <v>6272</v>
      </c>
      <c r="D108" t="s">
        <v>3837</v>
      </c>
      <c r="E108" t="s">
        <v>692</v>
      </c>
      <c r="F108" t="s">
        <v>4050</v>
      </c>
      <c r="H108" t="s">
        <v>3872</v>
      </c>
    </row>
    <row r="109" spans="1:8" ht="15.6" x14ac:dyDescent="0.25">
      <c r="A109" s="8" t="s">
        <v>2871</v>
      </c>
      <c r="B109" s="8" t="s">
        <v>2878</v>
      </c>
      <c r="C109" t="s">
        <v>6232</v>
      </c>
      <c r="D109" t="s">
        <v>965</v>
      </c>
      <c r="F109" t="s">
        <v>964</v>
      </c>
      <c r="H109" t="s">
        <v>6260</v>
      </c>
    </row>
    <row r="110" spans="1:8" ht="15.6" x14ac:dyDescent="0.25">
      <c r="A110" s="8" t="s">
        <v>2871</v>
      </c>
      <c r="B110" s="8" t="s">
        <v>2878</v>
      </c>
      <c r="C110" t="s">
        <v>6272</v>
      </c>
      <c r="D110" t="s">
        <v>3837</v>
      </c>
      <c r="E110" t="s">
        <v>2873</v>
      </c>
      <c r="F110" t="s">
        <v>4050</v>
      </c>
      <c r="H110" t="s">
        <v>3877</v>
      </c>
    </row>
    <row r="111" spans="1:8" ht="15.6" x14ac:dyDescent="0.25">
      <c r="A111" s="8" t="s">
        <v>3482</v>
      </c>
      <c r="B111" s="8" t="s">
        <v>3485</v>
      </c>
      <c r="C111" t="s">
        <v>6272</v>
      </c>
      <c r="D111" t="s">
        <v>3844</v>
      </c>
      <c r="E111" t="s">
        <v>1654</v>
      </c>
      <c r="F111" t="s">
        <v>437</v>
      </c>
      <c r="H111" t="s">
        <v>3846</v>
      </c>
    </row>
    <row r="112" spans="1:8" ht="15.6" x14ac:dyDescent="0.25">
      <c r="A112" s="8" t="s">
        <v>1999</v>
      </c>
      <c r="B112" s="8" t="s">
        <v>2004</v>
      </c>
      <c r="C112" t="s">
        <v>6232</v>
      </c>
      <c r="D112" t="s">
        <v>1350</v>
      </c>
      <c r="F112" t="s">
        <v>1012</v>
      </c>
      <c r="H112" t="s">
        <v>3842</v>
      </c>
    </row>
    <row r="113" spans="1:8" ht="15.6" x14ac:dyDescent="0.25">
      <c r="A113" s="8" t="s">
        <v>2040</v>
      </c>
      <c r="B113" s="8" t="s">
        <v>2044</v>
      </c>
      <c r="C113" t="s">
        <v>6272</v>
      </c>
      <c r="D113" t="s">
        <v>6273</v>
      </c>
      <c r="E113" t="s">
        <v>692</v>
      </c>
      <c r="F113" t="s">
        <v>1012</v>
      </c>
      <c r="H113" t="s">
        <v>6279</v>
      </c>
    </row>
    <row r="114" spans="1:8" ht="15.6" x14ac:dyDescent="0.25">
      <c r="A114" s="8" t="s">
        <v>2953</v>
      </c>
      <c r="B114" s="8" t="s">
        <v>2957</v>
      </c>
      <c r="C114" t="s">
        <v>6272</v>
      </c>
      <c r="D114" t="s">
        <v>3844</v>
      </c>
      <c r="E114" t="s">
        <v>692</v>
      </c>
      <c r="F114" t="s">
        <v>437</v>
      </c>
      <c r="H114" t="s">
        <v>3864</v>
      </c>
    </row>
    <row r="115" spans="1:8" ht="15.6" x14ac:dyDescent="0.25">
      <c r="A115" s="8" t="s">
        <v>2907</v>
      </c>
      <c r="B115" s="8" t="s">
        <v>2910</v>
      </c>
      <c r="C115" t="s">
        <v>6232</v>
      </c>
      <c r="D115" t="s">
        <v>1965</v>
      </c>
      <c r="F115" t="s">
        <v>1012</v>
      </c>
      <c r="H115" t="s">
        <v>3890</v>
      </c>
    </row>
    <row r="116" spans="1:8" ht="15.6" x14ac:dyDescent="0.25">
      <c r="A116" s="8" t="s">
        <v>3152</v>
      </c>
      <c r="B116" s="8" t="s">
        <v>3157</v>
      </c>
      <c r="C116" t="s">
        <v>6232</v>
      </c>
      <c r="D116" t="s">
        <v>3153</v>
      </c>
      <c r="F116" t="s">
        <v>964</v>
      </c>
      <c r="H116" t="s">
        <v>6242</v>
      </c>
    </row>
    <row r="117" spans="1:8" ht="15.6" x14ac:dyDescent="0.25">
      <c r="A117" s="8" t="s">
        <v>705</v>
      </c>
      <c r="B117" s="8" t="s">
        <v>712</v>
      </c>
      <c r="C117" t="s">
        <v>6232</v>
      </c>
      <c r="D117" t="s">
        <v>2303</v>
      </c>
      <c r="F117" t="s">
        <v>4050</v>
      </c>
      <c r="H117" t="s">
        <v>6247</v>
      </c>
    </row>
    <row r="118" spans="1:8" ht="15.6" x14ac:dyDescent="0.25">
      <c r="A118" s="8" t="s">
        <v>432</v>
      </c>
      <c r="B118" s="8" t="s">
        <v>444</v>
      </c>
      <c r="C118" t="s">
        <v>6272</v>
      </c>
      <c r="D118" t="s">
        <v>3844</v>
      </c>
      <c r="E118" t="s">
        <v>438</v>
      </c>
      <c r="F118" t="s">
        <v>437</v>
      </c>
      <c r="H118" t="s">
        <v>6283</v>
      </c>
    </row>
    <row r="119" spans="1:8" ht="15.6" x14ac:dyDescent="0.25">
      <c r="A119" s="8" t="s">
        <v>1511</v>
      </c>
      <c r="B119" s="8" t="s">
        <v>1518</v>
      </c>
      <c r="C119" t="s">
        <v>6232</v>
      </c>
      <c r="D119" t="s">
        <v>965</v>
      </c>
      <c r="F119" t="s">
        <v>964</v>
      </c>
      <c r="H119" t="s">
        <v>6248</v>
      </c>
    </row>
    <row r="120" spans="1:8" ht="15.6" x14ac:dyDescent="0.25">
      <c r="A120" s="8" t="s">
        <v>1726</v>
      </c>
      <c r="B120" s="8" t="s">
        <v>1732</v>
      </c>
      <c r="C120" t="s">
        <v>6272</v>
      </c>
      <c r="D120" t="s">
        <v>3837</v>
      </c>
      <c r="E120" t="s">
        <v>1156</v>
      </c>
      <c r="F120" t="s">
        <v>4050</v>
      </c>
      <c r="H120" t="s">
        <v>3885</v>
      </c>
    </row>
    <row r="121" spans="1:8" ht="15.6" x14ac:dyDescent="0.25">
      <c r="A121" s="8" t="s">
        <v>2945</v>
      </c>
      <c r="B121" s="8" t="s">
        <v>2950</v>
      </c>
      <c r="C121" t="s">
        <v>6272</v>
      </c>
      <c r="D121" t="s">
        <v>3837</v>
      </c>
      <c r="E121" t="s">
        <v>1400</v>
      </c>
      <c r="F121" t="s">
        <v>4050</v>
      </c>
      <c r="H121" t="s">
        <v>3876</v>
      </c>
    </row>
    <row r="122" spans="1:8" ht="15.6" x14ac:dyDescent="0.25">
      <c r="A122" s="8" t="s">
        <v>3491</v>
      </c>
      <c r="B122" s="8" t="s">
        <v>3496</v>
      </c>
      <c r="C122" t="s">
        <v>6272</v>
      </c>
      <c r="D122" t="s">
        <v>3844</v>
      </c>
      <c r="E122" t="s">
        <v>1095</v>
      </c>
      <c r="F122" t="s">
        <v>437</v>
      </c>
      <c r="H122" t="s">
        <v>3857</v>
      </c>
    </row>
    <row r="123" spans="1:8" ht="15.6" x14ac:dyDescent="0.25">
      <c r="A123" s="8" t="s">
        <v>2399</v>
      </c>
      <c r="B123" s="8" t="s">
        <v>2404</v>
      </c>
      <c r="C123" t="s">
        <v>6272</v>
      </c>
      <c r="D123" t="s">
        <v>6273</v>
      </c>
      <c r="E123" t="s">
        <v>1654</v>
      </c>
      <c r="F123" t="s">
        <v>1012</v>
      </c>
      <c r="H123" t="s">
        <v>3883</v>
      </c>
    </row>
    <row r="124" spans="1:8" ht="15.6" x14ac:dyDescent="0.25">
      <c r="A124" s="8" t="s">
        <v>1456</v>
      </c>
      <c r="B124" s="8" t="s">
        <v>1463</v>
      </c>
      <c r="C124" t="s">
        <v>6272</v>
      </c>
      <c r="D124" t="s">
        <v>3837</v>
      </c>
      <c r="E124" t="s">
        <v>1459</v>
      </c>
      <c r="F124" t="s">
        <v>4050</v>
      </c>
      <c r="H124" t="s">
        <v>4963</v>
      </c>
    </row>
    <row r="125" spans="1:8" ht="15.6" x14ac:dyDescent="0.25">
      <c r="A125" s="8" t="s">
        <v>1745</v>
      </c>
      <c r="B125" s="8" t="s">
        <v>1751</v>
      </c>
      <c r="C125" t="s">
        <v>6272</v>
      </c>
      <c r="D125" t="s">
        <v>6273</v>
      </c>
      <c r="E125" t="s">
        <v>1654</v>
      </c>
      <c r="F125" t="s">
        <v>1012</v>
      </c>
      <c r="H125" t="s">
        <v>3888</v>
      </c>
    </row>
    <row r="126" spans="1:8" ht="15.6" x14ac:dyDescent="0.25">
      <c r="A126" s="8" t="s">
        <v>1788</v>
      </c>
      <c r="B126" s="8" t="s">
        <v>1791</v>
      </c>
      <c r="C126" t="s">
        <v>6232</v>
      </c>
      <c r="D126" t="s">
        <v>965</v>
      </c>
      <c r="F126" t="s">
        <v>4050</v>
      </c>
      <c r="H126" t="s">
        <v>6255</v>
      </c>
    </row>
    <row r="127" spans="1:8" ht="15.6" x14ac:dyDescent="0.25">
      <c r="A127" s="8" t="s">
        <v>3606</v>
      </c>
      <c r="B127" s="8" t="s">
        <v>3612</v>
      </c>
      <c r="C127" t="s">
        <v>6272</v>
      </c>
      <c r="D127" t="s">
        <v>6273</v>
      </c>
      <c r="E127" t="s">
        <v>3608</v>
      </c>
      <c r="F127" t="s">
        <v>1012</v>
      </c>
      <c r="H127" t="s">
        <v>4007</v>
      </c>
    </row>
    <row r="128" spans="1:8" ht="15.6" x14ac:dyDescent="0.25">
      <c r="A128" s="8" t="s">
        <v>1836</v>
      </c>
      <c r="B128" s="8" t="s">
        <v>1841</v>
      </c>
      <c r="C128" t="s">
        <v>6272</v>
      </c>
      <c r="D128" t="s">
        <v>6273</v>
      </c>
      <c r="E128" t="s">
        <v>1837</v>
      </c>
      <c r="F128" t="s">
        <v>1012</v>
      </c>
      <c r="H128" t="s">
        <v>3848</v>
      </c>
    </row>
    <row r="129" spans="1:8" ht="15.6" x14ac:dyDescent="0.25">
      <c r="A129" s="8" t="s">
        <v>2962</v>
      </c>
      <c r="B129" s="8" t="s">
        <v>2966</v>
      </c>
      <c r="C129" t="s">
        <v>6232</v>
      </c>
      <c r="D129" t="s">
        <v>2963</v>
      </c>
      <c r="F129" t="s">
        <v>964</v>
      </c>
      <c r="H129" t="s">
        <v>6264</v>
      </c>
    </row>
    <row r="130" spans="1:8" ht="15.6" x14ac:dyDescent="0.25">
      <c r="A130" s="8" t="s">
        <v>2962</v>
      </c>
      <c r="B130" s="8" t="s">
        <v>2966</v>
      </c>
      <c r="C130" t="s">
        <v>6272</v>
      </c>
      <c r="D130" t="s">
        <v>6273</v>
      </c>
      <c r="E130" t="s">
        <v>1846</v>
      </c>
      <c r="F130" t="s">
        <v>1012</v>
      </c>
      <c r="H130" t="s">
        <v>3839</v>
      </c>
    </row>
    <row r="131" spans="1:8" ht="15.6" x14ac:dyDescent="0.25">
      <c r="A131" s="8" t="s">
        <v>1714</v>
      </c>
      <c r="B131" s="8" t="s">
        <v>1721</v>
      </c>
      <c r="C131" t="s">
        <v>6232</v>
      </c>
      <c r="D131" t="s">
        <v>1717</v>
      </c>
      <c r="F131" t="s">
        <v>964</v>
      </c>
      <c r="H131" t="s">
        <v>244</v>
      </c>
    </row>
    <row r="132" spans="1:8" ht="15.6" x14ac:dyDescent="0.25">
      <c r="A132" s="8" t="s">
        <v>2995</v>
      </c>
      <c r="B132" s="8" t="s">
        <v>3000</v>
      </c>
      <c r="C132" t="s">
        <v>6232</v>
      </c>
      <c r="D132" t="s">
        <v>3435</v>
      </c>
      <c r="F132" t="s">
        <v>964</v>
      </c>
      <c r="H132" t="s">
        <v>6259</v>
      </c>
    </row>
    <row r="133" spans="1:8" ht="15.6" x14ac:dyDescent="0.25">
      <c r="A133" s="8" t="s">
        <v>1091</v>
      </c>
      <c r="B133" s="8" t="s">
        <v>1101</v>
      </c>
      <c r="C133" t="s">
        <v>6272</v>
      </c>
      <c r="D133" t="s">
        <v>3837</v>
      </c>
      <c r="E133" t="s">
        <v>1095</v>
      </c>
      <c r="F133" t="s">
        <v>4050</v>
      </c>
    </row>
    <row r="134" spans="1:8" ht="15.6" x14ac:dyDescent="0.25">
      <c r="A134" s="8" t="s">
        <v>2091</v>
      </c>
      <c r="B134" s="8" t="s">
        <v>2096</v>
      </c>
      <c r="C134" t="s">
        <v>6232</v>
      </c>
      <c r="D134" t="s">
        <v>2093</v>
      </c>
      <c r="F134" t="s">
        <v>4050</v>
      </c>
      <c r="H134" t="s">
        <v>6254</v>
      </c>
    </row>
    <row r="135" spans="1:8" ht="15.6" x14ac:dyDescent="0.25">
      <c r="A135" s="8" t="s">
        <v>2091</v>
      </c>
      <c r="B135" s="8" t="s">
        <v>2096</v>
      </c>
      <c r="C135" t="s">
        <v>6272</v>
      </c>
      <c r="D135" t="s">
        <v>3837</v>
      </c>
      <c r="E135" t="s">
        <v>438</v>
      </c>
      <c r="F135" t="s">
        <v>4050</v>
      </c>
      <c r="H135" t="s">
        <v>6280</v>
      </c>
    </row>
    <row r="136" spans="1:8" ht="15.6" x14ac:dyDescent="0.25">
      <c r="A136" s="8" t="s">
        <v>2889</v>
      </c>
      <c r="B136" s="8" t="s">
        <v>2894</v>
      </c>
      <c r="C136" t="s">
        <v>6232</v>
      </c>
      <c r="D136" t="s">
        <v>1934</v>
      </c>
      <c r="F136" t="s">
        <v>4050</v>
      </c>
      <c r="H136" t="s">
        <v>6265</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87" t="s">
        <v>124</v>
      </c>
      <c r="B1" s="88"/>
      <c r="C1" s="88"/>
      <c r="D1" s="88"/>
      <c r="E1" s="88"/>
      <c r="F1" s="88"/>
      <c r="G1" s="88"/>
      <c r="H1" s="88"/>
      <c r="I1" s="88"/>
    </row>
    <row r="2" spans="1:9" ht="18" customHeight="1" x14ac:dyDescent="0.25">
      <c r="A2" s="86" t="s">
        <v>125</v>
      </c>
      <c r="B2" s="86"/>
      <c r="C2" s="86"/>
      <c r="D2" s="86"/>
      <c r="E2" s="86"/>
      <c r="F2" s="86"/>
      <c r="G2" s="86"/>
      <c r="H2" s="86"/>
      <c r="I2" s="86"/>
    </row>
    <row r="3" spans="1:9" ht="22.05" customHeight="1" x14ac:dyDescent="0.25">
      <c r="A3" s="3" t="s">
        <v>37</v>
      </c>
      <c r="B3" s="6" t="s">
        <v>3</v>
      </c>
      <c r="C3" s="7" t="s">
        <v>126</v>
      </c>
      <c r="D3" s="7" t="s">
        <v>129</v>
      </c>
      <c r="E3" s="1" t="s">
        <v>130</v>
      </c>
      <c r="F3" s="1" t="s">
        <v>127</v>
      </c>
      <c r="G3" s="1" t="s">
        <v>128</v>
      </c>
      <c r="H3" s="1" t="s">
        <v>131</v>
      </c>
      <c r="I3" s="1" t="s">
        <v>132</v>
      </c>
    </row>
  </sheetData>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13" activePane="bottomLeft" state="frozen"/>
      <selection pane="bottomLeft" activeCell="G65" sqref="G65"/>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89" t="s">
        <v>134</v>
      </c>
      <c r="B1" s="90"/>
      <c r="C1" s="90"/>
      <c r="D1" s="90"/>
      <c r="E1" s="90"/>
      <c r="F1" s="90"/>
      <c r="G1" s="90"/>
    </row>
    <row r="2" spans="1:7" ht="18" customHeight="1" x14ac:dyDescent="0.25">
      <c r="A2" s="91" t="s">
        <v>160</v>
      </c>
      <c r="B2" s="90"/>
      <c r="C2" s="90"/>
      <c r="D2" s="90"/>
      <c r="E2" s="90"/>
      <c r="F2" s="90"/>
      <c r="G2" s="90"/>
    </row>
    <row r="3" spans="1:7" ht="22.05" customHeight="1" x14ac:dyDescent="0.25">
      <c r="A3" s="3" t="s">
        <v>37</v>
      </c>
      <c r="B3" s="6" t="s">
        <v>3</v>
      </c>
      <c r="C3" s="7" t="s">
        <v>135</v>
      </c>
      <c r="D3" s="7" t="s">
        <v>136</v>
      </c>
      <c r="E3" s="1" t="s">
        <v>137</v>
      </c>
      <c r="F3" s="1" t="s">
        <v>138</v>
      </c>
      <c r="G3" s="1" t="s">
        <v>139</v>
      </c>
    </row>
  </sheetData>
  <mergeCells count="2">
    <mergeCell ref="A2:G2"/>
    <mergeCell ref="A1:G1"/>
  </mergeCells>
  <phoneticPr fontId="6"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87" t="s">
        <v>141</v>
      </c>
      <c r="B1" s="88"/>
      <c r="C1" s="88"/>
      <c r="D1" s="88"/>
      <c r="E1" s="88"/>
      <c r="F1" s="88"/>
      <c r="G1" s="88"/>
      <c r="H1" s="88"/>
      <c r="I1" s="88"/>
      <c r="J1" s="88"/>
      <c r="K1" s="88"/>
    </row>
    <row r="2" spans="1:11" ht="18" customHeight="1" x14ac:dyDescent="0.25">
      <c r="A2" s="86" t="s">
        <v>142</v>
      </c>
      <c r="B2" s="86"/>
      <c r="C2" s="86"/>
      <c r="D2" s="86"/>
      <c r="E2" s="86"/>
      <c r="F2" s="86"/>
      <c r="G2" s="86"/>
      <c r="H2" s="86"/>
      <c r="I2" s="86"/>
      <c r="J2" s="86"/>
      <c r="K2" s="86"/>
    </row>
    <row r="3" spans="1:11" ht="22.05" customHeight="1" x14ac:dyDescent="0.25">
      <c r="A3" s="3" t="s">
        <v>37</v>
      </c>
      <c r="B3" s="6" t="s">
        <v>3</v>
      </c>
      <c r="C3" s="7" t="s">
        <v>143</v>
      </c>
      <c r="D3" s="7" t="s">
        <v>129</v>
      </c>
      <c r="E3" s="1" t="s">
        <v>130</v>
      </c>
      <c r="F3" s="1" t="s">
        <v>144</v>
      </c>
      <c r="G3" s="1" t="s">
        <v>145</v>
      </c>
      <c r="H3" s="1" t="s">
        <v>117</v>
      </c>
      <c r="I3" s="1" t="s">
        <v>146</v>
      </c>
      <c r="J3" s="1" t="s">
        <v>147</v>
      </c>
      <c r="K3" s="1" t="s">
        <v>148</v>
      </c>
    </row>
  </sheetData>
  <mergeCells count="2">
    <mergeCell ref="A2:K2"/>
    <mergeCell ref="A1:K1"/>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23"/>
  <sheetViews>
    <sheetView workbookViewId="0">
      <pane ySplit="3" topLeftCell="A4" activePane="bottomLeft" state="frozen"/>
      <selection pane="bottomLeft" activeCell="F25" sqref="F25"/>
    </sheetView>
  </sheetViews>
  <sheetFormatPr defaultRowHeight="14.4" x14ac:dyDescent="0.25"/>
  <cols>
    <col min="1" max="1" width="22.44140625" bestFit="1" customWidth="1"/>
    <col min="2" max="2" width="21.109375" style="5" bestFit="1" customWidth="1"/>
    <col min="3" max="3" width="16.6640625" bestFit="1" customWidth="1"/>
    <col min="4" max="4" width="26.109375" customWidth="1"/>
    <col min="5" max="5" width="25.21875" customWidth="1"/>
    <col min="6" max="6" width="42.21875" style="5" bestFit="1" customWidth="1"/>
    <col min="7" max="8" width="15" bestFit="1" customWidth="1"/>
    <col min="9" max="9" width="25" bestFit="1" customWidth="1"/>
    <col min="10" max="10" width="25.44140625" bestFit="1" customWidth="1"/>
  </cols>
  <sheetData>
    <row r="1" spans="1:10" ht="28.05" customHeight="1" x14ac:dyDescent="0.25">
      <c r="A1" s="89" t="s">
        <v>150</v>
      </c>
      <c r="B1" s="90"/>
      <c r="C1" s="90"/>
      <c r="D1" s="90"/>
      <c r="E1" s="90"/>
      <c r="F1" s="90"/>
      <c r="G1" s="90"/>
      <c r="H1" s="90"/>
      <c r="I1" s="90"/>
      <c r="J1" s="90"/>
    </row>
    <row r="2" spans="1:10" ht="18" customHeight="1" x14ac:dyDescent="0.25">
      <c r="A2" s="91" t="s">
        <v>151</v>
      </c>
      <c r="B2" s="90"/>
      <c r="C2" s="90"/>
      <c r="D2" s="90"/>
      <c r="E2" s="90"/>
      <c r="F2" s="90"/>
      <c r="G2" s="90"/>
      <c r="H2" s="90"/>
      <c r="I2" s="90"/>
      <c r="J2" s="90"/>
    </row>
    <row r="3" spans="1:10" ht="22.05" customHeight="1" x14ac:dyDescent="0.25">
      <c r="A3" s="3" t="s">
        <v>37</v>
      </c>
      <c r="B3" s="6" t="s">
        <v>3</v>
      </c>
      <c r="C3" s="7" t="s">
        <v>152</v>
      </c>
      <c r="D3" s="1" t="s">
        <v>10023</v>
      </c>
      <c r="E3" s="1" t="s">
        <v>10024</v>
      </c>
      <c r="F3" s="4" t="s">
        <v>153</v>
      </c>
      <c r="G3" s="1" t="s">
        <v>45</v>
      </c>
      <c r="H3" s="1" t="s">
        <v>46</v>
      </c>
      <c r="I3" s="1" t="s">
        <v>47</v>
      </c>
      <c r="J3" s="1" t="s">
        <v>154</v>
      </c>
    </row>
    <row r="4" spans="1:10" x14ac:dyDescent="0.25">
      <c r="A4" s="11" t="s">
        <v>1616</v>
      </c>
      <c r="B4" s="5" t="s">
        <v>1623</v>
      </c>
      <c r="C4" s="82" t="s">
        <v>9225</v>
      </c>
      <c r="D4" t="str">
        <f>_xlfn.LET(_xlpm.x, _xlfn.XLOOKUP(B4,Sheet1!BF:BF,Sheet1!AF:AF,""), IF(_xlpm.x=0,"",_xlpm.x))</f>
        <v>昆明鼎承科技有限公司</v>
      </c>
      <c r="E4" s="11" t="str">
        <f>_xlfn.LET(_xlpm.x, _xlfn.XLOOKUP(B4,Sheet1!BF:BF,Sheet1!AD:AD,""), IF(_xlpm.x=0,"",_xlpm.x))</f>
        <v>昆明鼎承科技有限公司</v>
      </c>
      <c r="F4" s="82" t="s">
        <v>1620</v>
      </c>
      <c r="G4" t="s">
        <v>393</v>
      </c>
      <c r="H4" t="s">
        <v>9216</v>
      </c>
      <c r="I4" s="11" t="s">
        <v>9093</v>
      </c>
    </row>
    <row r="5" spans="1:10" x14ac:dyDescent="0.25">
      <c r="A5" s="11" t="s">
        <v>3582</v>
      </c>
      <c r="B5" s="5" t="s">
        <v>3589</v>
      </c>
      <c r="C5" s="82" t="s">
        <v>9225</v>
      </c>
      <c r="D5" t="str">
        <f>_xlfn.LET(_xlpm.x, _xlfn.XLOOKUP(B5,Sheet1!BF:BF,Sheet1!AF:AF,""), IF(_xlpm.x=0,"",_xlpm.x))</f>
        <v>昆明鼎承科技有限公司</v>
      </c>
      <c r="E5" s="11" t="str">
        <f>_xlfn.LET(_xlpm.x, _xlfn.XLOOKUP(B5,Sheet1!BF:BF,Sheet1!AD:AD,""), IF(_xlpm.x=0,"",_xlpm.x))</f>
        <v>财务部</v>
      </c>
      <c r="F5" s="82" t="s">
        <v>3586</v>
      </c>
      <c r="G5" t="s">
        <v>9113</v>
      </c>
      <c r="H5" t="s">
        <v>9208</v>
      </c>
      <c r="I5" s="11" t="s">
        <v>9094</v>
      </c>
    </row>
    <row r="6" spans="1:10" x14ac:dyDescent="0.25">
      <c r="A6" s="11" t="s">
        <v>3572</v>
      </c>
      <c r="B6" s="5" t="s">
        <v>3577</v>
      </c>
      <c r="C6" s="82" t="s">
        <v>9226</v>
      </c>
      <c r="D6" t="str">
        <f>_xlfn.LET(_xlpm.x, _xlfn.XLOOKUP(B6,Sheet1!BF:BF,Sheet1!AF:AF,""), IF(_xlpm.x=0,"",_xlpm.x))</f>
        <v>昆明鼎承科技有限公司</v>
      </c>
      <c r="E6" s="11" t="str">
        <f>_xlfn.LET(_xlpm.x, _xlfn.XLOOKUP(B6,Sheet1!BF:BF,Sheet1!AD:AD,""), IF(_xlpm.x=0,"",_xlpm.x))</f>
        <v>财务部</v>
      </c>
      <c r="F6" s="82" t="s">
        <v>3575</v>
      </c>
      <c r="G6" t="s">
        <v>9104</v>
      </c>
      <c r="H6" t="s">
        <v>9205</v>
      </c>
      <c r="I6" s="11" t="s">
        <v>9095</v>
      </c>
    </row>
    <row r="7" spans="1:10" x14ac:dyDescent="0.25">
      <c r="A7" s="11" t="s">
        <v>3544</v>
      </c>
      <c r="B7" s="5" t="s">
        <v>3548</v>
      </c>
      <c r="C7" s="82" t="s">
        <v>9225</v>
      </c>
      <c r="D7" t="str">
        <f>_xlfn.LET(_xlpm.x, _xlfn.XLOOKUP(B7,Sheet1!BF:BF,Sheet1!AF:AF,""), IF(_xlpm.x=0,"",_xlpm.x))</f>
        <v>昆明鼎承科技有限公司</v>
      </c>
      <c r="E7" s="11" t="str">
        <f>_xlfn.LET(_xlpm.x, _xlfn.XLOOKUP(B7,Sheet1!BF:BF,Sheet1!AD:AD,""), IF(_xlpm.x=0,"",_xlpm.x))</f>
        <v>采购部</v>
      </c>
      <c r="F7" s="82" t="s">
        <v>2672</v>
      </c>
      <c r="G7" t="s">
        <v>9102</v>
      </c>
      <c r="H7" t="s">
        <v>9217</v>
      </c>
      <c r="I7" s="11" t="s">
        <v>9096</v>
      </c>
    </row>
    <row r="8" spans="1:10" x14ac:dyDescent="0.25">
      <c r="A8" s="11" t="s">
        <v>3462</v>
      </c>
      <c r="B8" s="5" t="s">
        <v>3467</v>
      </c>
      <c r="C8" s="82" t="s">
        <v>9225</v>
      </c>
      <c r="D8" t="str">
        <f>_xlfn.LET(_xlpm.x, _xlfn.XLOOKUP(B8,Sheet1!BF:BF,Sheet1!AF:AF,""), IF(_xlpm.x=0,"",_xlpm.x))</f>
        <v>昆明鼎承科技有限公司</v>
      </c>
      <c r="E8" s="11" t="str">
        <f>_xlfn.LET(_xlpm.x, _xlfn.XLOOKUP(B8,Sheet1!BF:BF,Sheet1!AD:AD,""), IF(_xlpm.x=0,"",_xlpm.x))</f>
        <v>财务部</v>
      </c>
      <c r="F8" s="82" t="s">
        <v>2361</v>
      </c>
      <c r="G8" t="s">
        <v>9102</v>
      </c>
      <c r="H8" t="s">
        <v>9205</v>
      </c>
      <c r="I8" s="11" t="s">
        <v>9097</v>
      </c>
    </row>
    <row r="9" spans="1:10" x14ac:dyDescent="0.25">
      <c r="A9" s="11" t="s">
        <v>3015</v>
      </c>
      <c r="B9" s="5" t="s">
        <v>3021</v>
      </c>
      <c r="C9" s="82" t="s">
        <v>9225</v>
      </c>
      <c r="D9" t="str">
        <f>_xlfn.LET(_xlpm.x, _xlfn.XLOOKUP(B9,Sheet1!BF:BF,Sheet1!AF:AF,""), IF(_xlpm.x=0,"",_xlpm.x))</f>
        <v>昆明鼎承科技有限公司</v>
      </c>
      <c r="E9" s="11" t="str">
        <f>_xlfn.LET(_xlpm.x, _xlfn.XLOOKUP(B9,Sheet1!BF:BF,Sheet1!AD:AD,""), IF(_xlpm.x=0,"",_xlpm.x))</f>
        <v>财务部</v>
      </c>
      <c r="F9" s="82" t="s">
        <v>3018</v>
      </c>
      <c r="G9" t="s">
        <v>9104</v>
      </c>
      <c r="H9" t="s">
        <v>9205</v>
      </c>
      <c r="I9" s="11" t="s">
        <v>9095</v>
      </c>
    </row>
    <row r="10" spans="1:10" x14ac:dyDescent="0.25">
      <c r="A10" s="11" t="s">
        <v>1820</v>
      </c>
      <c r="B10" s="5" t="s">
        <v>1824</v>
      </c>
      <c r="C10" s="82" t="s">
        <v>9225</v>
      </c>
      <c r="D10" t="str">
        <f>_xlfn.LET(_xlpm.x, _xlfn.XLOOKUP(B10,Sheet1!BF:BF,Sheet1!AF:AF,""), IF(_xlpm.x=0,"",_xlpm.x))</f>
        <v>昆明鼎承科技有限公司</v>
      </c>
      <c r="E10" s="11" t="str">
        <f>_xlfn.LET(_xlpm.x, _xlfn.XLOOKUP(B10,Sheet1!BF:BF,Sheet1!AD:AD,""), IF(_xlpm.x=0,"",_xlpm.x))</f>
        <v>企业管理办公室</v>
      </c>
      <c r="F10" s="82" t="s">
        <v>1796</v>
      </c>
      <c r="G10" t="s">
        <v>905</v>
      </c>
      <c r="H10" t="s">
        <v>9209</v>
      </c>
      <c r="I10" s="11" t="s">
        <v>9099</v>
      </c>
    </row>
    <row r="11" spans="1:10" x14ac:dyDescent="0.25">
      <c r="A11" s="11" t="s">
        <v>3093</v>
      </c>
      <c r="B11" s="5" t="s">
        <v>3097</v>
      </c>
      <c r="C11" s="82" t="s">
        <v>9225</v>
      </c>
      <c r="D11" t="str">
        <f>_xlfn.LET(_xlpm.x, _xlfn.XLOOKUP(B11,Sheet1!BF:BF,Sheet1!AF:AF,""), IF(_xlpm.x=0,"",_xlpm.x))</f>
        <v>昆明鼎承科技有限公司</v>
      </c>
      <c r="E11" s="11" t="str">
        <f>_xlfn.LET(_xlpm.x, _xlfn.XLOOKUP(B11,Sheet1!BF:BF,Sheet1!AD:AD,""), IF(_xlpm.x=0,"",_xlpm.x))</f>
        <v>采购部</v>
      </c>
      <c r="F11" s="82" t="s">
        <v>3095</v>
      </c>
      <c r="G11" t="s">
        <v>9104</v>
      </c>
      <c r="H11" t="s">
        <v>9221</v>
      </c>
      <c r="I11" s="11" t="s">
        <v>9100</v>
      </c>
    </row>
    <row r="12" spans="1:10" x14ac:dyDescent="0.25">
      <c r="A12" s="11" t="s">
        <v>3595</v>
      </c>
      <c r="B12" s="5" t="s">
        <v>3601</v>
      </c>
      <c r="C12" s="82" t="s">
        <v>9227</v>
      </c>
      <c r="D12" t="str">
        <f>_xlfn.LET(_xlpm.x, _xlfn.XLOOKUP(B12,Sheet1!BF:BF,Sheet1!AF:AF,""), IF(_xlpm.x=0,"",_xlpm.x))</f>
        <v>昆明鼎承科技有限公司</v>
      </c>
      <c r="E12" s="11" t="str">
        <f>_xlfn.LET(_xlpm.x, _xlfn.XLOOKUP(B12,Sheet1!BF:BF,Sheet1!AD:AD,""), IF(_xlpm.x=0,"",_xlpm.x))</f>
        <v>保障部</v>
      </c>
      <c r="F12" s="82" t="s">
        <v>3599</v>
      </c>
      <c r="G12" t="s">
        <v>9113</v>
      </c>
      <c r="H12" t="s">
        <v>9208</v>
      </c>
      <c r="I12" s="11" t="s">
        <v>9094</v>
      </c>
    </row>
    <row r="13" spans="1:10" x14ac:dyDescent="0.25">
      <c r="A13" s="11" t="s">
        <v>3218</v>
      </c>
      <c r="B13" s="5" t="s">
        <v>3223</v>
      </c>
      <c r="C13" s="82" t="s">
        <v>9227</v>
      </c>
      <c r="D13" t="str">
        <f>_xlfn.LET(_xlpm.x, _xlfn.XLOOKUP(B13,Sheet1!BF:BF,Sheet1!AF:AF,""), IF(_xlpm.x=0,"",_xlpm.x))</f>
        <v>昆明三行智造科技有限公司</v>
      </c>
      <c r="E13" s="11" t="str">
        <f>_xlfn.LET(_xlpm.x, _xlfn.XLOOKUP(B13,Sheet1!BF:BF,Sheet1!AD:AD,""), IF(_xlpm.x=0,"",_xlpm.x))</f>
        <v>综合办</v>
      </c>
      <c r="F13" s="82" t="s">
        <v>3221</v>
      </c>
      <c r="G13" t="s">
        <v>2152</v>
      </c>
      <c r="H13" t="s">
        <v>9211</v>
      </c>
      <c r="I13" s="11" t="s">
        <v>9103</v>
      </c>
    </row>
    <row r="14" spans="1:10" x14ac:dyDescent="0.25">
      <c r="A14" s="11" t="s">
        <v>3245</v>
      </c>
      <c r="B14" s="5" t="s">
        <v>3249</v>
      </c>
      <c r="C14" s="82" t="s">
        <v>9228</v>
      </c>
      <c r="D14" t="str">
        <f>_xlfn.LET(_xlpm.x, _xlfn.XLOOKUP(B14,Sheet1!BF:BF,Sheet1!AF:AF,""), IF(_xlpm.x=0,"",_xlpm.x))</f>
        <v>昆明鼎承科技有限公司</v>
      </c>
      <c r="E14" s="11" t="str">
        <f>_xlfn.LET(_xlpm.x, _xlfn.XLOOKUP(B14,Sheet1!BF:BF,Sheet1!AD:AD,""), IF(_xlpm.x=0,"",_xlpm.x))</f>
        <v>保障部办公室</v>
      </c>
      <c r="F14" s="82" t="s">
        <v>1444</v>
      </c>
      <c r="G14" t="s">
        <v>9098</v>
      </c>
      <c r="H14" t="s">
        <v>9209</v>
      </c>
      <c r="I14" s="11" t="s">
        <v>9105</v>
      </c>
    </row>
    <row r="15" spans="1:10" x14ac:dyDescent="0.25">
      <c r="A15" s="11" t="s">
        <v>3491</v>
      </c>
      <c r="B15" s="5" t="s">
        <v>3496</v>
      </c>
      <c r="C15" s="82" t="s">
        <v>9227</v>
      </c>
      <c r="D15" t="str">
        <f>_xlfn.LET(_xlpm.x, _xlfn.XLOOKUP(B15,Sheet1!BF:BF,Sheet1!AF:AF,""), IF(_xlpm.x=0,"",_xlpm.x))</f>
        <v>昆明鼎承科技有限公司</v>
      </c>
      <c r="E15" s="11" t="str">
        <f>_xlfn.LET(_xlpm.x, _xlfn.XLOOKUP(B15,Sheet1!BF:BF,Sheet1!AD:AD,""), IF(_xlpm.x=0,"",_xlpm.x))</f>
        <v>海外营销部</v>
      </c>
      <c r="F15" s="82" t="s">
        <v>3494</v>
      </c>
      <c r="G15" t="s">
        <v>9106</v>
      </c>
      <c r="H15" t="s">
        <v>9208</v>
      </c>
      <c r="I15" s="11" t="s">
        <v>9107</v>
      </c>
    </row>
    <row r="16" spans="1:10" x14ac:dyDescent="0.25">
      <c r="A16" s="11" t="s">
        <v>3276</v>
      </c>
      <c r="B16" s="5" t="s">
        <v>3281</v>
      </c>
      <c r="C16" s="82" t="s">
        <v>9225</v>
      </c>
      <c r="D16" t="str">
        <f>_xlfn.LET(_xlpm.x, _xlfn.XLOOKUP(B16,Sheet1!BF:BF,Sheet1!AF:AF,""), IF(_xlpm.x=0,"",_xlpm.x))</f>
        <v>昆明鼎承科技有限公司</v>
      </c>
      <c r="E16" s="11" t="str">
        <f>_xlfn.LET(_xlpm.x, _xlfn.XLOOKUP(B16,Sheet1!BF:BF,Sheet1!AD:AD,""), IF(_xlpm.x=0,"",_xlpm.x))</f>
        <v>营销部</v>
      </c>
      <c r="F16" s="82" t="s">
        <v>997</v>
      </c>
      <c r="G16" t="s">
        <v>9098</v>
      </c>
      <c r="H16" t="s">
        <v>9212</v>
      </c>
      <c r="I16" s="11" t="s">
        <v>9109</v>
      </c>
    </row>
    <row r="17" spans="1:9" x14ac:dyDescent="0.25">
      <c r="A17" s="11" t="s">
        <v>3552</v>
      </c>
      <c r="B17" s="5" t="s">
        <v>3557</v>
      </c>
      <c r="C17" s="82" t="s">
        <v>9225</v>
      </c>
      <c r="D17" t="str">
        <f>_xlfn.LET(_xlpm.x, _xlfn.XLOOKUP(B17,Sheet1!BF:BF,Sheet1!AF:AF,""), IF(_xlpm.x=0,"",_xlpm.x))</f>
        <v>昆明鼎承科技有限公司</v>
      </c>
      <c r="E17" s="11" t="str">
        <f>_xlfn.LET(_xlpm.x, _xlfn.XLOOKUP(B17,Sheet1!BF:BF,Sheet1!AD:AD,""), IF(_xlpm.x=0,"",_xlpm.x))</f>
        <v>营销部</v>
      </c>
      <c r="F17" s="82" t="s">
        <v>997</v>
      </c>
      <c r="G17" t="s">
        <v>9102</v>
      </c>
      <c r="H17" t="s">
        <v>9212</v>
      </c>
      <c r="I17" s="11" t="s">
        <v>9111</v>
      </c>
    </row>
    <row r="18" spans="1:9" x14ac:dyDescent="0.25">
      <c r="A18" s="11" t="s">
        <v>1987</v>
      </c>
      <c r="B18" s="5" t="s">
        <v>1992</v>
      </c>
      <c r="C18" s="82" t="s">
        <v>9228</v>
      </c>
      <c r="D18" t="str">
        <f>_xlfn.LET(_xlpm.x, _xlfn.XLOOKUP(B18,Sheet1!BF:BF,Sheet1!AF:AF,""), IF(_xlpm.x=0,"",_xlpm.x))</f>
        <v>昆明鼎承科技有限公司</v>
      </c>
      <c r="E18" s="11" t="str">
        <f>_xlfn.LET(_xlpm.x, _xlfn.XLOOKUP(B18,Sheet1!BF:BF,Sheet1!AD:AD,""), IF(_xlpm.x=0,"",_xlpm.x))</f>
        <v>保障部办公室</v>
      </c>
      <c r="F18" s="82" t="s">
        <v>1444</v>
      </c>
      <c r="G18" t="s">
        <v>905</v>
      </c>
      <c r="H18" t="s">
        <v>9209</v>
      </c>
      <c r="I18" s="11" t="s">
        <v>9099</v>
      </c>
    </row>
    <row r="19" spans="1:9" x14ac:dyDescent="0.25">
      <c r="A19" s="11" t="s">
        <v>3025</v>
      </c>
      <c r="B19" s="5" t="s">
        <v>3028</v>
      </c>
      <c r="C19" s="82" t="s">
        <v>9225</v>
      </c>
      <c r="D19" t="str">
        <f>_xlfn.LET(_xlpm.x, _xlfn.XLOOKUP(B19,Sheet1!BF:BF,Sheet1!AF:AF,""), IF(_xlpm.x=0,"",_xlpm.x))</f>
        <v>昆明鼎承科技有限公司</v>
      </c>
      <c r="E19" s="11" t="str">
        <f>_xlfn.LET(_xlpm.x, _xlfn.XLOOKUP(B19,Sheet1!BF:BF,Sheet1!AD:AD,""), IF(_xlpm.x=0,"",_xlpm.x))</f>
        <v>信息技术部</v>
      </c>
      <c r="F19" s="82" t="s">
        <v>2720</v>
      </c>
      <c r="G19" t="s">
        <v>58</v>
      </c>
      <c r="H19" t="s">
        <v>9209</v>
      </c>
      <c r="I19" s="11" t="s">
        <v>9114</v>
      </c>
    </row>
    <row r="20" spans="1:9" x14ac:dyDescent="0.25">
      <c r="A20" s="11" t="s">
        <v>2936</v>
      </c>
      <c r="B20" s="5" t="s">
        <v>2941</v>
      </c>
      <c r="C20" s="82" t="s">
        <v>9229</v>
      </c>
      <c r="D20" t="str">
        <f>_xlfn.LET(_xlpm.x, _xlfn.XLOOKUP(B20,Sheet1!BF:BF,Sheet1!AF:AF,""), IF(_xlpm.x=0,"",_xlpm.x))</f>
        <v>昆明鼎承科技有限公司</v>
      </c>
      <c r="E20" s="11" t="str">
        <f>_xlfn.LET(_xlpm.x, _xlfn.XLOOKUP(B20,Sheet1!BF:BF,Sheet1!AD:AD,""), IF(_xlpm.x=0,"",_xlpm.x))</f>
        <v>机加车间</v>
      </c>
      <c r="F20" s="82" t="s">
        <v>2939</v>
      </c>
      <c r="G20" t="s">
        <v>9101</v>
      </c>
      <c r="H20" t="s">
        <v>9213</v>
      </c>
      <c r="I20" s="11" t="s">
        <v>9116</v>
      </c>
    </row>
    <row r="21" spans="1:9" x14ac:dyDescent="0.25">
      <c r="A21" s="11" t="s">
        <v>2871</v>
      </c>
      <c r="B21" s="5" t="s">
        <v>2878</v>
      </c>
      <c r="C21" s="82" t="s">
        <v>9225</v>
      </c>
      <c r="D21" t="str">
        <f>_xlfn.LET(_xlpm.x, _xlfn.XLOOKUP(B21,Sheet1!BF:BF,Sheet1!AF:AF,""), IF(_xlpm.x=0,"",_xlpm.x))</f>
        <v>昆明鼎承科技有限公司</v>
      </c>
      <c r="E21" s="11" t="str">
        <f>_xlfn.LET(_xlpm.x, _xlfn.XLOOKUP(B21,Sheet1!BF:BF,Sheet1!AD:AD,""), IF(_xlpm.x=0,"",_xlpm.x))</f>
        <v>质量保证部</v>
      </c>
      <c r="F21" s="82" t="s">
        <v>2875</v>
      </c>
      <c r="G21" t="s">
        <v>9101</v>
      </c>
      <c r="H21" t="s">
        <v>9211</v>
      </c>
      <c r="I21" s="11" t="s">
        <v>9118</v>
      </c>
    </row>
    <row r="22" spans="1:9" x14ac:dyDescent="0.25">
      <c r="A22" s="11" t="s">
        <v>2384</v>
      </c>
      <c r="B22" s="5" t="s">
        <v>2388</v>
      </c>
      <c r="C22" s="82" t="s">
        <v>9227</v>
      </c>
      <c r="D22" t="str">
        <f>_xlfn.LET(_xlpm.x, _xlfn.XLOOKUP(B22,Sheet1!BF:BF,Sheet1!AF:AF,""), IF(_xlpm.x=0,"",_xlpm.x))</f>
        <v>昆明鼎承科技有限公司</v>
      </c>
      <c r="E22" s="11" t="str">
        <f>_xlfn.LET(_xlpm.x, _xlfn.XLOOKUP(B22,Sheet1!BF:BF,Sheet1!AD:AD,""), IF(_xlpm.x=0,"",_xlpm.x))</f>
        <v>质量保证部</v>
      </c>
      <c r="F22" s="82" t="s">
        <v>1514</v>
      </c>
      <c r="G22" t="s">
        <v>9098</v>
      </c>
      <c r="H22" t="s">
        <v>9213</v>
      </c>
      <c r="I22" s="11" t="s">
        <v>9119</v>
      </c>
    </row>
    <row r="23" spans="1:9" x14ac:dyDescent="0.25">
      <c r="A23" s="11" t="s">
        <v>2375</v>
      </c>
      <c r="B23" s="5" t="s">
        <v>2379</v>
      </c>
      <c r="C23" s="82" t="s">
        <v>9227</v>
      </c>
      <c r="D23" t="str">
        <f>_xlfn.LET(_xlpm.x, _xlfn.XLOOKUP(B23,Sheet1!BF:BF,Sheet1!AF:AF,""), IF(_xlpm.x=0,"",_xlpm.x))</f>
        <v>昆明鼎承科技有限公司</v>
      </c>
      <c r="E23" s="11" t="str">
        <f>_xlfn.LET(_xlpm.x, _xlfn.XLOOKUP(B23,Sheet1!BF:BF,Sheet1!AD:AD,""), IF(_xlpm.x=0,"",_xlpm.x))</f>
        <v>质量保证部</v>
      </c>
      <c r="F23" s="82" t="s">
        <v>1514</v>
      </c>
      <c r="G23" t="s">
        <v>9098</v>
      </c>
      <c r="H23" t="s">
        <v>9213</v>
      </c>
      <c r="I23" s="11" t="s">
        <v>9119</v>
      </c>
    </row>
    <row r="24" spans="1:9" x14ac:dyDescent="0.25">
      <c r="A24" s="11" t="s">
        <v>2447</v>
      </c>
      <c r="B24" s="5" t="s">
        <v>2452</v>
      </c>
      <c r="C24" s="82" t="s">
        <v>9225</v>
      </c>
      <c r="D24" t="str">
        <f>_xlfn.LET(_xlpm.x, _xlfn.XLOOKUP(B24,Sheet1!BF:BF,Sheet1!AF:AF,""), IF(_xlpm.x=0,"",_xlpm.x))</f>
        <v>昆明鼎承科技有限公司</v>
      </c>
      <c r="E24" s="11" t="str">
        <f>_xlfn.LET(_xlpm.x, _xlfn.XLOOKUP(B24,Sheet1!BF:BF,Sheet1!AD:AD,""), IF(_xlpm.x=0,"",_xlpm.x))</f>
        <v>企业管理办公室</v>
      </c>
      <c r="F24" s="82" t="s">
        <v>2450</v>
      </c>
      <c r="G24" t="s">
        <v>2152</v>
      </c>
      <c r="H24" t="s">
        <v>9211</v>
      </c>
      <c r="I24" s="11" t="s">
        <v>9103</v>
      </c>
    </row>
    <row r="25" spans="1:9" x14ac:dyDescent="0.25">
      <c r="A25" s="11" t="s">
        <v>3523</v>
      </c>
      <c r="B25" s="5" t="s">
        <v>3529</v>
      </c>
      <c r="C25" s="82" t="s">
        <v>9227</v>
      </c>
      <c r="D25" t="str">
        <f>_xlfn.LET(_xlpm.x, _xlfn.XLOOKUP(B25,Sheet1!BF:BF,Sheet1!AF:AF,""), IF(_xlpm.x=0,"",_xlpm.x))</f>
        <v>昆明鼎承科技有限公司</v>
      </c>
      <c r="E25" s="11" t="str">
        <f>_xlfn.LET(_xlpm.x, _xlfn.XLOOKUP(B25,Sheet1!BF:BF,Sheet1!AD:AD,""), IF(_xlpm.x=0,"",_xlpm.x))</f>
        <v>运营部</v>
      </c>
      <c r="F25" s="82" t="s">
        <v>3527</v>
      </c>
      <c r="G25" t="s">
        <v>9110</v>
      </c>
      <c r="H25" t="s">
        <v>9208</v>
      </c>
      <c r="I25" s="11" t="s">
        <v>9120</v>
      </c>
    </row>
    <row r="26" spans="1:9" x14ac:dyDescent="0.25">
      <c r="A26" s="11" t="s">
        <v>3503</v>
      </c>
      <c r="B26" s="5" t="s">
        <v>3509</v>
      </c>
      <c r="C26" s="82" t="s">
        <v>9226</v>
      </c>
      <c r="D26" t="str">
        <f>_xlfn.LET(_xlpm.x, _xlfn.XLOOKUP(B26,Sheet1!BF:BF,Sheet1!AF:AF,""), IF(_xlpm.x=0,"",_xlpm.x))</f>
        <v>昆明鑫晟源科技有限公司</v>
      </c>
      <c r="E26" s="11" t="str">
        <f>_xlfn.LET(_xlpm.x, _xlfn.XLOOKUP(B26,Sheet1!BF:BF,Sheet1!AD:AD,""), IF(_xlpm.x=0,"",_xlpm.x))</f>
        <v>生产技术部</v>
      </c>
      <c r="F26" s="82" t="s">
        <v>3507</v>
      </c>
      <c r="G26" t="s">
        <v>9106</v>
      </c>
      <c r="H26" t="s">
        <v>9210</v>
      </c>
      <c r="I26" s="11" t="s">
        <v>9121</v>
      </c>
    </row>
    <row r="27" spans="1:9" x14ac:dyDescent="0.25">
      <c r="A27" s="11" t="s">
        <v>3482</v>
      </c>
      <c r="B27" s="5" t="s">
        <v>3485</v>
      </c>
      <c r="C27" s="82" t="s">
        <v>9227</v>
      </c>
      <c r="D27" t="str">
        <f>_xlfn.LET(_xlpm.x, _xlfn.XLOOKUP(B27,Sheet1!BF:BF,Sheet1!AF:AF,""), IF(_xlpm.x=0,"",_xlpm.x))</f>
        <v>昆明鼎承科技有限公司</v>
      </c>
      <c r="E27" s="11" t="str">
        <f>_xlfn.LET(_xlpm.x, _xlfn.XLOOKUP(B27,Sheet1!BF:BF,Sheet1!AD:AD,""), IF(_xlpm.x=0,"",_xlpm.x))</f>
        <v>运营部</v>
      </c>
      <c r="F27" s="82" t="s">
        <v>419</v>
      </c>
      <c r="G27" t="s">
        <v>9101</v>
      </c>
      <c r="H27" t="s">
        <v>9210</v>
      </c>
      <c r="I27" s="11" t="s">
        <v>9122</v>
      </c>
    </row>
    <row r="28" spans="1:9" x14ac:dyDescent="0.25">
      <c r="A28" s="11" t="s">
        <v>3176</v>
      </c>
      <c r="B28" s="5" t="s">
        <v>3181</v>
      </c>
      <c r="C28" s="82" t="s">
        <v>9230</v>
      </c>
      <c r="D28" t="str">
        <f>_xlfn.LET(_xlpm.x, _xlfn.XLOOKUP(B28,Sheet1!BF:BF,Sheet1!AF:AF,""), IF(_xlpm.x=0,"",_xlpm.x))</f>
        <v>昆明鼎承科技有限公司</v>
      </c>
      <c r="E28" s="11" t="str">
        <f>_xlfn.LET(_xlpm.x, _xlfn.XLOOKUP(B28,Sheet1!BF:BF,Sheet1!AD:AD,""), IF(_xlpm.x=0,"",_xlpm.x))</f>
        <v>产品研发三部</v>
      </c>
      <c r="F28" s="82" t="s">
        <v>1526</v>
      </c>
      <c r="G28" t="s">
        <v>9098</v>
      </c>
      <c r="H28" t="s">
        <v>9210</v>
      </c>
      <c r="I28" s="11" t="s">
        <v>9123</v>
      </c>
    </row>
    <row r="29" spans="1:9" x14ac:dyDescent="0.25">
      <c r="A29" s="11" t="s">
        <v>3335</v>
      </c>
      <c r="B29" s="5" t="s">
        <v>3340</v>
      </c>
      <c r="C29" s="82" t="s">
        <v>9225</v>
      </c>
      <c r="D29" t="str">
        <f>_xlfn.LET(_xlpm.x, _xlfn.XLOOKUP(B29,Sheet1!BF:BF,Sheet1!AF:AF,""), IF(_xlpm.x=0,"",_xlpm.x))</f>
        <v>昆明鼎承科技有限公司</v>
      </c>
      <c r="E29" s="11" t="str">
        <f>_xlfn.LET(_xlpm.x, _xlfn.XLOOKUP(B29,Sheet1!BF:BF,Sheet1!AD:AD,""), IF(_xlpm.x=0,"",_xlpm.x))</f>
        <v>产品研发二部</v>
      </c>
      <c r="F29" s="82" t="s">
        <v>3338</v>
      </c>
      <c r="G29" t="s">
        <v>9112</v>
      </c>
      <c r="H29" t="s">
        <v>9208</v>
      </c>
      <c r="I29" s="11" t="s">
        <v>9124</v>
      </c>
    </row>
    <row r="30" spans="1:9" x14ac:dyDescent="0.25">
      <c r="A30" s="11" t="s">
        <v>3035</v>
      </c>
      <c r="B30" s="5" t="s">
        <v>3041</v>
      </c>
      <c r="C30" s="82" t="s">
        <v>9225</v>
      </c>
      <c r="D30" t="str">
        <f>_xlfn.LET(_xlpm.x, _xlfn.XLOOKUP(B30,Sheet1!BF:BF,Sheet1!AF:AF,""), IF(_xlpm.x=0,"",_xlpm.x))</f>
        <v>昆明鼎承科技有限公司</v>
      </c>
      <c r="E30" s="11" t="str">
        <f>_xlfn.LET(_xlpm.x, _xlfn.XLOOKUP(B30,Sheet1!BF:BF,Sheet1!AD:AD,""), IF(_xlpm.x=0,"",_xlpm.x))</f>
        <v>营销部</v>
      </c>
      <c r="F30" s="82" t="s">
        <v>3038</v>
      </c>
      <c r="G30" t="s">
        <v>9104</v>
      </c>
      <c r="H30" t="s">
        <v>9208</v>
      </c>
      <c r="I30" s="11" t="s">
        <v>9125</v>
      </c>
    </row>
    <row r="31" spans="1:9" x14ac:dyDescent="0.25">
      <c r="A31" s="11" t="s">
        <v>3005</v>
      </c>
      <c r="B31" s="5" t="s">
        <v>3009</v>
      </c>
      <c r="C31" s="82" t="s">
        <v>9227</v>
      </c>
      <c r="D31" t="str">
        <f>_xlfn.LET(_xlpm.x, _xlfn.XLOOKUP(B31,Sheet1!BF:BF,Sheet1!AF:AF,""), IF(_xlpm.x=0,"",_xlpm.x))</f>
        <v>昆明三行智造科技有限公司</v>
      </c>
      <c r="E31" s="11" t="str">
        <f>_xlfn.LET(_xlpm.x, _xlfn.XLOOKUP(B31,Sheet1!BF:BF,Sheet1!AD:AD,""), IF(_xlpm.x=0,"",_xlpm.x))</f>
        <v>产品技术部</v>
      </c>
      <c r="F31" s="82" t="s">
        <v>1796</v>
      </c>
      <c r="G31" t="s">
        <v>2152</v>
      </c>
      <c r="H31" t="s">
        <v>9214</v>
      </c>
      <c r="I31" s="11" t="s">
        <v>9126</v>
      </c>
    </row>
    <row r="32" spans="1:9" x14ac:dyDescent="0.25">
      <c r="A32" s="11" t="s">
        <v>1109</v>
      </c>
      <c r="B32" s="5" t="s">
        <v>1116</v>
      </c>
      <c r="C32" s="82" t="s">
        <v>9228</v>
      </c>
      <c r="D32" t="str">
        <f>_xlfn.LET(_xlpm.x, _xlfn.XLOOKUP(B32,Sheet1!BF:BF,Sheet1!AF:AF,""), IF(_xlpm.x=0,"",_xlpm.x))</f>
        <v>昆明三行智造科技有限公司</v>
      </c>
      <c r="E32" s="11" t="str">
        <f>_xlfn.LET(_xlpm.x, _xlfn.XLOOKUP(B32,Sheet1!BF:BF,Sheet1!AD:AD,""), IF(_xlpm.x=0,"",_xlpm.x))</f>
        <v>研发部</v>
      </c>
      <c r="F32" s="82" t="s">
        <v>1113</v>
      </c>
      <c r="G32" t="s">
        <v>2152</v>
      </c>
      <c r="H32" t="s">
        <v>9214</v>
      </c>
      <c r="I32" s="11" t="s">
        <v>9126</v>
      </c>
    </row>
    <row r="33" spans="1:9" x14ac:dyDescent="0.25">
      <c r="A33" s="11" t="s">
        <v>2953</v>
      </c>
      <c r="B33" s="5" t="s">
        <v>2957</v>
      </c>
      <c r="C33" s="82" t="s">
        <v>9225</v>
      </c>
      <c r="D33" t="str">
        <f>_xlfn.LET(_xlpm.x, _xlfn.XLOOKUP(B33,Sheet1!BF:BF,Sheet1!AF:AF,""), IF(_xlpm.x=0,"",_xlpm.x))</f>
        <v>昆明鼎承科技有限公司</v>
      </c>
      <c r="E33" s="11" t="str">
        <f>_xlfn.LET(_xlpm.x, _xlfn.XLOOKUP(B33,Sheet1!BF:BF,Sheet1!AD:AD,""), IF(_xlpm.x=0,"",_xlpm.x))</f>
        <v>产品研发二部</v>
      </c>
      <c r="F33" s="82" t="s">
        <v>240</v>
      </c>
      <c r="G33" t="s">
        <v>9101</v>
      </c>
      <c r="H33" t="s">
        <v>9206</v>
      </c>
      <c r="I33" s="11" t="s">
        <v>9127</v>
      </c>
    </row>
    <row r="34" spans="1:9" x14ac:dyDescent="0.25">
      <c r="A34" s="11" t="s">
        <v>1036</v>
      </c>
      <c r="B34" s="5" t="s">
        <v>1043</v>
      </c>
      <c r="C34" s="82" t="s">
        <v>9226</v>
      </c>
      <c r="D34" t="str">
        <f>_xlfn.LET(_xlpm.x, _xlfn.XLOOKUP(B34,Sheet1!BF:BF,Sheet1!AF:AF,""), IF(_xlpm.x=0,"",_xlpm.x))</f>
        <v>昆明三行智造科技有限公司</v>
      </c>
      <c r="E34" s="11" t="str">
        <f>_xlfn.LET(_xlpm.x, _xlfn.XLOOKUP(B34,Sheet1!BF:BF,Sheet1!AD:AD,""), IF(_xlpm.x=0,"",_xlpm.x))</f>
        <v>研发部</v>
      </c>
      <c r="F34" s="82" t="s">
        <v>506</v>
      </c>
      <c r="G34" t="s">
        <v>58</v>
      </c>
      <c r="H34" t="s">
        <v>9206</v>
      </c>
      <c r="I34" s="11" t="s">
        <v>9128</v>
      </c>
    </row>
    <row r="35" spans="1:9" x14ac:dyDescent="0.25">
      <c r="A35" s="11" t="s">
        <v>2645</v>
      </c>
      <c r="B35" s="5" t="s">
        <v>2651</v>
      </c>
      <c r="C35" s="82" t="s">
        <v>9226</v>
      </c>
      <c r="D35" t="str">
        <f>_xlfn.LET(_xlpm.x, _xlfn.XLOOKUP(B35,Sheet1!BF:BF,Sheet1!AF:AF,""), IF(_xlpm.x=0,"",_xlpm.x))</f>
        <v>昆明三行智造科技有限公司</v>
      </c>
      <c r="E35" s="11" t="str">
        <f>_xlfn.LET(_xlpm.x, _xlfn.XLOOKUP(B35,Sheet1!BF:BF,Sheet1!AD:AD,""), IF(_xlpm.x=0,"",_xlpm.x))</f>
        <v>昆明三行智造科技有限公司</v>
      </c>
      <c r="F35" s="82" t="s">
        <v>2649</v>
      </c>
      <c r="G35" t="s">
        <v>9117</v>
      </c>
      <c r="H35" t="s">
        <v>9208</v>
      </c>
      <c r="I35" s="11" t="s">
        <v>9129</v>
      </c>
    </row>
    <row r="36" spans="1:9" x14ac:dyDescent="0.25">
      <c r="A36" s="11" t="s">
        <v>614</v>
      </c>
      <c r="B36" s="5" t="s">
        <v>618</v>
      </c>
      <c r="C36" s="82" t="s">
        <v>9231</v>
      </c>
      <c r="D36" t="str">
        <f>_xlfn.LET(_xlpm.x, _xlfn.XLOOKUP(B36,Sheet1!BF:BF,Sheet1!AF:AF,""), IF(_xlpm.x=0,"",_xlpm.x))</f>
        <v>昆明鑫晟源科技有限公司</v>
      </c>
      <c r="E36" s="11" t="str">
        <f>_xlfn.LET(_xlpm.x, _xlfn.XLOOKUP(B36,Sheet1!BF:BF,Sheet1!AD:AD,""), IF(_xlpm.x=0,"",_xlpm.x))</f>
        <v>安调五组</v>
      </c>
      <c r="F36" s="82" t="s">
        <v>616</v>
      </c>
      <c r="G36" t="s">
        <v>63</v>
      </c>
      <c r="H36" t="s">
        <v>9207</v>
      </c>
      <c r="I36" s="11" t="s">
        <v>9131</v>
      </c>
    </row>
    <row r="37" spans="1:9" x14ac:dyDescent="0.25">
      <c r="A37" s="11" t="s">
        <v>607</v>
      </c>
      <c r="B37" s="5" t="s">
        <v>611</v>
      </c>
      <c r="C37" s="82" t="s">
        <v>9232</v>
      </c>
      <c r="D37" t="str">
        <f>_xlfn.LET(_xlpm.x, _xlfn.XLOOKUP(B37,Sheet1!BF:BF,Sheet1!AF:AF,""), IF(_xlpm.x=0,"",_xlpm.x))</f>
        <v>昆明三行智造科技有限公司</v>
      </c>
      <c r="E37" s="11" t="str">
        <f>_xlfn.LET(_xlpm.x, _xlfn.XLOOKUP(B37,Sheet1!BF:BF,Sheet1!AD:AD,""), IF(_xlpm.x=0,"",_xlpm.x))</f>
        <v>交付业务部</v>
      </c>
      <c r="F37" s="82" t="s">
        <v>565</v>
      </c>
      <c r="G37" t="s">
        <v>257</v>
      </c>
      <c r="H37" t="s">
        <v>9207</v>
      </c>
      <c r="I37" s="11" t="s">
        <v>9132</v>
      </c>
    </row>
    <row r="38" spans="1:9" x14ac:dyDescent="0.25">
      <c r="A38" s="11" t="s">
        <v>600</v>
      </c>
      <c r="B38" s="5" t="s">
        <v>604</v>
      </c>
      <c r="C38" s="82" t="s">
        <v>9232</v>
      </c>
      <c r="D38" t="str">
        <f>_xlfn.LET(_xlpm.x, _xlfn.XLOOKUP(B38,Sheet1!BF:BF,Sheet1!AF:AF,""), IF(_xlpm.x=0,"",_xlpm.x))</f>
        <v>昆明三行智造科技有限公司</v>
      </c>
      <c r="E38" s="11" t="str">
        <f>_xlfn.LET(_xlpm.x, _xlfn.XLOOKUP(B38,Sheet1!BF:BF,Sheet1!AD:AD,""), IF(_xlpm.x=0,"",_xlpm.x))</f>
        <v>交付业务部</v>
      </c>
      <c r="F38" s="82" t="s">
        <v>565</v>
      </c>
      <c r="G38" t="s">
        <v>257</v>
      </c>
      <c r="H38" t="s">
        <v>9207</v>
      </c>
      <c r="I38" s="11" t="s">
        <v>9132</v>
      </c>
    </row>
    <row r="39" spans="1:9" x14ac:dyDescent="0.25">
      <c r="A39" s="11" t="s">
        <v>835</v>
      </c>
      <c r="B39" s="5" t="s">
        <v>846</v>
      </c>
      <c r="C39" s="82" t="s">
        <v>9230</v>
      </c>
      <c r="D39" t="str">
        <f>_xlfn.LET(_xlpm.x, _xlfn.XLOOKUP(B39,Sheet1!BF:BF,Sheet1!AF:AF,""), IF(_xlpm.x=0,"",_xlpm.x))</f>
        <v>昆明鼎承科技有限公司</v>
      </c>
      <c r="E39" s="11" t="str">
        <f>_xlfn.LET(_xlpm.x, _xlfn.XLOOKUP(B39,Sheet1!BF:BF,Sheet1!AD:AD,""), IF(_xlpm.x=0,"",_xlpm.x))</f>
        <v>工业智能化研发部</v>
      </c>
      <c r="F39" s="82" t="s">
        <v>841</v>
      </c>
      <c r="G39" t="s">
        <v>905</v>
      </c>
      <c r="H39" t="s">
        <v>9210</v>
      </c>
      <c r="I39" s="11" t="s">
        <v>9133</v>
      </c>
    </row>
    <row r="40" spans="1:9" x14ac:dyDescent="0.25">
      <c r="A40" s="11" t="s">
        <v>817</v>
      </c>
      <c r="B40" s="5" t="s">
        <v>825</v>
      </c>
      <c r="C40" s="82" t="s">
        <v>9226</v>
      </c>
      <c r="D40" t="str">
        <f>_xlfn.LET(_xlpm.x, _xlfn.XLOOKUP(B40,Sheet1!BF:BF,Sheet1!AF:AF,""), IF(_xlpm.x=0,"",_xlpm.x))</f>
        <v>昆明三行智造科技有限公司</v>
      </c>
      <c r="E40" s="11" t="str">
        <f>_xlfn.LET(_xlpm.x, _xlfn.XLOOKUP(B40,Sheet1!BF:BF,Sheet1!AD:AD,""), IF(_xlpm.x=0,"",_xlpm.x))</f>
        <v>研发部</v>
      </c>
      <c r="F40" s="82" t="s">
        <v>506</v>
      </c>
      <c r="G40" t="s">
        <v>905</v>
      </c>
      <c r="H40" t="s">
        <v>9206</v>
      </c>
      <c r="I40" s="11" t="s">
        <v>9134</v>
      </c>
    </row>
    <row r="41" spans="1:9" x14ac:dyDescent="0.25">
      <c r="A41" s="11" t="s">
        <v>2945</v>
      </c>
      <c r="B41" s="5" t="s">
        <v>2950</v>
      </c>
      <c r="C41" s="82" t="s">
        <v>9227</v>
      </c>
      <c r="D41" t="str">
        <f>_xlfn.LET(_xlpm.x, _xlfn.XLOOKUP(B41,Sheet1!BF:BF,Sheet1!AF:AF,""), IF(_xlpm.x=0,"",_xlpm.x))</f>
        <v>昆明鑫晟源科技有限公司</v>
      </c>
      <c r="E41" s="11" t="str">
        <f>_xlfn.LET(_xlpm.x, _xlfn.XLOOKUP(B41,Sheet1!BF:BF,Sheet1!AD:AD,""), IF(_xlpm.x=0,"",_xlpm.x))</f>
        <v>工艺技术部</v>
      </c>
      <c r="F41" s="82" t="s">
        <v>2948</v>
      </c>
      <c r="G41" t="s">
        <v>9098</v>
      </c>
      <c r="H41" t="s">
        <v>9211</v>
      </c>
      <c r="I41" s="11" t="s">
        <v>9135</v>
      </c>
    </row>
    <row r="42" spans="1:9" x14ac:dyDescent="0.25">
      <c r="A42" s="11" t="s">
        <v>793</v>
      </c>
      <c r="B42" s="5" t="s">
        <v>800</v>
      </c>
      <c r="C42" s="82" t="s">
        <v>9233</v>
      </c>
      <c r="D42" t="str">
        <f>_xlfn.LET(_xlpm.x, _xlfn.XLOOKUP(B42,Sheet1!BF:BF,Sheet1!AF:AF,""), IF(_xlpm.x=0,"",_xlpm.x))</f>
        <v>昆明鼎承科技有限公司</v>
      </c>
      <c r="E42" s="11" t="str">
        <f>_xlfn.LET(_xlpm.x, _xlfn.XLOOKUP(B42,Sheet1!BF:BF,Sheet1!AD:AD,""), IF(_xlpm.x=0,"",_xlpm.x))</f>
        <v>产品研发二部</v>
      </c>
      <c r="F42" s="82" t="s">
        <v>506</v>
      </c>
      <c r="G42" t="s">
        <v>58</v>
      </c>
      <c r="H42" t="s">
        <v>9206</v>
      </c>
      <c r="I42" s="11" t="s">
        <v>9128</v>
      </c>
    </row>
    <row r="43" spans="1:9" x14ac:dyDescent="0.25">
      <c r="A43" s="11" t="s">
        <v>2816</v>
      </c>
      <c r="B43" s="5" t="s">
        <v>2822</v>
      </c>
      <c r="C43" s="82" t="s">
        <v>9227</v>
      </c>
      <c r="D43" t="str">
        <f>_xlfn.LET(_xlpm.x, _xlfn.XLOOKUP(B43,Sheet1!BF:BF,Sheet1!AF:AF,""), IF(_xlpm.x=0,"",_xlpm.x))</f>
        <v>昆明鼎承科技有限公司</v>
      </c>
      <c r="E43" s="11" t="str">
        <f>_xlfn.LET(_xlpm.x, _xlfn.XLOOKUP(B43,Sheet1!BF:BF,Sheet1!AD:AD,""), IF(_xlpm.x=0,"",_xlpm.x))</f>
        <v>运营部</v>
      </c>
      <c r="F43" s="82" t="s">
        <v>2819</v>
      </c>
      <c r="G43" t="s">
        <v>905</v>
      </c>
      <c r="H43" t="s">
        <v>9210</v>
      </c>
      <c r="I43" s="11" t="s">
        <v>9133</v>
      </c>
    </row>
    <row r="44" spans="1:9" x14ac:dyDescent="0.25">
      <c r="A44" s="11" t="s">
        <v>562</v>
      </c>
      <c r="B44" s="5" t="s">
        <v>568</v>
      </c>
      <c r="C44" s="82" t="s">
        <v>9232</v>
      </c>
      <c r="D44" t="str">
        <f>_xlfn.LET(_xlpm.x, _xlfn.XLOOKUP(B44,Sheet1!BF:BF,Sheet1!AF:AF,""), IF(_xlpm.x=0,"",_xlpm.x))</f>
        <v>昆明三行智造科技有限公司</v>
      </c>
      <c r="E44" s="11" t="str">
        <f>_xlfn.LET(_xlpm.x, _xlfn.XLOOKUP(B44,Sheet1!BF:BF,Sheet1!AD:AD,""), IF(_xlpm.x=0,"",_xlpm.x))</f>
        <v>交付业务部</v>
      </c>
      <c r="F44" s="82" t="s">
        <v>565</v>
      </c>
      <c r="G44" t="s">
        <v>257</v>
      </c>
      <c r="H44" t="s">
        <v>9207</v>
      </c>
      <c r="I44" s="11" t="s">
        <v>9132</v>
      </c>
    </row>
    <row r="45" spans="1:9" x14ac:dyDescent="0.25">
      <c r="A45" s="11" t="s">
        <v>548</v>
      </c>
      <c r="B45" s="5" t="s">
        <v>557</v>
      </c>
      <c r="C45" s="82" t="s">
        <v>9231</v>
      </c>
      <c r="D45" t="str">
        <f>_xlfn.LET(_xlpm.x, _xlfn.XLOOKUP(B45,Sheet1!BF:BF,Sheet1!AF:AF,""), IF(_xlpm.x=0,"",_xlpm.x))</f>
        <v>昆明鑫晟源科技有限公司</v>
      </c>
      <c r="E45" s="11" t="str">
        <f>_xlfn.LET(_xlpm.x, _xlfn.XLOOKUP(B45,Sheet1!BF:BF,Sheet1!AD:AD,""), IF(_xlpm.x=0,"",_xlpm.x))</f>
        <v>安调五组</v>
      </c>
      <c r="F45" s="82" t="s">
        <v>551</v>
      </c>
      <c r="G45" t="s">
        <v>257</v>
      </c>
      <c r="H45" t="s">
        <v>9207</v>
      </c>
      <c r="I45" s="11" t="s">
        <v>9132</v>
      </c>
    </row>
    <row r="46" spans="1:9" x14ac:dyDescent="0.25">
      <c r="A46" s="11" t="s">
        <v>738</v>
      </c>
      <c r="B46" s="5" t="s">
        <v>750</v>
      </c>
      <c r="C46" s="82" t="s">
        <v>9227</v>
      </c>
      <c r="D46" t="str">
        <f>_xlfn.LET(_xlpm.x, _xlfn.XLOOKUP(B46,Sheet1!BF:BF,Sheet1!AF:AF,""), IF(_xlpm.x=0,"",_xlpm.x))</f>
        <v>昆明鼎承科技有限公司</v>
      </c>
      <c r="E46" s="11" t="str">
        <f>_xlfn.LET(_xlpm.x, _xlfn.XLOOKUP(B46,Sheet1!BF:BF,Sheet1!AD:AD,""), IF(_xlpm.x=0,"",_xlpm.x))</f>
        <v>产品研发三部</v>
      </c>
      <c r="F46" s="82" t="s">
        <v>240</v>
      </c>
      <c r="G46" t="s">
        <v>58</v>
      </c>
      <c r="H46" t="s">
        <v>9206</v>
      </c>
      <c r="I46" s="11" t="s">
        <v>9128</v>
      </c>
    </row>
    <row r="47" spans="1:9" x14ac:dyDescent="0.25">
      <c r="A47" s="11" t="s">
        <v>705</v>
      </c>
      <c r="B47" s="5" t="s">
        <v>712</v>
      </c>
      <c r="C47" s="82" t="s">
        <v>9227</v>
      </c>
      <c r="D47" t="str">
        <f>_xlfn.LET(_xlpm.x, _xlfn.XLOOKUP(B47,Sheet1!BF:BF,Sheet1!AF:AF,""), IF(_xlpm.x=0,"",_xlpm.x))</f>
        <v>昆明鼎承科技有限公司</v>
      </c>
      <c r="E47" s="11" t="str">
        <f>_xlfn.LET(_xlpm.x, _xlfn.XLOOKUP(B47,Sheet1!BF:BF,Sheet1!AD:AD,""), IF(_xlpm.x=0,"",_xlpm.x))</f>
        <v>食堂组</v>
      </c>
      <c r="F47" s="82" t="s">
        <v>708</v>
      </c>
      <c r="G47" t="s">
        <v>63</v>
      </c>
      <c r="H47" t="s">
        <v>9221</v>
      </c>
      <c r="I47" s="11" t="s">
        <v>9136</v>
      </c>
    </row>
    <row r="48" spans="1:9" x14ac:dyDescent="0.25">
      <c r="A48" s="11" t="s">
        <v>688</v>
      </c>
      <c r="B48" s="5" t="s">
        <v>699</v>
      </c>
      <c r="C48" s="82" t="s">
        <v>9234</v>
      </c>
      <c r="D48" t="str">
        <f>_xlfn.LET(_xlpm.x, _xlfn.XLOOKUP(B48,Sheet1!BF:BF,Sheet1!AF:AF,""), IF(_xlpm.x=0,"",_xlpm.x))</f>
        <v>昆明鼎承科技有限公司</v>
      </c>
      <c r="E48" s="11" t="str">
        <f>_xlfn.LET(_xlpm.x, _xlfn.XLOOKUP(B48,Sheet1!BF:BF,Sheet1!AD:AD,""), IF(_xlpm.x=0,"",_xlpm.x))</f>
        <v>产品研发三部</v>
      </c>
      <c r="F48" s="82" t="s">
        <v>240</v>
      </c>
      <c r="G48" t="s">
        <v>905</v>
      </c>
      <c r="H48" t="s">
        <v>9206</v>
      </c>
      <c r="I48" s="11" t="s">
        <v>9134</v>
      </c>
    </row>
    <row r="49" spans="1:9" x14ac:dyDescent="0.25">
      <c r="A49" s="11" t="s">
        <v>664</v>
      </c>
      <c r="B49" s="5" t="s">
        <v>679</v>
      </c>
      <c r="C49" s="82" t="s">
        <v>9235</v>
      </c>
      <c r="D49" t="str">
        <f>_xlfn.LET(_xlpm.x, _xlfn.XLOOKUP(B49,Sheet1!BF:BF,Sheet1!AF:AF,""), IF(_xlpm.x=0,"",_xlpm.x))</f>
        <v>昆明鼎承科技有限公司</v>
      </c>
      <c r="E49" s="11" t="str">
        <f>_xlfn.LET(_xlpm.x, _xlfn.XLOOKUP(B49,Sheet1!BF:BF,Sheet1!AD:AD,""), IF(_xlpm.x=0,"",_xlpm.x))</f>
        <v>海外营销部</v>
      </c>
      <c r="F49" s="82" t="s">
        <v>671</v>
      </c>
      <c r="G49" t="s">
        <v>2152</v>
      </c>
      <c r="H49" t="s">
        <v>9211</v>
      </c>
      <c r="I49" s="11" t="s">
        <v>9103</v>
      </c>
    </row>
    <row r="50" spans="1:9" x14ac:dyDescent="0.25">
      <c r="A50" s="11" t="s">
        <v>9243</v>
      </c>
      <c r="B50" s="5" t="s">
        <v>639</v>
      </c>
      <c r="C50" s="82" t="s">
        <v>9228</v>
      </c>
      <c r="D50" t="str">
        <f>_xlfn.LET(_xlpm.x, _xlfn.XLOOKUP(B50,Sheet1!BF:BF,Sheet1!AF:AF,""), IF(_xlpm.x=0,"",_xlpm.x))</f>
        <v>昆明三行智造科技有限公司</v>
      </c>
      <c r="E50" s="11" t="str">
        <f>_xlfn.LET(_xlpm.x, _xlfn.XLOOKUP(B50,Sheet1!BF:BF,Sheet1!AD:AD,""), IF(_xlpm.x=0,"",_xlpm.x))</f>
        <v>产品技术部</v>
      </c>
      <c r="F50" s="82" t="s">
        <v>634</v>
      </c>
      <c r="G50" t="s">
        <v>61</v>
      </c>
      <c r="H50" t="s">
        <v>9206</v>
      </c>
      <c r="I50" s="11" t="s">
        <v>9137</v>
      </c>
    </row>
    <row r="51" spans="1:9" x14ac:dyDescent="0.25">
      <c r="A51" s="11" t="s">
        <v>527</v>
      </c>
      <c r="B51" s="5" t="s">
        <v>538</v>
      </c>
      <c r="C51" s="82" t="s">
        <v>9232</v>
      </c>
      <c r="D51" t="str">
        <f>_xlfn.LET(_xlpm.x, _xlfn.XLOOKUP(B51,Sheet1!BF:BF,Sheet1!AF:AF,""), IF(_xlpm.x=0,"",_xlpm.x))</f>
        <v>昆明鼎承科技有限公司</v>
      </c>
      <c r="E51" s="11" t="str">
        <f>_xlfn.LET(_xlpm.x, _xlfn.XLOOKUP(B51,Sheet1!BF:BF,Sheet1!AD:AD,""), IF(_xlpm.x=0,"",_xlpm.x))</f>
        <v>工业智能化研发部</v>
      </c>
      <c r="F51" s="82" t="s">
        <v>477</v>
      </c>
      <c r="G51" t="s">
        <v>2152</v>
      </c>
      <c r="H51" t="s">
        <v>9220</v>
      </c>
      <c r="I51" s="11" t="s">
        <v>9138</v>
      </c>
    </row>
    <row r="52" spans="1:9" x14ac:dyDescent="0.25">
      <c r="A52" s="11" t="s">
        <v>502</v>
      </c>
      <c r="B52" s="5" t="s">
        <v>511</v>
      </c>
      <c r="C52" s="82" t="s">
        <v>9232</v>
      </c>
      <c r="D52" t="str">
        <f>_xlfn.LET(_xlpm.x, _xlfn.XLOOKUP(B52,Sheet1!BF:BF,Sheet1!AF:AF,""), IF(_xlpm.x=0,"",_xlpm.x))</f>
        <v>昆明鼎承科技有限公司</v>
      </c>
      <c r="E52" s="11" t="str">
        <f>_xlfn.LET(_xlpm.x, _xlfn.XLOOKUP(B52,Sheet1!BF:BF,Sheet1!AD:AD,""), IF(_xlpm.x=0,"",_xlpm.x))</f>
        <v>产品研发二部</v>
      </c>
      <c r="F52" s="82" t="s">
        <v>506</v>
      </c>
      <c r="G52" t="s">
        <v>9098</v>
      </c>
      <c r="H52" t="s">
        <v>9206</v>
      </c>
      <c r="I52" s="11" t="s">
        <v>9139</v>
      </c>
    </row>
    <row r="53" spans="1:9" x14ac:dyDescent="0.25">
      <c r="A53" s="11" t="s">
        <v>486</v>
      </c>
      <c r="B53" s="5" t="s">
        <v>496</v>
      </c>
      <c r="C53" s="82" t="s">
        <v>9232</v>
      </c>
      <c r="D53" t="str">
        <f>_xlfn.LET(_xlpm.x, _xlfn.XLOOKUP(B53,Sheet1!BF:BF,Sheet1!AF:AF,""), IF(_xlpm.x=0,"",_xlpm.x))</f>
        <v>昆明鑫晟源科技有限公司</v>
      </c>
      <c r="E53" s="11" t="str">
        <f>_xlfn.LET(_xlpm.x, _xlfn.XLOOKUP(B53,Sheet1!BF:BF,Sheet1!AD:AD,""), IF(_xlpm.x=0,"",_xlpm.x))</f>
        <v>生产技术部</v>
      </c>
      <c r="F53" s="82" t="s">
        <v>240</v>
      </c>
      <c r="G53" t="s">
        <v>58</v>
      </c>
      <c r="H53" t="s">
        <v>9206</v>
      </c>
      <c r="I53" s="11" t="s">
        <v>9128</v>
      </c>
    </row>
    <row r="54" spans="1:9" x14ac:dyDescent="0.25">
      <c r="A54" s="11" t="s">
        <v>3606</v>
      </c>
      <c r="B54" s="5" t="s">
        <v>3612</v>
      </c>
      <c r="C54" s="82" t="s">
        <v>9225</v>
      </c>
      <c r="D54" t="str">
        <f>_xlfn.LET(_xlpm.x, _xlfn.XLOOKUP(B54,Sheet1!BF:BF,Sheet1!AF:AF,""), IF(_xlpm.x=0,"",_xlpm.x))</f>
        <v>昆明鼎承科技有限公司</v>
      </c>
      <c r="E54" s="11" t="str">
        <f>_xlfn.LET(_xlpm.x, _xlfn.XLOOKUP(B54,Sheet1!BF:BF,Sheet1!AD:AD,""), IF(_xlpm.x=0,"",_xlpm.x))</f>
        <v>昆明鼎承科技有限公司</v>
      </c>
      <c r="F54" s="82" t="s">
        <v>3610</v>
      </c>
      <c r="G54" t="s">
        <v>9117</v>
      </c>
      <c r="H54" t="s">
        <v>9216</v>
      </c>
      <c r="I54" s="11" t="s">
        <v>9140</v>
      </c>
    </row>
    <row r="55" spans="1:9" x14ac:dyDescent="0.25">
      <c r="A55" s="11" t="s">
        <v>471</v>
      </c>
      <c r="B55" s="5" t="s">
        <v>481</v>
      </c>
      <c r="C55" s="82" t="s">
        <v>9236</v>
      </c>
      <c r="D55" t="str">
        <f>_xlfn.LET(_xlpm.x, _xlfn.XLOOKUP(B55,Sheet1!BF:BF,Sheet1!AF:AF,""), IF(_xlpm.x=0,"",_xlpm.x))</f>
        <v>昆明鼎承科技有限公司</v>
      </c>
      <c r="E55" s="11" t="str">
        <f>_xlfn.LET(_xlpm.x, _xlfn.XLOOKUP(B55,Sheet1!BF:BF,Sheet1!AD:AD,""), IF(_xlpm.x=0,"",_xlpm.x))</f>
        <v>企业管理部</v>
      </c>
      <c r="F55" s="82" t="s">
        <v>477</v>
      </c>
      <c r="G55" t="s">
        <v>58</v>
      </c>
      <c r="H55" t="s">
        <v>9220</v>
      </c>
      <c r="I55" s="11" t="s">
        <v>9141</v>
      </c>
    </row>
    <row r="56" spans="1:9" x14ac:dyDescent="0.25">
      <c r="A56" s="11" t="s">
        <v>454</v>
      </c>
      <c r="B56" s="5" t="s">
        <v>464</v>
      </c>
      <c r="C56" s="82" t="s">
        <v>9236</v>
      </c>
      <c r="D56" t="str">
        <f>_xlfn.LET(_xlpm.x, _xlfn.XLOOKUP(B56,Sheet1!BF:BF,Sheet1!AF:AF,""), IF(_xlpm.x=0,"",_xlpm.x))</f>
        <v>昆明鼎承科技有限公司</v>
      </c>
      <c r="E56" s="11" t="str">
        <f>_xlfn.LET(_xlpm.x, _xlfn.XLOOKUP(B56,Sheet1!BF:BF,Sheet1!AD:AD,""), IF(_xlpm.x=0,"",_xlpm.x))</f>
        <v>企业管理部</v>
      </c>
      <c r="F56" s="82" t="s">
        <v>458</v>
      </c>
      <c r="G56" t="s">
        <v>905</v>
      </c>
      <c r="H56" t="s">
        <v>9205</v>
      </c>
      <c r="I56" s="11" t="s">
        <v>9142</v>
      </c>
    </row>
    <row r="57" spans="1:9" x14ac:dyDescent="0.25">
      <c r="A57" s="11" t="s">
        <v>432</v>
      </c>
      <c r="B57" s="5" t="s">
        <v>444</v>
      </c>
      <c r="C57" s="82" t="s">
        <v>9236</v>
      </c>
      <c r="D57" t="str">
        <f>_xlfn.LET(_xlpm.x, _xlfn.XLOOKUP(B57,Sheet1!BF:BF,Sheet1!AF:AF,""), IF(_xlpm.x=0,"",_xlpm.x))</f>
        <v>昆明鼎承科技有限公司</v>
      </c>
      <c r="E57" s="11" t="str">
        <f>_xlfn.LET(_xlpm.x, _xlfn.XLOOKUP(B57,Sheet1!BF:BF,Sheet1!AD:AD,""), IF(_xlpm.x=0,"",_xlpm.x))</f>
        <v>运营部</v>
      </c>
      <c r="F57" s="82" t="s">
        <v>419</v>
      </c>
      <c r="G57" t="s">
        <v>2152</v>
      </c>
      <c r="H57" t="s">
        <v>9210</v>
      </c>
      <c r="I57" s="11" t="s">
        <v>9143</v>
      </c>
    </row>
    <row r="58" spans="1:9" x14ac:dyDescent="0.25">
      <c r="A58" s="11" t="s">
        <v>412</v>
      </c>
      <c r="B58" s="5" t="s">
        <v>424</v>
      </c>
      <c r="C58" s="82" t="s">
        <v>9237</v>
      </c>
      <c r="D58" t="str">
        <f>_xlfn.LET(_xlpm.x, _xlfn.XLOOKUP(B58,Sheet1!BF:BF,Sheet1!AF:AF,""), IF(_xlpm.x=0,"",_xlpm.x))</f>
        <v>昆明鼎承科技有限公司</v>
      </c>
      <c r="E58" s="11" t="str">
        <f>_xlfn.LET(_xlpm.x, _xlfn.XLOOKUP(B58,Sheet1!BF:BF,Sheet1!AD:AD,""), IF(_xlpm.x=0,"",_xlpm.x))</f>
        <v>运营部</v>
      </c>
      <c r="F58" s="82" t="s">
        <v>419</v>
      </c>
      <c r="G58" t="s">
        <v>905</v>
      </c>
      <c r="H58" t="s">
        <v>9210</v>
      </c>
      <c r="I58" s="11" t="s">
        <v>9133</v>
      </c>
    </row>
    <row r="59" spans="1:9" x14ac:dyDescent="0.25">
      <c r="A59" s="11" t="s">
        <v>391</v>
      </c>
      <c r="B59" s="5" t="s">
        <v>401</v>
      </c>
      <c r="C59" s="82" t="s">
        <v>9236</v>
      </c>
      <c r="D59" t="str">
        <f>_xlfn.LET(_xlpm.x, _xlfn.XLOOKUP(B59,Sheet1!BF:BF,Sheet1!AF:AF,""), IF(_xlpm.x=0,"",_xlpm.x))</f>
        <v>昆明鼎承科技有限公司</v>
      </c>
      <c r="E59" s="11" t="str">
        <f>_xlfn.LET(_xlpm.x, _xlfn.XLOOKUP(B59,Sheet1!BF:BF,Sheet1!AD:AD,""), IF(_xlpm.x=0,"",_xlpm.x))</f>
        <v>产品研发二部</v>
      </c>
      <c r="F59" s="82" t="s">
        <v>240</v>
      </c>
      <c r="G59" t="s">
        <v>905</v>
      </c>
      <c r="H59" t="s">
        <v>9206</v>
      </c>
      <c r="I59" s="11" t="s">
        <v>9134</v>
      </c>
    </row>
    <row r="60" spans="1:9" x14ac:dyDescent="0.25">
      <c r="A60" s="11" t="s">
        <v>373</v>
      </c>
      <c r="B60" s="5" t="s">
        <v>381</v>
      </c>
      <c r="C60" s="82" t="s">
        <v>9236</v>
      </c>
      <c r="D60" t="str">
        <f>_xlfn.LET(_xlpm.x, _xlfn.XLOOKUP(B60,Sheet1!BF:BF,Sheet1!AF:AF,""), IF(_xlpm.x=0,"",_xlpm.x))</f>
        <v>昆明鼎承科技有限公司</v>
      </c>
      <c r="E60" s="11" t="str">
        <f>_xlfn.LET(_xlpm.x, _xlfn.XLOOKUP(B60,Sheet1!BF:BF,Sheet1!AD:AD,""), IF(_xlpm.x=0,"",_xlpm.x))</f>
        <v>营销部</v>
      </c>
      <c r="F60" s="82" t="s">
        <v>319</v>
      </c>
      <c r="G60" t="s">
        <v>58</v>
      </c>
      <c r="H60" t="s">
        <v>9217</v>
      </c>
      <c r="I60" s="11" t="s">
        <v>9144</v>
      </c>
    </row>
    <row r="61" spans="1:9" x14ac:dyDescent="0.25">
      <c r="A61" s="11" t="s">
        <v>351</v>
      </c>
      <c r="B61" s="5" t="s">
        <v>363</v>
      </c>
      <c r="C61" s="82" t="s">
        <v>9238</v>
      </c>
      <c r="D61" t="str">
        <f>_xlfn.LET(_xlpm.x, _xlfn.XLOOKUP(B61,Sheet1!BF:BF,Sheet1!AF:AF,""), IF(_xlpm.x=0,"",_xlpm.x))</f>
        <v>昆明三行智造科技有限公司</v>
      </c>
      <c r="E61" s="11" t="str">
        <f>_xlfn.LET(_xlpm.x, _xlfn.XLOOKUP(B61,Sheet1!BF:BF,Sheet1!AD:AD,""), IF(_xlpm.x=0,"",_xlpm.x))</f>
        <v>综合办</v>
      </c>
      <c r="F61" s="82" t="s">
        <v>357</v>
      </c>
      <c r="G61" t="s">
        <v>63</v>
      </c>
      <c r="H61" t="s">
        <v>9209</v>
      </c>
      <c r="I61" s="11" t="s">
        <v>9145</v>
      </c>
    </row>
    <row r="62" spans="1:9" x14ac:dyDescent="0.25">
      <c r="A62" s="11" t="s">
        <v>315</v>
      </c>
      <c r="B62" s="5" t="s">
        <v>326</v>
      </c>
      <c r="C62" s="82" t="s">
        <v>9235</v>
      </c>
      <c r="D62" t="str">
        <f>_xlfn.LET(_xlpm.x, _xlfn.XLOOKUP(B62,Sheet1!BF:BF,Sheet1!AF:AF,""), IF(_xlpm.x=0,"",_xlpm.x))</f>
        <v>昆明鼎承科技有限公司</v>
      </c>
      <c r="E62" s="11" t="str">
        <f>_xlfn.LET(_xlpm.x, _xlfn.XLOOKUP(B62,Sheet1!BF:BF,Sheet1!AD:AD,""), IF(_xlpm.x=0,"",_xlpm.x))</f>
        <v>保障部办公室</v>
      </c>
      <c r="F62" s="82" t="s">
        <v>319</v>
      </c>
      <c r="G62" t="s">
        <v>61</v>
      </c>
      <c r="H62" t="s">
        <v>9205</v>
      </c>
      <c r="I62" s="11" t="s">
        <v>9146</v>
      </c>
    </row>
    <row r="63" spans="1:9" x14ac:dyDescent="0.25">
      <c r="A63" s="11" t="s">
        <v>2972</v>
      </c>
      <c r="B63" s="5" t="s">
        <v>2979</v>
      </c>
      <c r="C63" s="82" t="s">
        <v>9225</v>
      </c>
      <c r="D63" t="str">
        <f>_xlfn.LET(_xlpm.x, _xlfn.XLOOKUP(B63,Sheet1!BF:BF,Sheet1!AF:AF,""), IF(_xlpm.x=0,"",_xlpm.x))</f>
        <v>昆明鼎承科技有限公司</v>
      </c>
      <c r="E63" s="11" t="str">
        <f>_xlfn.LET(_xlpm.x, _xlfn.XLOOKUP(B63,Sheet1!BF:BF,Sheet1!AD:AD,""), IF(_xlpm.x=0,"",_xlpm.x))</f>
        <v>采购部</v>
      </c>
      <c r="F63" s="82" t="s">
        <v>2976</v>
      </c>
      <c r="G63" t="s">
        <v>9104</v>
      </c>
      <c r="H63" t="s">
        <v>9211</v>
      </c>
      <c r="I63" s="11" t="s">
        <v>9147</v>
      </c>
    </row>
    <row r="64" spans="1:9" x14ac:dyDescent="0.25">
      <c r="A64" s="11" t="s">
        <v>268</v>
      </c>
      <c r="B64" s="5" t="s">
        <v>280</v>
      </c>
      <c r="C64" s="82" t="s">
        <v>9235</v>
      </c>
      <c r="D64" t="str">
        <f>_xlfn.LET(_xlpm.x, _xlfn.XLOOKUP(B64,Sheet1!BF:BF,Sheet1!AF:AF,""), IF(_xlpm.x=0,"",_xlpm.x))</f>
        <v>昆明鼎承科技有限公司</v>
      </c>
      <c r="E64" s="11" t="str">
        <f>_xlfn.LET(_xlpm.x, _xlfn.XLOOKUP(B64,Sheet1!BF:BF,Sheet1!AD:AD,""), IF(_xlpm.x=0,"",_xlpm.x))</f>
        <v>产品研发二部</v>
      </c>
      <c r="F64" s="82" t="s">
        <v>275</v>
      </c>
      <c r="G64" t="s">
        <v>61</v>
      </c>
      <c r="H64" t="s">
        <v>9205</v>
      </c>
      <c r="I64" s="11" t="s">
        <v>9146</v>
      </c>
    </row>
    <row r="65" spans="1:9" x14ac:dyDescent="0.25">
      <c r="A65" s="11" t="s">
        <v>1218</v>
      </c>
      <c r="B65" s="5" t="s">
        <v>7043</v>
      </c>
      <c r="C65" s="82" t="s">
        <v>9227</v>
      </c>
      <c r="D65" t="str">
        <f>_xlfn.LET(_xlpm.x, _xlfn.XLOOKUP(B65,Sheet1!BF:BF,Sheet1!AF:AF,""), IF(_xlpm.x=0,"",_xlpm.x))</f>
        <v>昆明三行智造科技有限公司</v>
      </c>
      <c r="E65" s="11" t="str">
        <f>_xlfn.LET(_xlpm.x, _xlfn.XLOOKUP(B65,Sheet1!BF:BF,Sheet1!AD:AD,""), IF(_xlpm.x=0,"",_xlpm.x))</f>
        <v>研发部</v>
      </c>
      <c r="F65" s="82" t="s">
        <v>2987</v>
      </c>
      <c r="G65" t="s">
        <v>9104</v>
      </c>
      <c r="H65" t="s">
        <v>9211</v>
      </c>
      <c r="I65" s="11" t="s">
        <v>9147</v>
      </c>
    </row>
    <row r="66" spans="1:9" x14ac:dyDescent="0.25">
      <c r="A66" s="11" t="s">
        <v>3047</v>
      </c>
      <c r="B66" s="5" t="s">
        <v>3052</v>
      </c>
      <c r="C66" s="82" t="s">
        <v>9225</v>
      </c>
      <c r="D66" t="str">
        <f>_xlfn.LET(_xlpm.x, _xlfn.XLOOKUP(B66,Sheet1!BF:BF,Sheet1!AF:AF,""), IF(_xlpm.x=0,"",_xlpm.x))</f>
        <v>昆明鼎承科技有限公司</v>
      </c>
      <c r="E66" s="11" t="str">
        <f>_xlfn.LET(_xlpm.x, _xlfn.XLOOKUP(B66,Sheet1!BF:BF,Sheet1!AD:AD,""), IF(_xlpm.x=0,"",_xlpm.x))</f>
        <v>产品研发三部</v>
      </c>
      <c r="F66" s="82" t="s">
        <v>3050</v>
      </c>
      <c r="G66" t="s">
        <v>9112</v>
      </c>
      <c r="H66" t="s">
        <v>9208</v>
      </c>
      <c r="I66" s="11" t="s">
        <v>9124</v>
      </c>
    </row>
    <row r="67" spans="1:9" x14ac:dyDescent="0.25">
      <c r="A67" s="11" t="s">
        <v>3064</v>
      </c>
      <c r="B67" s="5" t="s">
        <v>3068</v>
      </c>
      <c r="C67" s="82" t="s">
        <v>9225</v>
      </c>
      <c r="D67" t="str">
        <f>_xlfn.LET(_xlpm.x, _xlfn.XLOOKUP(B67,Sheet1!BF:BF,Sheet1!AF:AF,""), IF(_xlpm.x=0,"",_xlpm.x))</f>
        <v>昆明鼎承科技有限公司</v>
      </c>
      <c r="E67" s="11" t="str">
        <f>_xlfn.LET(_xlpm.x, _xlfn.XLOOKUP(B67,Sheet1!BF:BF,Sheet1!AD:AD,""), IF(_xlpm.x=0,"",_xlpm.x))</f>
        <v>产品研发三部</v>
      </c>
      <c r="F67" s="82" t="s">
        <v>506</v>
      </c>
      <c r="G67" t="s">
        <v>9104</v>
      </c>
      <c r="H67" t="s">
        <v>9206</v>
      </c>
      <c r="I67" s="11" t="s">
        <v>9148</v>
      </c>
    </row>
    <row r="68" spans="1:9" x14ac:dyDescent="0.25">
      <c r="A68" s="11" t="s">
        <v>2780</v>
      </c>
      <c r="B68" s="5" t="s">
        <v>2784</v>
      </c>
      <c r="C68" s="82" t="s">
        <v>9226</v>
      </c>
      <c r="D68" t="str">
        <f>_xlfn.LET(_xlpm.x, _xlfn.XLOOKUP(B68,Sheet1!BF:BF,Sheet1!AF:AF,""), IF(_xlpm.x=0,"",_xlpm.x))</f>
        <v>昆明三行智造科技有限公司</v>
      </c>
      <c r="E68" s="11" t="str">
        <f>_xlfn.LET(_xlpm.x, _xlfn.XLOOKUP(B68,Sheet1!BF:BF,Sheet1!AD:AD,""), IF(_xlpm.x=0,"",_xlpm.x))</f>
        <v>研发部</v>
      </c>
      <c r="F68" s="82" t="s">
        <v>506</v>
      </c>
      <c r="G68" t="s">
        <v>9104</v>
      </c>
      <c r="H68" t="s">
        <v>9206</v>
      </c>
      <c r="I68" s="11" t="s">
        <v>9148</v>
      </c>
    </row>
    <row r="69" spans="1:9" x14ac:dyDescent="0.25">
      <c r="A69" s="11" t="s">
        <v>2765</v>
      </c>
      <c r="B69" s="5" t="s">
        <v>2768</v>
      </c>
      <c r="C69" s="82" t="s">
        <v>9226</v>
      </c>
      <c r="D69" t="str">
        <f>_xlfn.LET(_xlpm.x, _xlfn.XLOOKUP(B69,Sheet1!BF:BF,Sheet1!AF:AF,""), IF(_xlpm.x=0,"",_xlpm.x))</f>
        <v>昆明鑫晟源科技有限公司</v>
      </c>
      <c r="E69" s="11" t="str">
        <f>_xlfn.LET(_xlpm.x, _xlfn.XLOOKUP(B69,Sheet1!BF:BF,Sheet1!AD:AD,""), IF(_xlpm.x=0,"",_xlpm.x))</f>
        <v>生产技术部</v>
      </c>
      <c r="F69" s="82" t="s">
        <v>1848</v>
      </c>
      <c r="G69" t="s">
        <v>2152</v>
      </c>
      <c r="H69" t="s">
        <v>9210</v>
      </c>
      <c r="I69" s="11" t="s">
        <v>9143</v>
      </c>
    </row>
    <row r="70" spans="1:9" x14ac:dyDescent="0.25">
      <c r="A70" s="11" t="s">
        <v>3357</v>
      </c>
      <c r="B70" s="5" t="s">
        <v>3360</v>
      </c>
      <c r="C70" s="82" t="s">
        <v>9225</v>
      </c>
      <c r="D70" t="str">
        <f>_xlfn.LET(_xlpm.x, _xlfn.XLOOKUP(B70,Sheet1!BF:BF,Sheet1!AF:AF,""), IF(_xlpm.x=0,"",_xlpm.x))</f>
        <v>昆明鼎承科技有限公司</v>
      </c>
      <c r="E70" s="11" t="str">
        <f>_xlfn.LET(_xlpm.x, _xlfn.XLOOKUP(B70,Sheet1!BF:BF,Sheet1!AD:AD,""), IF(_xlpm.x=0,"",_xlpm.x))</f>
        <v>产品研发二部</v>
      </c>
      <c r="F70" s="82" t="s">
        <v>506</v>
      </c>
      <c r="G70" t="s">
        <v>9102</v>
      </c>
      <c r="H70" t="s">
        <v>9206</v>
      </c>
      <c r="I70" s="11" t="s">
        <v>9149</v>
      </c>
    </row>
    <row r="71" spans="1:9" x14ac:dyDescent="0.25">
      <c r="A71" s="11" t="s">
        <v>3110</v>
      </c>
      <c r="B71" s="5" t="s">
        <v>3114</v>
      </c>
      <c r="C71" s="82" t="s">
        <v>9225</v>
      </c>
      <c r="D71" t="str">
        <f>_xlfn.LET(_xlpm.x, _xlfn.XLOOKUP(B71,Sheet1!BF:BF,Sheet1!AF:AF,""), IF(_xlpm.x=0,"",_xlpm.x))</f>
        <v>昆明鼎承科技有限公司</v>
      </c>
      <c r="E71" s="11" t="str">
        <f>_xlfn.LET(_xlpm.x, _xlfn.XLOOKUP(B71,Sheet1!BF:BF,Sheet1!AD:AD,""), IF(_xlpm.x=0,"",_xlpm.x))</f>
        <v>产品研发二部</v>
      </c>
      <c r="F71" s="82" t="s">
        <v>506</v>
      </c>
      <c r="G71" t="s">
        <v>9104</v>
      </c>
      <c r="H71" t="s">
        <v>9206</v>
      </c>
      <c r="I71" s="11" t="s">
        <v>9148</v>
      </c>
    </row>
    <row r="72" spans="1:9" x14ac:dyDescent="0.25">
      <c r="A72" s="11" t="s">
        <v>1827</v>
      </c>
      <c r="B72" s="5" t="s">
        <v>3107</v>
      </c>
      <c r="C72" s="82" t="s">
        <v>9225</v>
      </c>
      <c r="D72" t="str">
        <f>_xlfn.LET(_xlpm.x, _xlfn.XLOOKUP(B72,Sheet1!BF:BF,Sheet1!AF:AF,""), IF(_xlpm.x=0,"",_xlpm.x))</f>
        <v>昆明鼎承科技有限公司</v>
      </c>
      <c r="E72" s="11" t="str">
        <f>_xlfn.LET(_xlpm.x, _xlfn.XLOOKUP(B72,Sheet1!BF:BF,Sheet1!AD:AD,""), IF(_xlpm.x=0,"",_xlpm.x))</f>
        <v>产品研发二部</v>
      </c>
      <c r="F72" s="82" t="s">
        <v>506</v>
      </c>
      <c r="G72" t="s">
        <v>9102</v>
      </c>
      <c r="H72" t="s">
        <v>9206</v>
      </c>
      <c r="I72" s="11" t="s">
        <v>9149</v>
      </c>
    </row>
    <row r="73" spans="1:9" x14ac:dyDescent="0.25">
      <c r="A73" s="11" t="s">
        <v>3229</v>
      </c>
      <c r="B73" s="5" t="s">
        <v>3234</v>
      </c>
      <c r="C73" s="82" t="s">
        <v>9225</v>
      </c>
      <c r="D73" t="str">
        <f>_xlfn.LET(_xlpm.x, _xlfn.XLOOKUP(B73,Sheet1!BF:BF,Sheet1!AF:AF,""), IF(_xlpm.x=0,"",_xlpm.x))</f>
        <v>昆明鼎承科技有限公司</v>
      </c>
      <c r="E73" s="11" t="str">
        <f>_xlfn.LET(_xlpm.x, _xlfn.XLOOKUP(B73,Sheet1!BF:BF,Sheet1!AD:AD,""), IF(_xlpm.x=0,"",_xlpm.x))</f>
        <v>信息技术部</v>
      </c>
      <c r="F73" s="82" t="s">
        <v>3232</v>
      </c>
      <c r="G73" t="s">
        <v>9115</v>
      </c>
      <c r="H73" t="s">
        <v>9208</v>
      </c>
      <c r="I73" s="11" t="s">
        <v>9150</v>
      </c>
    </row>
    <row r="74" spans="1:9" x14ac:dyDescent="0.25">
      <c r="A74" s="11" t="s">
        <v>2772</v>
      </c>
      <c r="B74" s="5" t="s">
        <v>2776</v>
      </c>
      <c r="C74" s="82" t="s">
        <v>9225</v>
      </c>
      <c r="D74" t="str">
        <f>_xlfn.LET(_xlpm.x, _xlfn.XLOOKUP(B74,Sheet1!BF:BF,Sheet1!AF:AF,""), IF(_xlpm.x=0,"",_xlpm.x))</f>
        <v>昆明鼎承科技有限公司</v>
      </c>
      <c r="E74" s="11" t="str">
        <f>_xlfn.LET(_xlpm.x, _xlfn.XLOOKUP(B74,Sheet1!BF:BF,Sheet1!AD:AD,""), IF(_xlpm.x=0,"",_xlpm.x))</f>
        <v>信息技术部</v>
      </c>
      <c r="F74" s="82" t="s">
        <v>477</v>
      </c>
      <c r="G74" t="s">
        <v>9106</v>
      </c>
      <c r="H74" t="s">
        <v>9220</v>
      </c>
      <c r="I74" s="11" t="s">
        <v>9151</v>
      </c>
    </row>
    <row r="75" spans="1:9" x14ac:dyDescent="0.25">
      <c r="A75" s="11" t="s">
        <v>2907</v>
      </c>
      <c r="B75" s="5" t="s">
        <v>2910</v>
      </c>
      <c r="C75" s="82" t="s">
        <v>9225</v>
      </c>
      <c r="D75" t="str">
        <f>_xlfn.LET(_xlpm.x, _xlfn.XLOOKUP(B75,Sheet1!BF:BF,Sheet1!AF:AF,""), IF(_xlpm.x=0,"",_xlpm.x))</f>
        <v>昆明鼎承科技有限公司</v>
      </c>
      <c r="E75" s="11" t="str">
        <f>_xlfn.LET(_xlpm.x, _xlfn.XLOOKUP(B75,Sheet1!BF:BF,Sheet1!AD:AD,""), IF(_xlpm.x=0,"",_xlpm.x))</f>
        <v>信息技术部</v>
      </c>
      <c r="F75" s="82" t="s">
        <v>477</v>
      </c>
      <c r="G75" t="s">
        <v>9106</v>
      </c>
      <c r="H75" t="s">
        <v>9220</v>
      </c>
      <c r="I75" s="11" t="s">
        <v>9151</v>
      </c>
    </row>
    <row r="76" spans="1:9" x14ac:dyDescent="0.25">
      <c r="A76" s="11" t="s">
        <v>2962</v>
      </c>
      <c r="B76" s="5" t="s">
        <v>2966</v>
      </c>
      <c r="C76" s="82" t="s">
        <v>9226</v>
      </c>
      <c r="D76" t="str">
        <f>_xlfn.LET(_xlpm.x, _xlfn.XLOOKUP(B76,Sheet1!BF:BF,Sheet1!AF:AF,""), IF(_xlpm.x=0,"",_xlpm.x))</f>
        <v>昆明鑫晟源科技有限公司</v>
      </c>
      <c r="E76" s="11" t="str">
        <f>_xlfn.LET(_xlpm.x, _xlfn.XLOOKUP(B76,Sheet1!BF:BF,Sheet1!AD:AD,""), IF(_xlpm.x=0,"",_xlpm.x))</f>
        <v>生产技术部</v>
      </c>
      <c r="F76" s="82" t="s">
        <v>1848</v>
      </c>
      <c r="G76" t="s">
        <v>905</v>
      </c>
      <c r="H76" t="s">
        <v>9210</v>
      </c>
      <c r="I76" s="11" t="s">
        <v>9133</v>
      </c>
    </row>
    <row r="77" spans="1:9" x14ac:dyDescent="0.25">
      <c r="A77" s="11" t="s">
        <v>1901</v>
      </c>
      <c r="B77" s="5" t="s">
        <v>1905</v>
      </c>
      <c r="C77" s="82" t="s">
        <v>9225</v>
      </c>
      <c r="D77" t="str">
        <f>_xlfn.LET(_xlpm.x, _xlfn.XLOOKUP(B77,Sheet1!BF:BF,Sheet1!AF:AF,""), IF(_xlpm.x=0,"",_xlpm.x))</f>
        <v>昆明鼎承科技有限公司</v>
      </c>
      <c r="E77" s="11" t="str">
        <f>_xlfn.LET(_xlpm.x, _xlfn.XLOOKUP(B77,Sheet1!BF:BF,Sheet1!AD:AD,""), IF(_xlpm.x=0,"",_xlpm.x))</f>
        <v>产品研发二部</v>
      </c>
      <c r="F77" s="82" t="s">
        <v>733</v>
      </c>
      <c r="G77" t="s">
        <v>2152</v>
      </c>
      <c r="H77" t="s">
        <v>9213</v>
      </c>
      <c r="I77" s="11" t="s">
        <v>9152</v>
      </c>
    </row>
    <row r="78" spans="1:9" x14ac:dyDescent="0.25">
      <c r="A78" s="11" t="s">
        <v>2718</v>
      </c>
      <c r="B78" s="5" t="s">
        <v>2722</v>
      </c>
      <c r="C78" s="82" t="s">
        <v>9225</v>
      </c>
      <c r="D78" t="str">
        <f>_xlfn.LET(_xlpm.x, _xlfn.XLOOKUP(B78,Sheet1!BF:BF,Sheet1!AF:AF,""), IF(_xlpm.x=0,"",_xlpm.x))</f>
        <v>昆明鼎承科技有限公司</v>
      </c>
      <c r="E78" s="11" t="str">
        <f>_xlfn.LET(_xlpm.x, _xlfn.XLOOKUP(B78,Sheet1!BF:BF,Sheet1!AD:AD,""), IF(_xlpm.x=0,"",_xlpm.x))</f>
        <v>信息技术部</v>
      </c>
      <c r="F78" s="82" t="s">
        <v>2720</v>
      </c>
      <c r="G78" t="s">
        <v>9098</v>
      </c>
      <c r="H78" t="s">
        <v>9209</v>
      </c>
      <c r="I78" s="11" t="s">
        <v>9105</v>
      </c>
    </row>
    <row r="79" spans="1:9" x14ac:dyDescent="0.25">
      <c r="A79" s="11" t="s">
        <v>2692</v>
      </c>
      <c r="B79" s="5" t="s">
        <v>2696</v>
      </c>
      <c r="C79" s="82" t="s">
        <v>9226</v>
      </c>
      <c r="D79" t="str">
        <f>_xlfn.LET(_xlpm.x, _xlfn.XLOOKUP(B79,Sheet1!BF:BF,Sheet1!AF:AF,""), IF(_xlpm.x=0,"",_xlpm.x))</f>
        <v>昆明鑫晟源科技有限公司</v>
      </c>
      <c r="E79" s="11" t="str">
        <f>_xlfn.LET(_xlpm.x, _xlfn.XLOOKUP(B79,Sheet1!BF:BF,Sheet1!AD:AD,""), IF(_xlpm.x=0,"",_xlpm.x))</f>
        <v>生产技术部</v>
      </c>
      <c r="F79" s="82" t="s">
        <v>1848</v>
      </c>
      <c r="G79" t="s">
        <v>905</v>
      </c>
      <c r="H79" t="s">
        <v>9210</v>
      </c>
      <c r="I79" s="11" t="s">
        <v>9133</v>
      </c>
    </row>
    <row r="80" spans="1:9" x14ac:dyDescent="0.25">
      <c r="A80" s="11" t="s">
        <v>2408</v>
      </c>
      <c r="B80" s="5" t="s">
        <v>2412</v>
      </c>
      <c r="C80" s="82" t="s">
        <v>9226</v>
      </c>
      <c r="D80" t="str">
        <f>_xlfn.LET(_xlpm.x, _xlfn.XLOOKUP(B80,Sheet1!BF:BF,Sheet1!AF:AF,""), IF(_xlpm.x=0,"",_xlpm.x))</f>
        <v>昆明鑫晟源科技有限公司</v>
      </c>
      <c r="E80" s="11" t="str">
        <f>_xlfn.LET(_xlpm.x, _xlfn.XLOOKUP(B80,Sheet1!BF:BF,Sheet1!AD:AD,""), IF(_xlpm.x=0,"",_xlpm.x))</f>
        <v>安调中心</v>
      </c>
      <c r="F80" s="82" t="s">
        <v>593</v>
      </c>
      <c r="G80" t="s">
        <v>905</v>
      </c>
      <c r="H80" t="s">
        <v>9207</v>
      </c>
      <c r="I80" s="11" t="s">
        <v>9153</v>
      </c>
    </row>
    <row r="81" spans="1:9" x14ac:dyDescent="0.25">
      <c r="A81" s="11" t="s">
        <v>2608</v>
      </c>
      <c r="B81" s="5" t="s">
        <v>3427</v>
      </c>
      <c r="C81" s="82" t="s">
        <v>9225</v>
      </c>
      <c r="D81" t="str">
        <f>_xlfn.LET(_xlpm.x, _xlfn.XLOOKUP(B81,Sheet1!BF:BF,Sheet1!AF:AF,""), IF(_xlpm.x=0,"",_xlpm.x))</f>
        <v>昆明鼎承科技有限公司</v>
      </c>
      <c r="E81" s="11" t="str">
        <f>_xlfn.LET(_xlpm.x, _xlfn.XLOOKUP(B81,Sheet1!BF:BF,Sheet1!AD:AD,""), IF(_xlpm.x=0,"",_xlpm.x))</f>
        <v>信息技术部</v>
      </c>
      <c r="F81" s="82" t="s">
        <v>2024</v>
      </c>
      <c r="G81" t="s">
        <v>9104</v>
      </c>
      <c r="H81" t="s">
        <v>9218</v>
      </c>
      <c r="I81" s="11" t="s">
        <v>9154</v>
      </c>
    </row>
    <row r="82" spans="1:9" x14ac:dyDescent="0.25">
      <c r="A82" s="11" t="s">
        <v>3326</v>
      </c>
      <c r="B82" s="5" t="s">
        <v>3331</v>
      </c>
      <c r="C82" s="82" t="s">
        <v>9232</v>
      </c>
      <c r="D82" t="str">
        <f>_xlfn.LET(_xlpm.x, _xlfn.XLOOKUP(B82,Sheet1!BF:BF,Sheet1!AF:AF,""), IF(_xlpm.x=0,"",_xlpm.x))</f>
        <v>昆明鼎承科技有限公司</v>
      </c>
      <c r="E82" s="11" t="str">
        <f>_xlfn.LET(_xlpm.x, _xlfn.XLOOKUP(B82,Sheet1!BF:BF,Sheet1!AD:AD,""), IF(_xlpm.x=0,"",_xlpm.x))</f>
        <v>运营部</v>
      </c>
      <c r="F82" s="82" t="s">
        <v>3329</v>
      </c>
      <c r="G82" t="s">
        <v>2152</v>
      </c>
      <c r="H82" t="s">
        <v>9217</v>
      </c>
      <c r="I82" s="11" t="s">
        <v>9155</v>
      </c>
    </row>
    <row r="83" spans="1:9" x14ac:dyDescent="0.25">
      <c r="A83" s="11" t="s">
        <v>2915</v>
      </c>
      <c r="B83" s="5" t="s">
        <v>2921</v>
      </c>
      <c r="C83" s="82" t="s">
        <v>9229</v>
      </c>
      <c r="D83" t="str">
        <f>_xlfn.LET(_xlpm.x, _xlfn.XLOOKUP(B83,Sheet1!BF:BF,Sheet1!AF:AF,""), IF(_xlpm.x=0,"",_xlpm.x))</f>
        <v>昆明鼎承科技有限公司</v>
      </c>
      <c r="E83" s="11" t="str">
        <f>_xlfn.LET(_xlpm.x, _xlfn.XLOOKUP(B83,Sheet1!BF:BF,Sheet1!AD:AD,""), IF(_xlpm.x=0,"",_xlpm.x))</f>
        <v>生产制造综合管理办公室</v>
      </c>
      <c r="F83" s="82" t="s">
        <v>2919</v>
      </c>
      <c r="G83" t="s">
        <v>9098</v>
      </c>
      <c r="H83" t="s">
        <v>9211</v>
      </c>
      <c r="I83" s="11" t="s">
        <v>9135</v>
      </c>
    </row>
    <row r="84" spans="1:9" x14ac:dyDescent="0.25">
      <c r="A84" s="11" t="s">
        <v>2734</v>
      </c>
      <c r="B84" s="5" t="s">
        <v>2738</v>
      </c>
      <c r="C84" s="82" t="s">
        <v>9225</v>
      </c>
      <c r="D84" t="str">
        <f>_xlfn.LET(_xlpm.x, _xlfn.XLOOKUP(B84,Sheet1!BF:BF,Sheet1!AF:AF,""), IF(_xlpm.x=0,"",_xlpm.x))</f>
        <v>昆明鼎承科技有限公司</v>
      </c>
      <c r="E84" s="11" t="str">
        <f>_xlfn.LET(_xlpm.x, _xlfn.XLOOKUP(B84,Sheet1!BF:BF,Sheet1!AD:AD,""), IF(_xlpm.x=0,"",_xlpm.x))</f>
        <v>采购部</v>
      </c>
      <c r="F84" s="82" t="s">
        <v>2672</v>
      </c>
      <c r="G84" t="s">
        <v>9101</v>
      </c>
      <c r="H84" t="s">
        <v>9217</v>
      </c>
      <c r="I84" s="11" t="s">
        <v>9156</v>
      </c>
    </row>
    <row r="85" spans="1:9" x14ac:dyDescent="0.25">
      <c r="A85" s="11" t="s">
        <v>2669</v>
      </c>
      <c r="B85" s="5" t="s">
        <v>2674</v>
      </c>
      <c r="C85" s="82" t="s">
        <v>9229</v>
      </c>
      <c r="D85" t="str">
        <f>_xlfn.LET(_xlpm.x, _xlfn.XLOOKUP(B85,Sheet1!BF:BF,Sheet1!AF:AF,""), IF(_xlpm.x=0,"",_xlpm.x))</f>
        <v>昆明鑫晟源科技有限公司</v>
      </c>
      <c r="E85" s="11" t="str">
        <f>_xlfn.LET(_xlpm.x, _xlfn.XLOOKUP(B85,Sheet1!BF:BF,Sheet1!AD:AD,""), IF(_xlpm.x=0,"",_xlpm.x))</f>
        <v>企业管理办公室</v>
      </c>
      <c r="F85" s="82" t="s">
        <v>2672</v>
      </c>
      <c r="G85" t="s">
        <v>2152</v>
      </c>
      <c r="H85" t="s">
        <v>9217</v>
      </c>
      <c r="I85" s="11" t="s">
        <v>9155</v>
      </c>
    </row>
    <row r="86" spans="1:9" x14ac:dyDescent="0.25">
      <c r="A86" s="11" t="s">
        <v>2610</v>
      </c>
      <c r="B86" s="5" t="s">
        <v>2615</v>
      </c>
      <c r="C86" s="82" t="s">
        <v>9229</v>
      </c>
      <c r="D86" t="str">
        <f>_xlfn.LET(_xlpm.x, _xlfn.XLOOKUP(B86,Sheet1!BF:BF,Sheet1!AF:AF,""), IF(_xlpm.x=0,"",_xlpm.x))</f>
        <v>昆明鼎承科技有限公司</v>
      </c>
      <c r="E86" s="11" t="str">
        <f>_xlfn.LET(_xlpm.x, _xlfn.XLOOKUP(B86,Sheet1!BF:BF,Sheet1!AD:AD,""), IF(_xlpm.x=0,"",_xlpm.x))</f>
        <v>生产制造综合管理办公室</v>
      </c>
      <c r="F86" s="82" t="s">
        <v>2613</v>
      </c>
      <c r="G86" t="s">
        <v>9098</v>
      </c>
      <c r="H86" t="s">
        <v>9209</v>
      </c>
      <c r="I86" s="11" t="s">
        <v>9105</v>
      </c>
    </row>
    <row r="87" spans="1:9" x14ac:dyDescent="0.25">
      <c r="A87" s="11" t="s">
        <v>2601</v>
      </c>
      <c r="B87" s="5" t="s">
        <v>2605</v>
      </c>
      <c r="C87" s="82" t="s">
        <v>9227</v>
      </c>
      <c r="D87" t="str">
        <f>_xlfn.LET(_xlpm.x, _xlfn.XLOOKUP(B87,Sheet1!BF:BF,Sheet1!AF:AF,""), IF(_xlpm.x=0,"",_xlpm.x))</f>
        <v>昆明鼎承科技有限公司</v>
      </c>
      <c r="E87" s="11" t="str">
        <f>_xlfn.LET(_xlpm.x, _xlfn.XLOOKUP(B87,Sheet1!BF:BF,Sheet1!AD:AD,""), IF(_xlpm.x=0,"",_xlpm.x))</f>
        <v>运营部</v>
      </c>
      <c r="F87" s="82" t="s">
        <v>2603</v>
      </c>
      <c r="G87" t="s">
        <v>905</v>
      </c>
      <c r="H87" t="s">
        <v>9217</v>
      </c>
      <c r="I87" s="11" t="s">
        <v>9157</v>
      </c>
    </row>
    <row r="88" spans="1:9" x14ac:dyDescent="0.25">
      <c r="A88" s="11" t="s">
        <v>2589</v>
      </c>
      <c r="B88" s="5" t="s">
        <v>2596</v>
      </c>
      <c r="C88" s="82" t="s">
        <v>9225</v>
      </c>
      <c r="D88" t="str">
        <f>_xlfn.LET(_xlpm.x, _xlfn.XLOOKUP(B88,Sheet1!BF:BF,Sheet1!AF:AF,""), IF(_xlpm.x=0,"",_xlpm.x))</f>
        <v>昆明鼎承科技有限公司</v>
      </c>
      <c r="E88" s="11" t="str">
        <f>_xlfn.LET(_xlpm.x, _xlfn.XLOOKUP(B88,Sheet1!BF:BF,Sheet1!AD:AD,""), IF(_xlpm.x=0,"",_xlpm.x))</f>
        <v>人力资本部</v>
      </c>
      <c r="F88" s="82" t="s">
        <v>2593</v>
      </c>
      <c r="G88" t="s">
        <v>9104</v>
      </c>
      <c r="H88" t="s">
        <v>9205</v>
      </c>
      <c r="I88" s="11" t="s">
        <v>9095</v>
      </c>
    </row>
    <row r="89" spans="1:9" x14ac:dyDescent="0.25">
      <c r="A89" s="11" t="s">
        <v>2742</v>
      </c>
      <c r="B89" s="5" t="s">
        <v>2746</v>
      </c>
      <c r="C89" s="82" t="s">
        <v>9229</v>
      </c>
      <c r="D89" t="str">
        <f>_xlfn.LET(_xlpm.x, _xlfn.XLOOKUP(B89,Sheet1!BF:BF,Sheet1!AF:AF,""), IF(_xlpm.x=0,"",_xlpm.x))</f>
        <v>昆明鼎承科技有限公司</v>
      </c>
      <c r="E89" s="11" t="str">
        <f>_xlfn.LET(_xlpm.x, _xlfn.XLOOKUP(B89,Sheet1!BF:BF,Sheet1!AD:AD,""), IF(_xlpm.x=0,"",_xlpm.x))</f>
        <v>机加车间</v>
      </c>
      <c r="F89" s="82" t="s">
        <v>2744</v>
      </c>
      <c r="G89" t="s">
        <v>9098</v>
      </c>
      <c r="H89" t="s">
        <v>9211</v>
      </c>
      <c r="I89" s="11" t="s">
        <v>9135</v>
      </c>
    </row>
    <row r="90" spans="1:9" x14ac:dyDescent="0.25">
      <c r="A90" s="11" t="s">
        <v>3202</v>
      </c>
      <c r="B90" s="5" t="s">
        <v>3205</v>
      </c>
      <c r="C90" s="82" t="s">
        <v>9229</v>
      </c>
      <c r="D90" t="str">
        <f>_xlfn.LET(_xlpm.x, _xlfn.XLOOKUP(B90,Sheet1!BF:BF,Sheet1!AF:AF,""), IF(_xlpm.x=0,"",_xlpm.x))</f>
        <v>昆明鼎承科技有限公司</v>
      </c>
      <c r="E90" s="11" t="str">
        <f>_xlfn.LET(_xlpm.x, _xlfn.XLOOKUP(B90,Sheet1!BF:BF,Sheet1!AD:AD,""), IF(_xlpm.x=0,"",_xlpm.x))</f>
        <v>机加车间</v>
      </c>
      <c r="F90" s="82" t="s">
        <v>2827</v>
      </c>
      <c r="G90" t="s">
        <v>9106</v>
      </c>
      <c r="H90" t="s">
        <v>9215</v>
      </c>
      <c r="I90" s="11" t="s">
        <v>9158</v>
      </c>
    </row>
    <row r="91" spans="1:9" x14ac:dyDescent="0.25">
      <c r="A91" s="11" t="s">
        <v>2632</v>
      </c>
      <c r="B91" s="5" t="s">
        <v>2637</v>
      </c>
      <c r="C91" s="82" t="s">
        <v>9229</v>
      </c>
      <c r="D91" t="str">
        <f>_xlfn.LET(_xlpm.x, _xlfn.XLOOKUP(B91,Sheet1!BF:BF,Sheet1!AF:AF,""), IF(_xlpm.x=0,"",_xlpm.x))</f>
        <v>昆明鼎承科技有限公司</v>
      </c>
      <c r="E91" s="11" t="str">
        <f>_xlfn.LET(_xlpm.x, _xlfn.XLOOKUP(B91,Sheet1!BF:BF,Sheet1!AD:AD,""), IF(_xlpm.x=0,"",_xlpm.x))</f>
        <v>机加车间</v>
      </c>
      <c r="F91" s="82" t="s">
        <v>2635</v>
      </c>
      <c r="G91" t="s">
        <v>9106</v>
      </c>
      <c r="H91" t="s">
        <v>9215</v>
      </c>
      <c r="I91" s="11" t="s">
        <v>9158</v>
      </c>
    </row>
    <row r="92" spans="1:9" x14ac:dyDescent="0.25">
      <c r="A92" s="11" t="s">
        <v>3346</v>
      </c>
      <c r="B92" s="5" t="s">
        <v>3351</v>
      </c>
      <c r="C92" s="82" t="s">
        <v>9226</v>
      </c>
      <c r="D92" t="str">
        <f>_xlfn.LET(_xlpm.x, _xlfn.XLOOKUP(B92,Sheet1!BF:BF,Sheet1!AF:AF,""), IF(_xlpm.x=0,"",_xlpm.x))</f>
        <v>昆明鑫晟源科技有限公司</v>
      </c>
      <c r="E92" s="11" t="str">
        <f>_xlfn.LET(_xlpm.x, _xlfn.XLOOKUP(B92,Sheet1!BF:BF,Sheet1!AD:AD,""), IF(_xlpm.x=0,"",_xlpm.x))</f>
        <v>昆明鑫晟源科技有限公司</v>
      </c>
      <c r="F92" s="82" t="s">
        <v>3349</v>
      </c>
      <c r="G92" t="s">
        <v>9117</v>
      </c>
      <c r="H92" t="s">
        <v>9208</v>
      </c>
      <c r="I92" s="11" t="s">
        <v>9129</v>
      </c>
    </row>
    <row r="93" spans="1:9" x14ac:dyDescent="0.25">
      <c r="A93" s="11" t="s">
        <v>3387</v>
      </c>
      <c r="B93" s="5" t="s">
        <v>3392</v>
      </c>
      <c r="C93" s="82" t="s">
        <v>9234</v>
      </c>
      <c r="D93" t="str">
        <f>_xlfn.LET(_xlpm.x, _xlfn.XLOOKUP(B93,Sheet1!BF:BF,Sheet1!AF:AF,""), IF(_xlpm.x=0,"",_xlpm.x))</f>
        <v>昆明鑫晟源科技有限公司</v>
      </c>
      <c r="E93" s="11" t="str">
        <f>_xlfn.LET(_xlpm.x, _xlfn.XLOOKUP(B93,Sheet1!BF:BF,Sheet1!AD:AD,""), IF(_xlpm.x=0,"",_xlpm.x))</f>
        <v>安调中心</v>
      </c>
      <c r="F93" s="82" t="s">
        <v>3211</v>
      </c>
      <c r="G93" t="s">
        <v>58</v>
      </c>
      <c r="H93" t="s">
        <v>9207</v>
      </c>
      <c r="I93" s="11" t="s">
        <v>9159</v>
      </c>
    </row>
    <row r="94" spans="1:9" x14ac:dyDescent="0.25">
      <c r="A94" s="11" t="s">
        <v>3088</v>
      </c>
      <c r="B94" s="5" t="s">
        <v>3091</v>
      </c>
      <c r="C94" s="82" t="s">
        <v>9229</v>
      </c>
      <c r="D94" t="str">
        <f>_xlfn.LET(_xlpm.x, _xlfn.XLOOKUP(B94,Sheet1!BF:BF,Sheet1!AF:AF,""), IF(_xlpm.x=0,"",_xlpm.x))</f>
        <v>昆明鼎承科技有限公司</v>
      </c>
      <c r="E94" s="11" t="str">
        <f>_xlfn.LET(_xlpm.x, _xlfn.XLOOKUP(B94,Sheet1!BF:BF,Sheet1!AD:AD,""), IF(_xlpm.x=0,"",_xlpm.x))</f>
        <v>机加车间</v>
      </c>
      <c r="F94" s="82" t="s">
        <v>1248</v>
      </c>
      <c r="G94" t="s">
        <v>2152</v>
      </c>
      <c r="H94" t="s">
        <v>9215</v>
      </c>
      <c r="I94" s="11" t="s">
        <v>9160</v>
      </c>
    </row>
    <row r="95" spans="1:9" x14ac:dyDescent="0.25">
      <c r="A95" s="11" t="s">
        <v>3312</v>
      </c>
      <c r="B95" s="5" t="s">
        <v>3316</v>
      </c>
      <c r="C95" s="82" t="s">
        <v>9226</v>
      </c>
      <c r="D95" t="str">
        <f>_xlfn.LET(_xlpm.x, _xlfn.XLOOKUP(B95,Sheet1!BF:BF,Sheet1!AF:AF,""), IF(_xlpm.x=0,"",_xlpm.x))</f>
        <v>昆明鼎承科技有限公司</v>
      </c>
      <c r="E95" s="11" t="str">
        <f>_xlfn.LET(_xlpm.x, _xlfn.XLOOKUP(B95,Sheet1!BF:BF,Sheet1!AD:AD,""), IF(_xlpm.x=0,"",_xlpm.x))</f>
        <v>机加车间</v>
      </c>
      <c r="F95" s="82" t="s">
        <v>1285</v>
      </c>
      <c r="G95" t="s">
        <v>9102</v>
      </c>
      <c r="H95" t="s">
        <v>9215</v>
      </c>
      <c r="I95" s="11" t="s">
        <v>9161</v>
      </c>
    </row>
    <row r="96" spans="1:9" x14ac:dyDescent="0.25">
      <c r="A96" s="11" t="s">
        <v>3452</v>
      </c>
      <c r="B96" s="5" t="s">
        <v>3456</v>
      </c>
      <c r="C96" s="82" t="s">
        <v>9229</v>
      </c>
      <c r="D96" t="str">
        <f>_xlfn.LET(_xlpm.x, _xlfn.XLOOKUP(B96,Sheet1!BF:BF,Sheet1!AF:AF,""), IF(_xlpm.x=0,"",_xlpm.x))</f>
        <v>昆明鼎承科技有限公司</v>
      </c>
      <c r="E96" s="11" t="str">
        <f>_xlfn.LET(_xlpm.x, _xlfn.XLOOKUP(B96,Sheet1!BF:BF,Sheet1!AD:AD,""), IF(_xlpm.x=0,"",_xlpm.x))</f>
        <v>机加车间</v>
      </c>
      <c r="F96" s="82" t="s">
        <v>1739</v>
      </c>
      <c r="G96" t="s">
        <v>61</v>
      </c>
      <c r="H96" t="s">
        <v>9213</v>
      </c>
      <c r="I96" s="11" t="s">
        <v>9162</v>
      </c>
    </row>
    <row r="97" spans="1:9" x14ac:dyDescent="0.25">
      <c r="A97" s="11" t="s">
        <v>2995</v>
      </c>
      <c r="B97" s="5" t="s">
        <v>3000</v>
      </c>
      <c r="C97" s="82" t="s">
        <v>9229</v>
      </c>
      <c r="D97" t="str">
        <f>_xlfn.LET(_xlpm.x, _xlfn.XLOOKUP(B97,Sheet1!BF:BF,Sheet1!AF:AF,""), IF(_xlpm.x=0,"",_xlpm.x))</f>
        <v>昆明鼎承科技有限公司</v>
      </c>
      <c r="E97" s="11" t="str">
        <f>_xlfn.LET(_xlpm.x, _xlfn.XLOOKUP(B97,Sheet1!BF:BF,Sheet1!AD:AD,""), IF(_xlpm.x=0,"",_xlpm.x))</f>
        <v>机加车间</v>
      </c>
      <c r="F97" s="82" t="s">
        <v>2998</v>
      </c>
      <c r="G97" t="s">
        <v>2152</v>
      </c>
      <c r="H97" t="s">
        <v>9215</v>
      </c>
      <c r="I97" s="11" t="s">
        <v>9160</v>
      </c>
    </row>
    <row r="98" spans="1:9" x14ac:dyDescent="0.25">
      <c r="A98" s="11" t="s">
        <v>3404</v>
      </c>
      <c r="B98" s="5" t="s">
        <v>3409</v>
      </c>
      <c r="C98" s="82" t="s">
        <v>9229</v>
      </c>
      <c r="D98" t="str">
        <f>_xlfn.LET(_xlpm.x, _xlfn.XLOOKUP(B98,Sheet1!BF:BF,Sheet1!AF:AF,""), IF(_xlpm.x=0,"",_xlpm.x))</f>
        <v>昆明鼎承科技有限公司</v>
      </c>
      <c r="E98" s="11" t="str">
        <f>_xlfn.LET(_xlpm.x, _xlfn.XLOOKUP(B98,Sheet1!BF:BF,Sheet1!AD:AD,""), IF(_xlpm.x=0,"",_xlpm.x))</f>
        <v>检验室</v>
      </c>
      <c r="F98" s="82" t="s">
        <v>3407</v>
      </c>
      <c r="G98" t="s">
        <v>905</v>
      </c>
      <c r="H98" t="s">
        <v>9211</v>
      </c>
      <c r="I98" s="11" t="s">
        <v>9163</v>
      </c>
    </row>
    <row r="99" spans="1:9" x14ac:dyDescent="0.25">
      <c r="A99" s="11" t="s">
        <v>3370</v>
      </c>
      <c r="B99" s="5" t="s">
        <v>3374</v>
      </c>
      <c r="C99" s="82" t="s">
        <v>9229</v>
      </c>
      <c r="D99" t="str">
        <f>_xlfn.LET(_xlpm.x, _xlfn.XLOOKUP(B99,Sheet1!BF:BF,Sheet1!AF:AF,""), IF(_xlpm.x=0,"",_xlpm.x))</f>
        <v>昆明鼎承科技有限公司</v>
      </c>
      <c r="E99" s="11" t="str">
        <f>_xlfn.LET(_xlpm.x, _xlfn.XLOOKUP(B99,Sheet1!BF:BF,Sheet1!AD:AD,""), IF(_xlpm.x=0,"",_xlpm.x))</f>
        <v>机加车间</v>
      </c>
      <c r="F99" s="82" t="s">
        <v>3372</v>
      </c>
      <c r="G99" t="s">
        <v>9102</v>
      </c>
      <c r="H99" t="s">
        <v>9215</v>
      </c>
      <c r="I99" s="11" t="s">
        <v>9161</v>
      </c>
    </row>
    <row r="100" spans="1:9" x14ac:dyDescent="0.25">
      <c r="A100" s="11" t="s">
        <v>3256</v>
      </c>
      <c r="B100" s="5" t="s">
        <v>3262</v>
      </c>
      <c r="C100" s="82" t="s">
        <v>9229</v>
      </c>
      <c r="D100" t="str">
        <f>_xlfn.LET(_xlpm.x, _xlfn.XLOOKUP(B100,Sheet1!BF:BF,Sheet1!AF:AF,""), IF(_xlpm.x=0,"",_xlpm.x))</f>
        <v>昆明鼎承科技有限公司</v>
      </c>
      <c r="E100" s="11" t="str">
        <f>_xlfn.LET(_xlpm.x, _xlfn.XLOOKUP(B100,Sheet1!BF:BF,Sheet1!AD:AD,""), IF(_xlpm.x=0,"",_xlpm.x))</f>
        <v>机加车间</v>
      </c>
      <c r="F100" s="82" t="s">
        <v>3259</v>
      </c>
      <c r="G100" t="s">
        <v>9104</v>
      </c>
      <c r="H100" t="s">
        <v>9215</v>
      </c>
      <c r="I100" s="11" t="s">
        <v>9164</v>
      </c>
    </row>
    <row r="101" spans="1:9" x14ac:dyDescent="0.25">
      <c r="A101" s="11" t="s">
        <v>1521</v>
      </c>
      <c r="B101" s="5" t="s">
        <v>3270</v>
      </c>
      <c r="C101" s="82" t="s">
        <v>9229</v>
      </c>
      <c r="D101" t="str">
        <f>_xlfn.LET(_xlpm.x, _xlfn.XLOOKUP(B101,Sheet1!BF:BF,Sheet1!AF:AF,""), IF(_xlpm.x=0,"",_xlpm.x))</f>
        <v>昆明鼎承科技有限公司</v>
      </c>
      <c r="E101" s="11" t="str">
        <f>_xlfn.LET(_xlpm.x, _xlfn.XLOOKUP(B101,Sheet1!BF:BF,Sheet1!AD:AD,""), IF(_xlpm.x=0,"",_xlpm.x))</f>
        <v>机加车间</v>
      </c>
      <c r="F101" s="82" t="s">
        <v>3268</v>
      </c>
      <c r="G101" t="s">
        <v>9108</v>
      </c>
      <c r="H101" t="s">
        <v>9215</v>
      </c>
      <c r="I101" s="11" t="s">
        <v>9165</v>
      </c>
    </row>
    <row r="102" spans="1:9" x14ac:dyDescent="0.25">
      <c r="A102" s="11" t="s">
        <v>3433</v>
      </c>
      <c r="B102" s="5" t="s">
        <v>3438</v>
      </c>
      <c r="C102" s="82" t="s">
        <v>9229</v>
      </c>
      <c r="D102" t="str">
        <f>_xlfn.LET(_xlpm.x, _xlfn.XLOOKUP(B102,Sheet1!BF:BF,Sheet1!AF:AF,""), IF(_xlpm.x=0,"",_xlpm.x))</f>
        <v>昆明鼎承科技有限公司</v>
      </c>
      <c r="E102" s="11" t="str">
        <f>_xlfn.LET(_xlpm.x, _xlfn.XLOOKUP(B102,Sheet1!BF:BF,Sheet1!AD:AD,""), IF(_xlpm.x=0,"",_xlpm.x))</f>
        <v>机加车间</v>
      </c>
      <c r="F102" s="82" t="s">
        <v>3122</v>
      </c>
      <c r="G102" t="s">
        <v>9108</v>
      </c>
      <c r="H102" t="s">
        <v>9215</v>
      </c>
      <c r="I102" s="11" t="s">
        <v>9165</v>
      </c>
    </row>
    <row r="103" spans="1:9" x14ac:dyDescent="0.25">
      <c r="A103" s="11" t="s">
        <v>3195</v>
      </c>
      <c r="B103" s="5" t="s">
        <v>3198</v>
      </c>
      <c r="C103" s="82" t="s">
        <v>9229</v>
      </c>
      <c r="D103" t="str">
        <f>_xlfn.LET(_xlpm.x, _xlfn.XLOOKUP(B103,Sheet1!BF:BF,Sheet1!AF:AF,""), IF(_xlpm.x=0,"",_xlpm.x))</f>
        <v>昆明鼎承科技有限公司</v>
      </c>
      <c r="E103" s="11" t="str">
        <f>_xlfn.LET(_xlpm.x, _xlfn.XLOOKUP(B103,Sheet1!BF:BF,Sheet1!AD:AD,""), IF(_xlpm.x=0,"",_xlpm.x))</f>
        <v>机加车间</v>
      </c>
      <c r="F103" s="82" t="s">
        <v>3122</v>
      </c>
      <c r="G103" t="s">
        <v>9108</v>
      </c>
      <c r="H103" t="s">
        <v>9215</v>
      </c>
      <c r="I103" s="11" t="s">
        <v>9165</v>
      </c>
    </row>
    <row r="104" spans="1:9" x14ac:dyDescent="0.25">
      <c r="A104" s="11" t="s">
        <v>3119</v>
      </c>
      <c r="B104" s="5" t="s">
        <v>3124</v>
      </c>
      <c r="C104" s="82" t="s">
        <v>9229</v>
      </c>
      <c r="D104" t="str">
        <f>_xlfn.LET(_xlpm.x, _xlfn.XLOOKUP(B104,Sheet1!BF:BF,Sheet1!AF:AF,""), IF(_xlpm.x=0,"",_xlpm.x))</f>
        <v>昆明鼎承科技有限公司</v>
      </c>
      <c r="E104" s="11" t="str">
        <f>_xlfn.LET(_xlpm.x, _xlfn.XLOOKUP(B104,Sheet1!BF:BF,Sheet1!AD:AD,""), IF(_xlpm.x=0,"",_xlpm.x))</f>
        <v>机加车间</v>
      </c>
      <c r="F104" s="82" t="s">
        <v>3122</v>
      </c>
      <c r="G104" t="s">
        <v>9108</v>
      </c>
      <c r="H104" t="s">
        <v>9215</v>
      </c>
      <c r="I104" s="11" t="s">
        <v>9165</v>
      </c>
    </row>
    <row r="105" spans="1:9" x14ac:dyDescent="0.25">
      <c r="A105" s="11" t="s">
        <v>3304</v>
      </c>
      <c r="B105" s="5" t="s">
        <v>3308</v>
      </c>
      <c r="C105" s="82" t="s">
        <v>9229</v>
      </c>
      <c r="D105" t="str">
        <f>_xlfn.LET(_xlpm.x, _xlfn.XLOOKUP(B105,Sheet1!BF:BF,Sheet1!AF:AF,""), IF(_xlpm.x=0,"",_xlpm.x))</f>
        <v>昆明鼎承科技有限公司</v>
      </c>
      <c r="E105" s="11" t="str">
        <f>_xlfn.LET(_xlpm.x, _xlfn.XLOOKUP(B105,Sheet1!BF:BF,Sheet1!AD:AD,""), IF(_xlpm.x=0,"",_xlpm.x))</f>
        <v>机加车间</v>
      </c>
      <c r="F105" s="82" t="s">
        <v>3306</v>
      </c>
      <c r="G105" t="s">
        <v>2152</v>
      </c>
      <c r="H105" t="s">
        <v>9215</v>
      </c>
      <c r="I105" s="11" t="s">
        <v>9160</v>
      </c>
    </row>
    <row r="106" spans="1:9" x14ac:dyDescent="0.25">
      <c r="A106" s="11" t="s">
        <v>3152</v>
      </c>
      <c r="B106" s="5" t="s">
        <v>3157</v>
      </c>
      <c r="C106" s="82" t="s">
        <v>9229</v>
      </c>
      <c r="D106" t="str">
        <f>_xlfn.LET(_xlpm.x, _xlfn.XLOOKUP(B106,Sheet1!BF:BF,Sheet1!AF:AF,""), IF(_xlpm.x=0,"",_xlpm.x))</f>
        <v>昆明鼎承科技有限公司</v>
      </c>
      <c r="E106" s="11" t="str">
        <f>_xlfn.LET(_xlpm.x, _xlfn.XLOOKUP(B106,Sheet1!BF:BF,Sheet1!AD:AD,""), IF(_xlpm.x=0,"",_xlpm.x))</f>
        <v>机加车间</v>
      </c>
      <c r="F106" s="82" t="s">
        <v>3155</v>
      </c>
      <c r="G106" t="s">
        <v>9108</v>
      </c>
      <c r="H106" t="s">
        <v>9215</v>
      </c>
      <c r="I106" s="11" t="s">
        <v>9165</v>
      </c>
    </row>
    <row r="107" spans="1:9" x14ac:dyDescent="0.25">
      <c r="A107" s="11" t="s">
        <v>3162</v>
      </c>
      <c r="B107" s="5" t="s">
        <v>3166</v>
      </c>
      <c r="C107" s="82" t="s">
        <v>9229</v>
      </c>
      <c r="D107" t="str">
        <f>_xlfn.LET(_xlpm.x, _xlfn.XLOOKUP(B107,Sheet1!BF:BF,Sheet1!AF:AF,""), IF(_xlpm.x=0,"",_xlpm.x))</f>
        <v>昆明鼎承科技有限公司</v>
      </c>
      <c r="E107" s="11" t="str">
        <f>_xlfn.LET(_xlpm.x, _xlfn.XLOOKUP(B107,Sheet1!BF:BF,Sheet1!AD:AD,""), IF(_xlpm.x=0,"",_xlpm.x))</f>
        <v>机加车间</v>
      </c>
      <c r="F107" s="82" t="s">
        <v>2900</v>
      </c>
      <c r="G107" t="s">
        <v>9106</v>
      </c>
      <c r="H107" t="s">
        <v>9215</v>
      </c>
      <c r="I107" s="11" t="s">
        <v>9158</v>
      </c>
    </row>
    <row r="108" spans="1:9" x14ac:dyDescent="0.25">
      <c r="A108" s="11" t="s">
        <v>2836</v>
      </c>
      <c r="B108" s="5" t="s">
        <v>2841</v>
      </c>
      <c r="C108" s="82" t="s">
        <v>9229</v>
      </c>
      <c r="D108" t="str">
        <f>_xlfn.LET(_xlpm.x, _xlfn.XLOOKUP(B108,Sheet1!BF:BF,Sheet1!AF:AF,""), IF(_xlpm.x=0,"",_xlpm.x))</f>
        <v>昆明鼎承科技有限公司</v>
      </c>
      <c r="E108" s="11" t="str">
        <f>_xlfn.LET(_xlpm.x, _xlfn.XLOOKUP(B108,Sheet1!BF:BF,Sheet1!AD:AD,""), IF(_xlpm.x=0,"",_xlpm.x))</f>
        <v>机加车间</v>
      </c>
      <c r="F108" s="82" t="s">
        <v>2839</v>
      </c>
      <c r="G108" t="s">
        <v>9106</v>
      </c>
      <c r="H108" t="s">
        <v>9215</v>
      </c>
      <c r="I108" s="11" t="s">
        <v>9158</v>
      </c>
    </row>
    <row r="109" spans="1:9" x14ac:dyDescent="0.25">
      <c r="A109" s="11" t="s">
        <v>2826</v>
      </c>
      <c r="B109" s="5" t="s">
        <v>2830</v>
      </c>
      <c r="C109" s="82" t="s">
        <v>9229</v>
      </c>
      <c r="D109" t="str">
        <f>_xlfn.LET(_xlpm.x, _xlfn.XLOOKUP(B109,Sheet1!BF:BF,Sheet1!AF:AF,""), IF(_xlpm.x=0,"",_xlpm.x))</f>
        <v>昆明鼎承科技有限公司</v>
      </c>
      <c r="E109" s="11" t="str">
        <f>_xlfn.LET(_xlpm.x, _xlfn.XLOOKUP(B109,Sheet1!BF:BF,Sheet1!AD:AD,""), IF(_xlpm.x=0,"",_xlpm.x))</f>
        <v>机加车间</v>
      </c>
      <c r="F109" s="82" t="s">
        <v>1285</v>
      </c>
      <c r="G109" t="s">
        <v>9102</v>
      </c>
      <c r="H109" t="s">
        <v>9215</v>
      </c>
      <c r="I109" s="11" t="s">
        <v>9161</v>
      </c>
    </row>
    <row r="110" spans="1:9" x14ac:dyDescent="0.25">
      <c r="A110" s="11" t="s">
        <v>3380</v>
      </c>
      <c r="B110" s="5" t="s">
        <v>3384</v>
      </c>
      <c r="C110" s="82" t="s">
        <v>9229</v>
      </c>
      <c r="D110" t="str">
        <f>_xlfn.LET(_xlpm.x, _xlfn.XLOOKUP(B110,Sheet1!BF:BF,Sheet1!AF:AF,""), IF(_xlpm.x=0,"",_xlpm.x))</f>
        <v>昆明鼎承科技有限公司</v>
      </c>
      <c r="E110" s="11" t="str">
        <f>_xlfn.LET(_xlpm.x, _xlfn.XLOOKUP(B110,Sheet1!BF:BF,Sheet1!AD:AD,""), IF(_xlpm.x=0,"",_xlpm.x))</f>
        <v>机加车间</v>
      </c>
      <c r="F110" s="82" t="s">
        <v>2900</v>
      </c>
      <c r="G110" t="s">
        <v>9110</v>
      </c>
      <c r="H110" t="s">
        <v>9215</v>
      </c>
      <c r="I110" s="11" t="s">
        <v>9166</v>
      </c>
    </row>
    <row r="111" spans="1:9" x14ac:dyDescent="0.25">
      <c r="A111" s="11" t="s">
        <v>3413</v>
      </c>
      <c r="B111" s="5" t="s">
        <v>3417</v>
      </c>
      <c r="C111" s="82" t="s">
        <v>9229</v>
      </c>
      <c r="D111" t="str">
        <f>_xlfn.LET(_xlpm.x, _xlfn.XLOOKUP(B111,Sheet1!BF:BF,Sheet1!AF:AF,""), IF(_xlpm.x=0,"",_xlpm.x))</f>
        <v>昆明鼎承科技有限公司</v>
      </c>
      <c r="E111" s="11" t="str">
        <f>_xlfn.LET(_xlpm.x, _xlfn.XLOOKUP(B111,Sheet1!BF:BF,Sheet1!AD:AD,""), IF(_xlpm.x=0,"",_xlpm.x))</f>
        <v>机加车间</v>
      </c>
      <c r="F111" s="82" t="s">
        <v>574</v>
      </c>
      <c r="G111" t="s">
        <v>9108</v>
      </c>
      <c r="H111" t="s">
        <v>9215</v>
      </c>
      <c r="I111" s="11" t="s">
        <v>9165</v>
      </c>
    </row>
    <row r="112" spans="1:9" x14ac:dyDescent="0.25">
      <c r="A112" s="11" t="s">
        <v>3056</v>
      </c>
      <c r="B112" s="5" t="s">
        <v>3062</v>
      </c>
      <c r="C112" s="82" t="s">
        <v>9229</v>
      </c>
      <c r="D112" t="str">
        <f>_xlfn.LET(_xlpm.x, _xlfn.XLOOKUP(B112,Sheet1!BF:BF,Sheet1!AF:AF,""), IF(_xlpm.x=0,"",_xlpm.x))</f>
        <v>昆明鼎承科技有限公司</v>
      </c>
      <c r="E112" s="11" t="str">
        <f>_xlfn.LET(_xlpm.x, _xlfn.XLOOKUP(B112,Sheet1!BF:BF,Sheet1!AD:AD,""), IF(_xlpm.x=0,"",_xlpm.x))</f>
        <v>机加车间</v>
      </c>
      <c r="F112" s="82" t="s">
        <v>574</v>
      </c>
      <c r="G112" t="s">
        <v>9106</v>
      </c>
      <c r="H112" t="s">
        <v>9215</v>
      </c>
      <c r="I112" s="11" t="s">
        <v>9158</v>
      </c>
    </row>
    <row r="113" spans="1:9" x14ac:dyDescent="0.25">
      <c r="A113" s="11" t="s">
        <v>3318</v>
      </c>
      <c r="B113" s="5" t="s">
        <v>3321</v>
      </c>
      <c r="C113" s="82" t="s">
        <v>9229</v>
      </c>
      <c r="D113" t="str">
        <f>_xlfn.LET(_xlpm.x, _xlfn.XLOOKUP(B113,Sheet1!BF:BF,Sheet1!AF:AF,""), IF(_xlpm.x=0,"",_xlpm.x))</f>
        <v>昆明鼎承科技有限公司</v>
      </c>
      <c r="E113" s="11" t="str">
        <f>_xlfn.LET(_xlpm.x, _xlfn.XLOOKUP(B113,Sheet1!BF:BF,Sheet1!AD:AD,""), IF(_xlpm.x=0,"",_xlpm.x))</f>
        <v>机加车间</v>
      </c>
      <c r="F113" s="82" t="s">
        <v>574</v>
      </c>
      <c r="G113" t="s">
        <v>9104</v>
      </c>
      <c r="H113" t="s">
        <v>9215</v>
      </c>
      <c r="I113" s="11" t="s">
        <v>9164</v>
      </c>
    </row>
    <row r="114" spans="1:9" x14ac:dyDescent="0.25">
      <c r="A114" s="11" t="s">
        <v>3365</v>
      </c>
      <c r="B114" s="5" t="s">
        <v>3368</v>
      </c>
      <c r="C114" s="82" t="s">
        <v>9229</v>
      </c>
      <c r="D114" t="str">
        <f>_xlfn.LET(_xlpm.x, _xlfn.XLOOKUP(B114,Sheet1!BF:BF,Sheet1!AF:AF,""), IF(_xlpm.x=0,"",_xlpm.x))</f>
        <v>昆明鼎承科技有限公司</v>
      </c>
      <c r="E114" s="11" t="str">
        <f>_xlfn.LET(_xlpm.x, _xlfn.XLOOKUP(B114,Sheet1!BF:BF,Sheet1!AD:AD,""), IF(_xlpm.x=0,"",_xlpm.x))</f>
        <v>机加车间</v>
      </c>
      <c r="F114" s="82" t="s">
        <v>574</v>
      </c>
      <c r="G114" t="s">
        <v>9101</v>
      </c>
      <c r="H114" t="s">
        <v>9215</v>
      </c>
      <c r="I114" s="11" t="s">
        <v>9167</v>
      </c>
    </row>
    <row r="115" spans="1:9" x14ac:dyDescent="0.25">
      <c r="A115" s="11" t="s">
        <v>3294</v>
      </c>
      <c r="B115" s="5" t="s">
        <v>3298</v>
      </c>
      <c r="C115" s="82" t="s">
        <v>9229</v>
      </c>
      <c r="D115" t="str">
        <f>_xlfn.LET(_xlpm.x, _xlfn.XLOOKUP(B115,Sheet1!BF:BF,Sheet1!AF:AF,""), IF(_xlpm.x=0,"",_xlpm.x))</f>
        <v>昆明鼎承科技有限公司</v>
      </c>
      <c r="E115" s="11" t="str">
        <f>_xlfn.LET(_xlpm.x, _xlfn.XLOOKUP(B115,Sheet1!BF:BF,Sheet1!AD:AD,""), IF(_xlpm.x=0,"",_xlpm.x))</f>
        <v>机加车间</v>
      </c>
      <c r="F115" s="82" t="s">
        <v>3296</v>
      </c>
      <c r="G115" t="s">
        <v>905</v>
      </c>
      <c r="H115" t="s">
        <v>9215</v>
      </c>
      <c r="I115" s="11" t="s">
        <v>9168</v>
      </c>
    </row>
    <row r="116" spans="1:9" x14ac:dyDescent="0.25">
      <c r="A116" s="11" t="s">
        <v>3209</v>
      </c>
      <c r="B116" s="5" t="s">
        <v>3213</v>
      </c>
      <c r="C116" s="82" t="s">
        <v>9226</v>
      </c>
      <c r="D116" t="str">
        <f>_xlfn.LET(_xlpm.x, _xlfn.XLOOKUP(B116,Sheet1!BF:BF,Sheet1!AF:AF,""), IF(_xlpm.x=0,"",_xlpm.x))</f>
        <v>昆明鑫晟源科技有限公司</v>
      </c>
      <c r="E116" s="11" t="str">
        <f>_xlfn.LET(_xlpm.x, _xlfn.XLOOKUP(B116,Sheet1!BF:BF,Sheet1!AD:AD,""), IF(_xlpm.x=0,"",_xlpm.x))</f>
        <v>安调中心</v>
      </c>
      <c r="F116" s="82" t="s">
        <v>3211</v>
      </c>
      <c r="G116" t="s">
        <v>58</v>
      </c>
      <c r="H116" t="s">
        <v>9207</v>
      </c>
      <c r="I116" s="11" t="s">
        <v>9159</v>
      </c>
    </row>
    <row r="117" spans="1:9" x14ac:dyDescent="0.25">
      <c r="A117" s="11" t="s">
        <v>3185</v>
      </c>
      <c r="B117" s="5" t="s">
        <v>3188</v>
      </c>
      <c r="C117" s="82" t="s">
        <v>9229</v>
      </c>
      <c r="D117" t="str">
        <f>_xlfn.LET(_xlpm.x, _xlfn.XLOOKUP(B117,Sheet1!BF:BF,Sheet1!AF:AF,""), IF(_xlpm.x=0,"",_xlpm.x))</f>
        <v>昆明鼎承科技有限公司</v>
      </c>
      <c r="E117" s="11" t="str">
        <f>_xlfn.LET(_xlpm.x, _xlfn.XLOOKUP(B117,Sheet1!BF:BF,Sheet1!AD:AD,""), IF(_xlpm.x=0,"",_xlpm.x))</f>
        <v>机加车间</v>
      </c>
      <c r="F117" s="82" t="s">
        <v>1248</v>
      </c>
      <c r="G117" t="s">
        <v>61</v>
      </c>
      <c r="H117" t="s">
        <v>9215</v>
      </c>
      <c r="I117" s="11" t="s">
        <v>9169</v>
      </c>
    </row>
    <row r="118" spans="1:9" x14ac:dyDescent="0.25">
      <c r="A118" s="11" t="s">
        <v>3081</v>
      </c>
      <c r="B118" s="5" t="s">
        <v>3085</v>
      </c>
      <c r="C118" s="82" t="s">
        <v>9229</v>
      </c>
      <c r="D118" t="str">
        <f>_xlfn.LET(_xlpm.x, _xlfn.XLOOKUP(B118,Sheet1!BF:BF,Sheet1!AF:AF,""), IF(_xlpm.x=0,"",_xlpm.x))</f>
        <v>昆明鼎承科技有限公司</v>
      </c>
      <c r="E118" s="11" t="str">
        <f>_xlfn.LET(_xlpm.x, _xlfn.XLOOKUP(B118,Sheet1!BF:BF,Sheet1!AD:AD,""), IF(_xlpm.x=0,"",_xlpm.x))</f>
        <v>机加车间</v>
      </c>
      <c r="F118" s="82" t="s">
        <v>3083</v>
      </c>
      <c r="G118" t="s">
        <v>61</v>
      </c>
      <c r="H118" t="s">
        <v>9215</v>
      </c>
      <c r="I118" s="11" t="s">
        <v>9169</v>
      </c>
    </row>
    <row r="119" spans="1:9" x14ac:dyDescent="0.25">
      <c r="A119" s="11" t="s">
        <v>2710</v>
      </c>
      <c r="B119" s="5" t="s">
        <v>2713</v>
      </c>
      <c r="C119" s="82" t="s">
        <v>9225</v>
      </c>
      <c r="D119" t="str">
        <f>_xlfn.LET(_xlpm.x, _xlfn.XLOOKUP(B119,Sheet1!BF:BF,Sheet1!AF:AF,""), IF(_xlpm.x=0,"",_xlpm.x))</f>
        <v>昆明鼎承科技有限公司</v>
      </c>
      <c r="E119" s="11" t="str">
        <f>_xlfn.LET(_xlpm.x, _xlfn.XLOOKUP(B119,Sheet1!BF:BF,Sheet1!AD:AD,""), IF(_xlpm.x=0,"",_xlpm.x))</f>
        <v>营销部</v>
      </c>
      <c r="F119" s="82" t="s">
        <v>997</v>
      </c>
      <c r="G119" t="s">
        <v>58</v>
      </c>
      <c r="H119" t="s">
        <v>9212</v>
      </c>
      <c r="I119" s="11" t="s">
        <v>9170</v>
      </c>
    </row>
    <row r="120" spans="1:9" x14ac:dyDescent="0.25">
      <c r="A120" s="11" t="s">
        <v>2684</v>
      </c>
      <c r="B120" s="5" t="s">
        <v>2688</v>
      </c>
      <c r="C120" s="82" t="s">
        <v>9229</v>
      </c>
      <c r="D120" t="str">
        <f>_xlfn.LET(_xlpm.x, _xlfn.XLOOKUP(B120,Sheet1!BF:BF,Sheet1!AF:AF,""), IF(_xlpm.x=0,"",_xlpm.x))</f>
        <v>昆明鼎承科技有限公司</v>
      </c>
      <c r="E120" s="11" t="str">
        <f>_xlfn.LET(_xlpm.x, _xlfn.XLOOKUP(B120,Sheet1!BF:BF,Sheet1!AD:AD,""), IF(_xlpm.x=0,"",_xlpm.x))</f>
        <v>机加车间</v>
      </c>
      <c r="F120" s="82" t="s">
        <v>2686</v>
      </c>
      <c r="G120" t="s">
        <v>2152</v>
      </c>
      <c r="H120" t="s">
        <v>9215</v>
      </c>
      <c r="I120" s="11" t="s">
        <v>9160</v>
      </c>
    </row>
    <row r="121" spans="1:9" x14ac:dyDescent="0.25">
      <c r="A121" s="11" t="s">
        <v>2750</v>
      </c>
      <c r="B121" s="5" t="s">
        <v>2754</v>
      </c>
      <c r="C121" s="82" t="s">
        <v>9227</v>
      </c>
      <c r="D121" t="str">
        <f>_xlfn.LET(_xlpm.x, _xlfn.XLOOKUP(B121,Sheet1!BF:BF,Sheet1!AF:AF,""), IF(_xlpm.x=0,"",_xlpm.x))</f>
        <v>昆明三行智造科技有限公司</v>
      </c>
      <c r="E121" s="11" t="str">
        <f>_xlfn.LET(_xlpm.x, _xlfn.XLOOKUP(B121,Sheet1!BF:BF,Sheet1!AD:AD,""), IF(_xlpm.x=0,"",_xlpm.x))</f>
        <v>交付业务部</v>
      </c>
      <c r="F121" s="82" t="s">
        <v>565</v>
      </c>
      <c r="G121" t="s">
        <v>905</v>
      </c>
      <c r="H121" t="s">
        <v>9207</v>
      </c>
      <c r="I121" s="11" t="s">
        <v>9153</v>
      </c>
    </row>
    <row r="122" spans="1:9" x14ac:dyDescent="0.25">
      <c r="A122" s="11" t="s">
        <v>2862</v>
      </c>
      <c r="B122" s="5" t="s">
        <v>2867</v>
      </c>
      <c r="C122" s="82" t="s">
        <v>9229</v>
      </c>
      <c r="D122" t="str">
        <f>_xlfn.LET(_xlpm.x, _xlfn.XLOOKUP(B122,Sheet1!BF:BF,Sheet1!AF:AF,""), IF(_xlpm.x=0,"",_xlpm.x))</f>
        <v>昆明鼎承科技有限公司</v>
      </c>
      <c r="E122" s="11" t="str">
        <f>_xlfn.LET(_xlpm.x, _xlfn.XLOOKUP(B122,Sheet1!BF:BF,Sheet1!AD:AD,""), IF(_xlpm.x=0,"",_xlpm.x))</f>
        <v>机加车间</v>
      </c>
      <c r="F122" s="82" t="s">
        <v>2865</v>
      </c>
      <c r="G122" t="s">
        <v>9106</v>
      </c>
      <c r="H122" t="s">
        <v>9215</v>
      </c>
      <c r="I122" s="11" t="s">
        <v>9158</v>
      </c>
    </row>
    <row r="123" spans="1:9" x14ac:dyDescent="0.25">
      <c r="A123" s="11" t="s">
        <v>2852</v>
      </c>
      <c r="B123" s="5" t="s">
        <v>2856</v>
      </c>
      <c r="C123" s="82" t="s">
        <v>9229</v>
      </c>
      <c r="D123" t="str">
        <f>_xlfn.LET(_xlpm.x, _xlfn.XLOOKUP(B123,Sheet1!BF:BF,Sheet1!AF:AF,""), IF(_xlpm.x=0,"",_xlpm.x))</f>
        <v>昆明鼎承科技有限公司</v>
      </c>
      <c r="E123" s="11" t="str">
        <f>_xlfn.LET(_xlpm.x, _xlfn.XLOOKUP(B123,Sheet1!BF:BF,Sheet1!AD:AD,""), IF(_xlpm.x=0,"",_xlpm.x))</f>
        <v>机加车间</v>
      </c>
      <c r="F123" s="82" t="s">
        <v>574</v>
      </c>
      <c r="G123" t="s">
        <v>9106</v>
      </c>
      <c r="H123" t="s">
        <v>9215</v>
      </c>
      <c r="I123" s="11" t="s">
        <v>9158</v>
      </c>
    </row>
    <row r="124" spans="1:9" x14ac:dyDescent="0.25">
      <c r="A124" s="11" t="s">
        <v>2571</v>
      </c>
      <c r="B124" s="5" t="s">
        <v>2575</v>
      </c>
      <c r="C124" s="82" t="s">
        <v>9229</v>
      </c>
      <c r="D124" t="str">
        <f>_xlfn.LET(_xlpm.x, _xlfn.XLOOKUP(B124,Sheet1!BF:BF,Sheet1!AF:AF,""), IF(_xlpm.x=0,"",_xlpm.x))</f>
        <v>昆明鼎承科技有限公司</v>
      </c>
      <c r="E124" s="11" t="str">
        <f>_xlfn.LET(_xlpm.x, _xlfn.XLOOKUP(B124,Sheet1!BF:BF,Sheet1!AD:AD,""), IF(_xlpm.x=0,"",_xlpm.x))</f>
        <v>机加车间</v>
      </c>
      <c r="F124" s="82" t="s">
        <v>2573</v>
      </c>
      <c r="G124" t="s">
        <v>9106</v>
      </c>
      <c r="H124" t="s">
        <v>9215</v>
      </c>
      <c r="I124" s="11" t="s">
        <v>9158</v>
      </c>
    </row>
    <row r="125" spans="1:9" x14ac:dyDescent="0.25">
      <c r="A125" s="11" t="s">
        <v>2679</v>
      </c>
      <c r="B125" s="5" t="s">
        <v>2682</v>
      </c>
      <c r="C125" s="82" t="s">
        <v>9229</v>
      </c>
      <c r="D125" t="str">
        <f>_xlfn.LET(_xlpm.x, _xlfn.XLOOKUP(B125,Sheet1!BF:BF,Sheet1!AF:AF,""), IF(_xlpm.x=0,"",_xlpm.x))</f>
        <v>昆明鼎承科技有限公司</v>
      </c>
      <c r="E125" s="11" t="str">
        <f>_xlfn.LET(_xlpm.x, _xlfn.XLOOKUP(B125,Sheet1!BF:BF,Sheet1!AD:AD,""), IF(_xlpm.x=0,"",_xlpm.x))</f>
        <v>机加车间</v>
      </c>
      <c r="F125" s="82" t="s">
        <v>574</v>
      </c>
      <c r="G125" t="s">
        <v>2152</v>
      </c>
      <c r="H125" t="s">
        <v>9215</v>
      </c>
      <c r="I125" s="11" t="s">
        <v>9160</v>
      </c>
    </row>
    <row r="126" spans="1:9" x14ac:dyDescent="0.25">
      <c r="A126" s="11" t="s">
        <v>2790</v>
      </c>
      <c r="B126" s="5" t="s">
        <v>2795</v>
      </c>
      <c r="C126" s="82" t="s">
        <v>9229</v>
      </c>
      <c r="D126" t="str">
        <f>_xlfn.LET(_xlpm.x, _xlfn.XLOOKUP(B126,Sheet1!BF:BF,Sheet1!AF:AF,""), IF(_xlpm.x=0,"",_xlpm.x))</f>
        <v>昆明鼎承科技有限公司</v>
      </c>
      <c r="E126" s="11" t="str">
        <f>_xlfn.LET(_xlpm.x, _xlfn.XLOOKUP(B126,Sheet1!BF:BF,Sheet1!AD:AD,""), IF(_xlpm.x=0,"",_xlpm.x))</f>
        <v>机加车间</v>
      </c>
      <c r="F126" s="82" t="s">
        <v>2793</v>
      </c>
      <c r="G126" t="s">
        <v>61</v>
      </c>
      <c r="H126" t="s">
        <v>9215</v>
      </c>
      <c r="I126" s="11" t="s">
        <v>9169</v>
      </c>
    </row>
    <row r="127" spans="1:9" x14ac:dyDescent="0.25">
      <c r="A127" s="11" t="s">
        <v>2656</v>
      </c>
      <c r="B127" s="5" t="s">
        <v>2659</v>
      </c>
      <c r="C127" s="82" t="s">
        <v>9229</v>
      </c>
      <c r="D127" t="str">
        <f>_xlfn.LET(_xlpm.x, _xlfn.XLOOKUP(B127,Sheet1!BF:BF,Sheet1!AF:AF,""), IF(_xlpm.x=0,"",_xlpm.x))</f>
        <v>昆明鼎承科技有限公司</v>
      </c>
      <c r="E127" s="11" t="str">
        <f>_xlfn.LET(_xlpm.x, _xlfn.XLOOKUP(B127,Sheet1!BF:BF,Sheet1!AD:AD,""), IF(_xlpm.x=0,"",_xlpm.x))</f>
        <v>机加车间</v>
      </c>
      <c r="F127" s="82" t="s">
        <v>574</v>
      </c>
      <c r="G127" t="s">
        <v>2152</v>
      </c>
      <c r="H127" t="s">
        <v>9215</v>
      </c>
      <c r="I127" s="11" t="s">
        <v>9160</v>
      </c>
    </row>
    <row r="128" spans="1:9" x14ac:dyDescent="0.25">
      <c r="A128" s="11" t="s">
        <v>2458</v>
      </c>
      <c r="B128" s="5" t="s">
        <v>2462</v>
      </c>
      <c r="C128" s="82" t="s">
        <v>9229</v>
      </c>
      <c r="D128" t="str">
        <f>_xlfn.LET(_xlpm.x, _xlfn.XLOOKUP(B128,Sheet1!BF:BF,Sheet1!AF:AF,""), IF(_xlpm.x=0,"",_xlpm.x))</f>
        <v>昆明鼎承科技有限公司</v>
      </c>
      <c r="E128" s="11" t="str">
        <f>_xlfn.LET(_xlpm.x, _xlfn.XLOOKUP(B128,Sheet1!BF:BF,Sheet1!AD:AD,""), IF(_xlpm.x=0,"",_xlpm.x))</f>
        <v>机加车间</v>
      </c>
      <c r="F128" s="82" t="s">
        <v>574</v>
      </c>
      <c r="G128" t="s">
        <v>2152</v>
      </c>
      <c r="H128" t="s">
        <v>9215</v>
      </c>
      <c r="I128" s="11" t="s">
        <v>9160</v>
      </c>
    </row>
    <row r="129" spans="1:9" x14ac:dyDescent="0.25">
      <c r="A129" s="11" t="s">
        <v>2620</v>
      </c>
      <c r="B129" s="5" t="s">
        <v>2626</v>
      </c>
      <c r="C129" s="82" t="s">
        <v>9229</v>
      </c>
      <c r="D129" t="str">
        <f>_xlfn.LET(_xlpm.x, _xlfn.XLOOKUP(B129,Sheet1!BF:BF,Sheet1!AF:AF,""), IF(_xlpm.x=0,"",_xlpm.x))</f>
        <v>昆明鼎承科技有限公司</v>
      </c>
      <c r="E129" s="11" t="str">
        <f>_xlfn.LET(_xlpm.x, _xlfn.XLOOKUP(B129,Sheet1!BF:BF,Sheet1!AD:AD,""), IF(_xlpm.x=0,"",_xlpm.x))</f>
        <v>机加车间</v>
      </c>
      <c r="F129" s="82" t="s">
        <v>2624</v>
      </c>
      <c r="G129" t="s">
        <v>9108</v>
      </c>
      <c r="H129" t="s">
        <v>9215</v>
      </c>
      <c r="I129" s="11" t="s">
        <v>9165</v>
      </c>
    </row>
    <row r="130" spans="1:9" x14ac:dyDescent="0.25">
      <c r="A130" s="11" t="s">
        <v>3238</v>
      </c>
      <c r="B130" s="5" t="s">
        <v>3241</v>
      </c>
      <c r="C130" s="82" t="s">
        <v>9229</v>
      </c>
      <c r="D130" t="str">
        <f>_xlfn.LET(_xlpm.x, _xlfn.XLOOKUP(B130,Sheet1!BF:BF,Sheet1!AF:AF,""), IF(_xlpm.x=0,"",_xlpm.x))</f>
        <v>昆明鼎承科技有限公司</v>
      </c>
      <c r="E130" s="11" t="str">
        <f>_xlfn.LET(_xlpm.x, _xlfn.XLOOKUP(B130,Sheet1!BF:BF,Sheet1!AD:AD,""), IF(_xlpm.x=0,"",_xlpm.x))</f>
        <v>机加车间</v>
      </c>
      <c r="F130" s="82" t="s">
        <v>1248</v>
      </c>
      <c r="G130" t="s">
        <v>63</v>
      </c>
      <c r="H130" t="s">
        <v>9215</v>
      </c>
      <c r="I130" s="11" t="s">
        <v>9171</v>
      </c>
    </row>
    <row r="131" spans="1:9" x14ac:dyDescent="0.25">
      <c r="A131" s="11" t="s">
        <v>2582</v>
      </c>
      <c r="B131" s="5" t="s">
        <v>2586</v>
      </c>
      <c r="C131" s="82" t="s">
        <v>9229</v>
      </c>
      <c r="D131" t="str">
        <f>_xlfn.LET(_xlpm.x, _xlfn.XLOOKUP(B131,Sheet1!BF:BF,Sheet1!AF:AF,""), IF(_xlpm.x=0,"",_xlpm.x))</f>
        <v>昆明鼎承科技有限公司</v>
      </c>
      <c r="E131" s="11" t="str">
        <f>_xlfn.LET(_xlpm.x, _xlfn.XLOOKUP(B131,Sheet1!BF:BF,Sheet1!AD:AD,""), IF(_xlpm.x=0,"",_xlpm.x))</f>
        <v>机加车间</v>
      </c>
      <c r="F131" s="82" t="s">
        <v>2584</v>
      </c>
      <c r="G131" t="s">
        <v>63</v>
      </c>
      <c r="H131" t="s">
        <v>9215</v>
      </c>
      <c r="I131" s="11" t="s">
        <v>9171</v>
      </c>
    </row>
    <row r="132" spans="1:9" x14ac:dyDescent="0.25">
      <c r="A132" s="11" t="s">
        <v>3536</v>
      </c>
      <c r="B132" s="5" t="s">
        <v>3540</v>
      </c>
      <c r="C132" s="82" t="s">
        <v>9226</v>
      </c>
      <c r="D132" t="str">
        <f>_xlfn.LET(_xlpm.x, _xlfn.XLOOKUP(B132,Sheet1!BF:BF,Sheet1!AF:AF,""), IF(_xlpm.x=0,"",_xlpm.x))</f>
        <v>昆明鑫晟源科技有限公司</v>
      </c>
      <c r="E132" s="11" t="str">
        <f>_xlfn.LET(_xlpm.x, _xlfn.XLOOKUP(B132,Sheet1!BF:BF,Sheet1!AD:AD,""), IF(_xlpm.x=0,"",_xlpm.x))</f>
        <v>安调中心</v>
      </c>
      <c r="F132" s="82" t="s">
        <v>3538</v>
      </c>
      <c r="G132" t="s">
        <v>9101</v>
      </c>
      <c r="H132" t="s">
        <v>9211</v>
      </c>
      <c r="I132" s="11" t="s">
        <v>9118</v>
      </c>
    </row>
    <row r="133" spans="1:9" x14ac:dyDescent="0.25">
      <c r="A133" s="11" t="s">
        <v>3513</v>
      </c>
      <c r="B133" s="5" t="s">
        <v>3518</v>
      </c>
      <c r="C133" s="82" t="s">
        <v>9235</v>
      </c>
      <c r="D133" t="str">
        <f>_xlfn.LET(_xlpm.x, _xlfn.XLOOKUP(B133,Sheet1!BF:BF,Sheet1!AF:AF,""), IF(_xlpm.x=0,"",_xlpm.x))</f>
        <v>昆明鑫晟源科技有限公司</v>
      </c>
      <c r="E133" s="11" t="str">
        <f>_xlfn.LET(_xlpm.x, _xlfn.XLOOKUP(B133,Sheet1!BF:BF,Sheet1!AD:AD,""), IF(_xlpm.x=0,"",_xlpm.x))</f>
        <v>安调中心</v>
      </c>
      <c r="F133" s="82" t="s">
        <v>3516</v>
      </c>
      <c r="G133" t="s">
        <v>9102</v>
      </c>
      <c r="H133" t="s">
        <v>9213</v>
      </c>
      <c r="I133" s="11" t="s">
        <v>9172</v>
      </c>
    </row>
    <row r="134" spans="1:9" x14ac:dyDescent="0.25">
      <c r="A134" s="11" t="s">
        <v>3562</v>
      </c>
      <c r="B134" s="5" t="s">
        <v>3566</v>
      </c>
      <c r="C134" s="82" t="s">
        <v>9228</v>
      </c>
      <c r="D134" t="str">
        <f>_xlfn.LET(_xlpm.x, _xlfn.XLOOKUP(B134,Sheet1!BF:BF,Sheet1!AF:AF,""), IF(_xlpm.x=0,"",_xlpm.x))</f>
        <v>昆明鼎承科技有限公司</v>
      </c>
      <c r="E134" s="11" t="str">
        <f>_xlfn.LET(_xlpm.x, _xlfn.XLOOKUP(B134,Sheet1!BF:BF,Sheet1!AD:AD,""), IF(_xlpm.x=0,"",_xlpm.x))</f>
        <v>企业管理部</v>
      </c>
      <c r="F134" s="82" t="s">
        <v>551</v>
      </c>
      <c r="G134" t="s">
        <v>2152</v>
      </c>
      <c r="H134" t="s">
        <v>9213</v>
      </c>
      <c r="I134" s="11" t="s">
        <v>9152</v>
      </c>
    </row>
    <row r="135" spans="1:9" x14ac:dyDescent="0.25">
      <c r="A135" s="11" t="s">
        <v>3473</v>
      </c>
      <c r="B135" s="5" t="s">
        <v>3477</v>
      </c>
      <c r="C135" s="82" t="s">
        <v>9226</v>
      </c>
      <c r="D135" t="str">
        <f>_xlfn.LET(_xlpm.x, _xlfn.XLOOKUP(B135,Sheet1!BF:BF,Sheet1!AF:AF,""), IF(_xlpm.x=0,"",_xlpm.x))</f>
        <v>昆明鑫晟源科技有限公司</v>
      </c>
      <c r="E135" s="11" t="str">
        <f>_xlfn.LET(_xlpm.x, _xlfn.XLOOKUP(B135,Sheet1!BF:BF,Sheet1!AD:AD,""), IF(_xlpm.x=0,"",_xlpm.x))</f>
        <v>安调中心</v>
      </c>
      <c r="F135" s="82" t="s">
        <v>551</v>
      </c>
      <c r="G135" t="s">
        <v>58</v>
      </c>
      <c r="H135" t="s">
        <v>9207</v>
      </c>
      <c r="I135" s="11" t="s">
        <v>9159</v>
      </c>
    </row>
    <row r="136" spans="1:9" x14ac:dyDescent="0.25">
      <c r="A136" s="11" t="s">
        <v>3395</v>
      </c>
      <c r="B136" s="5" t="s">
        <v>3398</v>
      </c>
      <c r="C136" s="82" t="s">
        <v>9226</v>
      </c>
      <c r="D136" t="str">
        <f>_xlfn.LET(_xlpm.x, _xlfn.XLOOKUP(B136,Sheet1!BF:BF,Sheet1!AF:AF,""), IF(_xlpm.x=0,"",_xlpm.x))</f>
        <v>昆明鑫晟源科技有限公司</v>
      </c>
      <c r="E136" s="11" t="str">
        <f>_xlfn.LET(_xlpm.x, _xlfn.XLOOKUP(B136,Sheet1!BF:BF,Sheet1!AD:AD,""), IF(_xlpm.x=0,"",_xlpm.x))</f>
        <v>安调中心</v>
      </c>
      <c r="F136" s="82" t="s">
        <v>551</v>
      </c>
      <c r="G136" t="s">
        <v>58</v>
      </c>
      <c r="H136" t="s">
        <v>9207</v>
      </c>
      <c r="I136" s="11" t="s">
        <v>9159</v>
      </c>
    </row>
    <row r="137" spans="1:9" x14ac:dyDescent="0.25">
      <c r="A137" s="11" t="s">
        <v>3073</v>
      </c>
      <c r="B137" s="5" t="s">
        <v>3077</v>
      </c>
      <c r="C137" s="82" t="s">
        <v>9226</v>
      </c>
      <c r="D137" t="str">
        <f>_xlfn.LET(_xlpm.x, _xlfn.XLOOKUP(B137,Sheet1!BF:BF,Sheet1!AF:AF,""), IF(_xlpm.x=0,"",_xlpm.x))</f>
        <v>昆明鑫晟源科技有限公司</v>
      </c>
      <c r="E137" s="11" t="str">
        <f>_xlfn.LET(_xlpm.x, _xlfn.XLOOKUP(B137,Sheet1!BF:BF,Sheet1!AD:AD,""), IF(_xlpm.x=0,"",_xlpm.x))</f>
        <v>安调中心</v>
      </c>
      <c r="F137" s="82" t="s">
        <v>551</v>
      </c>
      <c r="G137" t="s">
        <v>58</v>
      </c>
      <c r="H137" t="s">
        <v>9207</v>
      </c>
      <c r="I137" s="11" t="s">
        <v>9159</v>
      </c>
    </row>
    <row r="138" spans="1:9" x14ac:dyDescent="0.25">
      <c r="A138" s="11" t="s">
        <v>2889</v>
      </c>
      <c r="B138" s="5" t="s">
        <v>2894</v>
      </c>
      <c r="C138" s="82" t="s">
        <v>9226</v>
      </c>
      <c r="D138" t="str">
        <f>_xlfn.LET(_xlpm.x, _xlfn.XLOOKUP(B138,Sheet1!BF:BF,Sheet1!AF:AF,""), IF(_xlpm.x=0,"",_xlpm.x))</f>
        <v>昆明鑫晟源科技有限公司</v>
      </c>
      <c r="E138" s="11" t="str">
        <f>_xlfn.LET(_xlpm.x, _xlfn.XLOOKUP(B138,Sheet1!BF:BF,Sheet1!AD:AD,""), IF(_xlpm.x=0,"",_xlpm.x))</f>
        <v>安调中心</v>
      </c>
      <c r="F138" s="82" t="s">
        <v>551</v>
      </c>
      <c r="G138" t="s">
        <v>9098</v>
      </c>
      <c r="H138" t="s">
        <v>9207</v>
      </c>
      <c r="I138" s="11" t="s">
        <v>9173</v>
      </c>
    </row>
    <row r="139" spans="1:9" x14ac:dyDescent="0.25">
      <c r="A139" s="11" t="s">
        <v>2926</v>
      </c>
      <c r="B139" s="5" t="s">
        <v>2930</v>
      </c>
      <c r="C139" s="82" t="s">
        <v>9225</v>
      </c>
      <c r="D139" t="str">
        <f>_xlfn.LET(_xlpm.x, _xlfn.XLOOKUP(B139,Sheet1!BF:BF,Sheet1!AF:AF,""), IF(_xlpm.x=0,"",_xlpm.x))</f>
        <v>昆明鼎承科技有限公司</v>
      </c>
      <c r="E139" s="11" t="str">
        <f>_xlfn.LET(_xlpm.x, _xlfn.XLOOKUP(B139,Sheet1!BF:BF,Sheet1!AD:AD,""), IF(_xlpm.x=0,"",_xlpm.x))</f>
        <v>营销部</v>
      </c>
      <c r="F139" s="82" t="s">
        <v>997</v>
      </c>
      <c r="G139" t="s">
        <v>905</v>
      </c>
      <c r="H139" t="s">
        <v>9212</v>
      </c>
      <c r="I139" s="11" t="s">
        <v>9174</v>
      </c>
    </row>
    <row r="140" spans="1:9" x14ac:dyDescent="0.25">
      <c r="A140" s="11" t="s">
        <v>2899</v>
      </c>
      <c r="B140" s="5" t="s">
        <v>2903</v>
      </c>
      <c r="C140" s="82" t="s">
        <v>9226</v>
      </c>
      <c r="D140" t="str">
        <f>_xlfn.LET(_xlpm.x, _xlfn.XLOOKUP(B140,Sheet1!BF:BF,Sheet1!AF:AF,""), IF(_xlpm.x=0,"",_xlpm.x))</f>
        <v>昆明鑫晟源科技有限公司</v>
      </c>
      <c r="E140" s="11" t="str">
        <f>_xlfn.LET(_xlpm.x, _xlfn.XLOOKUP(B140,Sheet1!BF:BF,Sheet1!AD:AD,""), IF(_xlpm.x=0,"",_xlpm.x))</f>
        <v>安调中心</v>
      </c>
      <c r="F140" s="82" t="s">
        <v>2072</v>
      </c>
      <c r="G140" t="s">
        <v>2152</v>
      </c>
      <c r="H140" t="s">
        <v>9207</v>
      </c>
      <c r="I140" s="11" t="s">
        <v>9175</v>
      </c>
    </row>
    <row r="141" spans="1:9" x14ac:dyDescent="0.25">
      <c r="A141" s="11" t="s">
        <v>2880</v>
      </c>
      <c r="B141" s="5" t="s">
        <v>2885</v>
      </c>
      <c r="C141" s="82" t="s">
        <v>9227</v>
      </c>
      <c r="D141" t="str">
        <f>_xlfn.LET(_xlpm.x, _xlfn.XLOOKUP(B141,Sheet1!BF:BF,Sheet1!AF:AF,""), IF(_xlpm.x=0,"",_xlpm.x))</f>
        <v>昆明三行智造科技有限公司</v>
      </c>
      <c r="E141" s="11" t="str">
        <f>_xlfn.LET(_xlpm.x, _xlfn.XLOOKUP(B141,Sheet1!BF:BF,Sheet1!AD:AD,""), IF(_xlpm.x=0,"",_xlpm.x))</f>
        <v>交付业务部</v>
      </c>
      <c r="F141" s="82" t="s">
        <v>2883</v>
      </c>
      <c r="G141" t="s">
        <v>9102</v>
      </c>
      <c r="H141" t="s">
        <v>9211</v>
      </c>
      <c r="I141" s="11" t="s">
        <v>9176</v>
      </c>
    </row>
    <row r="142" spans="1:9" x14ac:dyDescent="0.25">
      <c r="A142" s="11" t="s">
        <v>2706</v>
      </c>
      <c r="B142" s="5" t="s">
        <v>2709</v>
      </c>
      <c r="C142" s="82" t="s">
        <v>9226</v>
      </c>
      <c r="D142" t="str">
        <f>_xlfn.LET(_xlpm.x, _xlfn.XLOOKUP(B142,Sheet1!BF:BF,Sheet1!AF:AF,""), IF(_xlpm.x=0,"",_xlpm.x))</f>
        <v>昆明鑫晟源科技有限公司</v>
      </c>
      <c r="E142" s="11" t="str">
        <f>_xlfn.LET(_xlpm.x, _xlfn.XLOOKUP(B142,Sheet1!BF:BF,Sheet1!AD:AD,""), IF(_xlpm.x=0,"",_xlpm.x))</f>
        <v>安调中心</v>
      </c>
      <c r="F142" s="82" t="s">
        <v>551</v>
      </c>
      <c r="G142" t="s">
        <v>905</v>
      </c>
      <c r="H142" t="s">
        <v>9207</v>
      </c>
      <c r="I142" s="11" t="s">
        <v>9153</v>
      </c>
    </row>
    <row r="143" spans="1:9" x14ac:dyDescent="0.25">
      <c r="A143" s="11" t="s">
        <v>2727</v>
      </c>
      <c r="B143" s="5" t="s">
        <v>2730</v>
      </c>
      <c r="C143" s="82" t="s">
        <v>9225</v>
      </c>
      <c r="D143" t="str">
        <f>_xlfn.LET(_xlpm.x, _xlfn.XLOOKUP(B143,Sheet1!BF:BF,Sheet1!AF:AF,""), IF(_xlpm.x=0,"",_xlpm.x))</f>
        <v>昆明鼎承科技有限公司</v>
      </c>
      <c r="E143" s="11" t="str">
        <f>_xlfn.LET(_xlpm.x, _xlfn.XLOOKUP(B143,Sheet1!BF:BF,Sheet1!AD:AD,""), IF(_xlpm.x=0,"",_xlpm.x))</f>
        <v>产品研发二部</v>
      </c>
      <c r="F143" s="82" t="s">
        <v>733</v>
      </c>
      <c r="G143" t="s">
        <v>9098</v>
      </c>
      <c r="H143" t="s">
        <v>9213</v>
      </c>
      <c r="I143" s="11" t="s">
        <v>9119</v>
      </c>
    </row>
    <row r="144" spans="1:9" x14ac:dyDescent="0.25">
      <c r="A144" s="11" t="s">
        <v>2756</v>
      </c>
      <c r="B144" s="5" t="s">
        <v>2763</v>
      </c>
      <c r="C144" s="82" t="s">
        <v>9226</v>
      </c>
      <c r="D144" t="str">
        <f>_xlfn.LET(_xlpm.x, _xlfn.XLOOKUP(B144,Sheet1!BF:BF,Sheet1!AF:AF,""), IF(_xlpm.x=0,"",_xlpm.x))</f>
        <v>昆明三行智造科技有限公司</v>
      </c>
      <c r="E144" s="11" t="str">
        <f>_xlfn.LET(_xlpm.x, _xlfn.XLOOKUP(B144,Sheet1!BF:BF,Sheet1!AD:AD,""), IF(_xlpm.x=0,"",_xlpm.x))</f>
        <v>研发部</v>
      </c>
      <c r="F144" s="82" t="s">
        <v>2761</v>
      </c>
      <c r="G144" t="s">
        <v>9098</v>
      </c>
      <c r="H144" t="s">
        <v>9206</v>
      </c>
      <c r="I144" s="11" t="s">
        <v>9139</v>
      </c>
    </row>
    <row r="145" spans="1:9" x14ac:dyDescent="0.25">
      <c r="A145" s="11" t="s">
        <v>2700</v>
      </c>
      <c r="B145" s="5" t="s">
        <v>2704</v>
      </c>
      <c r="C145" s="82" t="s">
        <v>9226</v>
      </c>
      <c r="D145" t="str">
        <f>_xlfn.LET(_xlpm.x, _xlfn.XLOOKUP(B145,Sheet1!BF:BF,Sheet1!AF:AF,""), IF(_xlpm.x=0,"",_xlpm.x))</f>
        <v>昆明鑫晟源科技有限公司</v>
      </c>
      <c r="E145" s="11" t="str">
        <f>_xlfn.LET(_xlpm.x, _xlfn.XLOOKUP(B145,Sheet1!BF:BF,Sheet1!AD:AD,""), IF(_xlpm.x=0,"",_xlpm.x))</f>
        <v>安调中心</v>
      </c>
      <c r="F145" s="82" t="s">
        <v>551</v>
      </c>
      <c r="G145" t="s">
        <v>9098</v>
      </c>
      <c r="H145" t="s">
        <v>9207</v>
      </c>
      <c r="I145" s="11" t="s">
        <v>9173</v>
      </c>
    </row>
    <row r="146" spans="1:9" x14ac:dyDescent="0.25">
      <c r="A146" s="11" t="s">
        <v>2663</v>
      </c>
      <c r="B146" s="5" t="s">
        <v>2667</v>
      </c>
      <c r="C146" s="82" t="s">
        <v>9226</v>
      </c>
      <c r="D146" t="str">
        <f>_xlfn.LET(_xlpm.x, _xlfn.XLOOKUP(B146,Sheet1!BF:BF,Sheet1!AF:AF,""), IF(_xlpm.x=0,"",_xlpm.x))</f>
        <v>昆明鑫晟源科技有限公司</v>
      </c>
      <c r="E146" s="11" t="str">
        <f>_xlfn.LET(_xlpm.x, _xlfn.XLOOKUP(B146,Sheet1!BF:BF,Sheet1!AD:AD,""), IF(_xlpm.x=0,"",_xlpm.x))</f>
        <v>安调中心</v>
      </c>
      <c r="F146" s="82" t="s">
        <v>551</v>
      </c>
      <c r="G146" t="s">
        <v>61</v>
      </c>
      <c r="H146" t="s">
        <v>9207</v>
      </c>
      <c r="I146" s="11" t="s">
        <v>9177</v>
      </c>
    </row>
    <row r="147" spans="1:9" x14ac:dyDescent="0.25">
      <c r="A147" s="11" t="s">
        <v>2391</v>
      </c>
      <c r="B147" s="5" t="s">
        <v>2395</v>
      </c>
      <c r="C147" s="82" t="s">
        <v>9229</v>
      </c>
      <c r="D147" t="str">
        <f>_xlfn.LET(_xlpm.x, _xlfn.XLOOKUP(B147,Sheet1!BF:BF,Sheet1!AF:AF,""), IF(_xlpm.x=0,"",_xlpm.x))</f>
        <v>昆明鼎承科技有限公司</v>
      </c>
      <c r="E147" s="11" t="str">
        <f>_xlfn.LET(_xlpm.x, _xlfn.XLOOKUP(B147,Sheet1!BF:BF,Sheet1!AD:AD,""), IF(_xlpm.x=0,"",_xlpm.x))</f>
        <v>机加车间</v>
      </c>
      <c r="F147" s="82" t="s">
        <v>2393</v>
      </c>
      <c r="G147" t="s">
        <v>2152</v>
      </c>
      <c r="H147" t="s">
        <v>9215</v>
      </c>
      <c r="I147" s="11" t="s">
        <v>9160</v>
      </c>
    </row>
    <row r="148" spans="1:9" x14ac:dyDescent="0.25">
      <c r="A148" s="11" t="s">
        <v>2424</v>
      </c>
      <c r="B148" s="5" t="s">
        <v>2428</v>
      </c>
      <c r="C148" s="82" t="s">
        <v>9226</v>
      </c>
      <c r="D148" t="str">
        <f>_xlfn.LET(_xlpm.x, _xlfn.XLOOKUP(B148,Sheet1!BF:BF,Sheet1!AF:AF,""), IF(_xlpm.x=0,"",_xlpm.x))</f>
        <v>昆明鑫晟源科技有限公司</v>
      </c>
      <c r="E148" s="11" t="str">
        <f>_xlfn.LET(_xlpm.x, _xlfn.XLOOKUP(B148,Sheet1!BF:BF,Sheet1!AD:AD,""), IF(_xlpm.x=0,"",_xlpm.x))</f>
        <v>安调中心</v>
      </c>
      <c r="F148" s="82" t="s">
        <v>551</v>
      </c>
      <c r="G148" t="s">
        <v>905</v>
      </c>
      <c r="H148" t="s">
        <v>9207</v>
      </c>
      <c r="I148" s="11" t="s">
        <v>9153</v>
      </c>
    </row>
    <row r="149" spans="1:9" x14ac:dyDescent="0.25">
      <c r="A149" s="11" t="s">
        <v>2367</v>
      </c>
      <c r="B149" s="5" t="s">
        <v>2371</v>
      </c>
      <c r="C149" s="82" t="s">
        <v>9227</v>
      </c>
      <c r="D149" t="str">
        <f>_xlfn.LET(_xlpm.x, _xlfn.XLOOKUP(B149,Sheet1!BF:BF,Sheet1!AF:AF,""), IF(_xlpm.x=0,"",_xlpm.x))</f>
        <v>昆明鼎承科技有限公司</v>
      </c>
      <c r="E149" s="11" t="str">
        <f>_xlfn.LET(_xlpm.x, _xlfn.XLOOKUP(B149,Sheet1!BF:BF,Sheet1!AD:AD,""), IF(_xlpm.x=0,"",_xlpm.x))</f>
        <v>运营部</v>
      </c>
      <c r="F149" s="82" t="s">
        <v>2101</v>
      </c>
      <c r="G149" t="s">
        <v>9098</v>
      </c>
      <c r="H149" t="s">
        <v>9217</v>
      </c>
      <c r="I149" s="11" t="s">
        <v>9178</v>
      </c>
    </row>
    <row r="150" spans="1:9" x14ac:dyDescent="0.25">
      <c r="A150" s="11" t="s">
        <v>2416</v>
      </c>
      <c r="B150" s="5" t="s">
        <v>2420</v>
      </c>
      <c r="C150" s="82" t="s">
        <v>9226</v>
      </c>
      <c r="D150" t="str">
        <f>_xlfn.LET(_xlpm.x, _xlfn.XLOOKUP(B150,Sheet1!BF:BF,Sheet1!AF:AF,""), IF(_xlpm.x=0,"",_xlpm.x))</f>
        <v>昆明鑫晟源科技有限公司</v>
      </c>
      <c r="E150" s="11" t="str">
        <f>_xlfn.LET(_xlpm.x, _xlfn.XLOOKUP(B150,Sheet1!BF:BF,Sheet1!AD:AD,""), IF(_xlpm.x=0,"",_xlpm.x))</f>
        <v>安调中心</v>
      </c>
      <c r="F150" s="82" t="s">
        <v>551</v>
      </c>
      <c r="G150" t="s">
        <v>905</v>
      </c>
      <c r="H150" t="s">
        <v>9207</v>
      </c>
      <c r="I150" s="11" t="s">
        <v>9153</v>
      </c>
    </row>
    <row r="151" spans="1:9" x14ac:dyDescent="0.25">
      <c r="A151" s="11" t="s">
        <v>2440</v>
      </c>
      <c r="B151" s="5" t="s">
        <v>2443</v>
      </c>
      <c r="C151" s="82" t="s">
        <v>9227</v>
      </c>
      <c r="D151" t="str">
        <f>_xlfn.LET(_xlpm.x, _xlfn.XLOOKUP(B151,Sheet1!BF:BF,Sheet1!AF:AF,""), IF(_xlpm.x=0,"",_xlpm.x))</f>
        <v>昆明三行智造科技有限公司</v>
      </c>
      <c r="E151" s="11" t="str">
        <f>_xlfn.LET(_xlpm.x, _xlfn.XLOOKUP(B151,Sheet1!BF:BF,Sheet1!AD:AD,""), IF(_xlpm.x=0,"",_xlpm.x))</f>
        <v>交付业务部</v>
      </c>
      <c r="F151" s="82" t="s">
        <v>565</v>
      </c>
      <c r="G151" t="s">
        <v>9098</v>
      </c>
      <c r="H151" t="s">
        <v>9207</v>
      </c>
      <c r="I151" s="11" t="s">
        <v>9173</v>
      </c>
    </row>
    <row r="152" spans="1:9" x14ac:dyDescent="0.25">
      <c r="A152" s="11" t="s">
        <v>3445</v>
      </c>
      <c r="B152" s="5" t="s">
        <v>3448</v>
      </c>
      <c r="C152" s="82" t="s">
        <v>9225</v>
      </c>
      <c r="D152" t="str">
        <f>_xlfn.LET(_xlpm.x, _xlfn.XLOOKUP(B152,Sheet1!BF:BF,Sheet1!AF:AF,""), IF(_xlpm.x=0,"",_xlpm.x))</f>
        <v>昆明鼎承科技有限公司</v>
      </c>
      <c r="E152" s="11" t="str">
        <f>_xlfn.LET(_xlpm.x, _xlfn.XLOOKUP(B152,Sheet1!BF:BF,Sheet1!AD:AD,""), IF(_xlpm.x=0,"",_xlpm.x))</f>
        <v>食堂组</v>
      </c>
      <c r="F152" s="82" t="s">
        <v>2155</v>
      </c>
      <c r="G152" t="s">
        <v>245</v>
      </c>
      <c r="H152" t="s">
        <v>9219</v>
      </c>
      <c r="I152" s="11" t="s">
        <v>9179</v>
      </c>
    </row>
    <row r="153" spans="1:9" x14ac:dyDescent="0.25">
      <c r="A153" s="11" t="s">
        <v>2799</v>
      </c>
      <c r="B153" s="5" t="s">
        <v>2803</v>
      </c>
      <c r="C153" s="82" t="s">
        <v>9225</v>
      </c>
      <c r="D153" t="str">
        <f>_xlfn.LET(_xlpm.x, _xlfn.XLOOKUP(B153,Sheet1!BF:BF,Sheet1!AF:AF,""), IF(_xlpm.x=0,"",_xlpm.x))</f>
        <v>昆明鼎承科技有限公司</v>
      </c>
      <c r="E153" s="11" t="str">
        <f>_xlfn.LET(_xlpm.x, _xlfn.XLOOKUP(B153,Sheet1!BF:BF,Sheet1!AD:AD,""), IF(_xlpm.x=0,"",_xlpm.x))</f>
        <v>保洁组</v>
      </c>
      <c r="F153" s="82" t="s">
        <v>2556</v>
      </c>
      <c r="G153" t="s">
        <v>245</v>
      </c>
      <c r="H153" t="s">
        <v>9219</v>
      </c>
      <c r="I153" s="11" t="s">
        <v>9179</v>
      </c>
    </row>
    <row r="154" spans="1:9" x14ac:dyDescent="0.25">
      <c r="A154" s="11" t="s">
        <v>3169</v>
      </c>
      <c r="B154" s="5" t="s">
        <v>3173</v>
      </c>
      <c r="C154" s="82" t="s">
        <v>9225</v>
      </c>
      <c r="D154" t="str">
        <f>_xlfn.LET(_xlpm.x, _xlfn.XLOOKUP(B154,Sheet1!BF:BF,Sheet1!AF:AF,""), IF(_xlpm.x=0,"",_xlpm.x))</f>
        <v>昆明鼎承科技有限公司</v>
      </c>
      <c r="E154" s="11" t="str">
        <f>_xlfn.LET(_xlpm.x, _xlfn.XLOOKUP(B154,Sheet1!BF:BF,Sheet1!AD:AD,""), IF(_xlpm.x=0,"",_xlpm.x))</f>
        <v>保洁组</v>
      </c>
      <c r="F154" s="82" t="s">
        <v>2556</v>
      </c>
      <c r="G154" t="s">
        <v>245</v>
      </c>
      <c r="H154" t="s">
        <v>9219</v>
      </c>
      <c r="I154" s="11" t="s">
        <v>9179</v>
      </c>
    </row>
    <row r="155" spans="1:9" x14ac:dyDescent="0.25">
      <c r="A155" s="11" t="s">
        <v>3285</v>
      </c>
      <c r="B155" s="5" t="s">
        <v>3288</v>
      </c>
      <c r="C155" s="82" t="s">
        <v>9225</v>
      </c>
      <c r="D155" t="str">
        <f>_xlfn.LET(_xlpm.x, _xlfn.XLOOKUP(B155,Sheet1!BF:BF,Sheet1!AF:AF,""), IF(_xlpm.x=0,"",_xlpm.x))</f>
        <v>昆明鼎承科技有限公司</v>
      </c>
      <c r="E155" s="11" t="str">
        <f>_xlfn.LET(_xlpm.x, _xlfn.XLOOKUP(B155,Sheet1!BF:BF,Sheet1!AD:AD,""), IF(_xlpm.x=0,"",_xlpm.x))</f>
        <v>保洁组</v>
      </c>
      <c r="F155" s="82" t="s">
        <v>2556</v>
      </c>
      <c r="G155" t="s">
        <v>245</v>
      </c>
      <c r="H155" t="s">
        <v>9219</v>
      </c>
      <c r="I155" s="11" t="s">
        <v>9179</v>
      </c>
    </row>
    <row r="156" spans="1:9" x14ac:dyDescent="0.25">
      <c r="A156" s="11" t="s">
        <v>2564</v>
      </c>
      <c r="B156" s="5" t="s">
        <v>2567</v>
      </c>
      <c r="C156" s="82" t="s">
        <v>9225</v>
      </c>
      <c r="D156" t="str">
        <f>_xlfn.LET(_xlpm.x, _xlfn.XLOOKUP(B156,Sheet1!BF:BF,Sheet1!AF:AF,""), IF(_xlpm.x=0,"",_xlpm.x))</f>
        <v>昆明鼎承科技有限公司</v>
      </c>
      <c r="E156" s="11" t="str">
        <f>_xlfn.LET(_xlpm.x, _xlfn.XLOOKUP(B156,Sheet1!BF:BF,Sheet1!AD:AD,""), IF(_xlpm.x=0,"",_xlpm.x))</f>
        <v>食堂组</v>
      </c>
      <c r="F156" s="82" t="s">
        <v>2155</v>
      </c>
      <c r="G156" t="s">
        <v>245</v>
      </c>
      <c r="H156" t="s">
        <v>9219</v>
      </c>
      <c r="I156" s="11" t="s">
        <v>9179</v>
      </c>
    </row>
    <row r="157" spans="1:9" x14ac:dyDescent="0.25">
      <c r="A157" s="11" t="s">
        <v>2554</v>
      </c>
      <c r="B157" s="5" t="s">
        <v>2560</v>
      </c>
      <c r="C157" s="82" t="s">
        <v>9225</v>
      </c>
      <c r="D157" t="str">
        <f>_xlfn.LET(_xlpm.x, _xlfn.XLOOKUP(B157,Sheet1!BF:BF,Sheet1!AF:AF,""), IF(_xlpm.x=0,"",_xlpm.x))</f>
        <v>昆明鼎承科技有限公司</v>
      </c>
      <c r="E157" s="11" t="str">
        <f>_xlfn.LET(_xlpm.x, _xlfn.XLOOKUP(B157,Sheet1!BF:BF,Sheet1!AD:AD,""), IF(_xlpm.x=0,"",_xlpm.x))</f>
        <v>保洁组</v>
      </c>
      <c r="F157" s="82" t="s">
        <v>2556</v>
      </c>
      <c r="G157" t="s">
        <v>245</v>
      </c>
      <c r="H157" t="s">
        <v>9219</v>
      </c>
      <c r="I157" s="11" t="s">
        <v>9179</v>
      </c>
    </row>
    <row r="158" spans="1:9" x14ac:dyDescent="0.25">
      <c r="A158" s="11" t="s">
        <v>3145</v>
      </c>
      <c r="B158" s="5" t="s">
        <v>3148</v>
      </c>
      <c r="C158" s="82" t="s">
        <v>9225</v>
      </c>
      <c r="D158" t="str">
        <f>_xlfn.LET(_xlpm.x, _xlfn.XLOOKUP(B158,Sheet1!BF:BF,Sheet1!AF:AF,""), IF(_xlpm.x=0,"",_xlpm.x))</f>
        <v>昆明鼎承科技有限公司</v>
      </c>
      <c r="E158" s="11" t="str">
        <f>_xlfn.LET(_xlpm.x, _xlfn.XLOOKUP(B158,Sheet1!BF:BF,Sheet1!AD:AD,""), IF(_xlpm.x=0,"",_xlpm.x))</f>
        <v>保安组</v>
      </c>
      <c r="F158" s="82" t="s">
        <v>296</v>
      </c>
      <c r="G158" t="s">
        <v>257</v>
      </c>
      <c r="H158" t="s">
        <v>9219</v>
      </c>
      <c r="I158" s="11" t="s">
        <v>9180</v>
      </c>
    </row>
    <row r="159" spans="1:9" x14ac:dyDescent="0.25">
      <c r="A159" s="11" t="s">
        <v>3137</v>
      </c>
      <c r="B159" s="5" t="s">
        <v>3141</v>
      </c>
      <c r="C159" s="82" t="s">
        <v>9229</v>
      </c>
      <c r="D159" t="str">
        <f>_xlfn.LET(_xlpm.x, _xlfn.XLOOKUP(B159,Sheet1!BF:BF,Sheet1!AF:AF,""), IF(_xlpm.x=0,"",_xlpm.x))</f>
        <v>昆明鼎承科技有限公司</v>
      </c>
      <c r="E159" s="11" t="str">
        <f>_xlfn.LET(_xlpm.x, _xlfn.XLOOKUP(B159,Sheet1!BF:BF,Sheet1!AD:AD,""), IF(_xlpm.x=0,"",_xlpm.x))</f>
        <v>机加车间</v>
      </c>
      <c r="F159" s="82" t="s">
        <v>1248</v>
      </c>
      <c r="G159" t="s">
        <v>61</v>
      </c>
      <c r="H159" t="s">
        <v>9215</v>
      </c>
      <c r="I159" s="11" t="s">
        <v>9169</v>
      </c>
    </row>
    <row r="160" spans="1:9" x14ac:dyDescent="0.25">
      <c r="A160" s="11" t="s">
        <v>3128</v>
      </c>
      <c r="B160" s="5" t="s">
        <v>3133</v>
      </c>
      <c r="C160" s="82" t="s">
        <v>9228</v>
      </c>
      <c r="D160" t="str">
        <f>_xlfn.LET(_xlpm.x, _xlfn.XLOOKUP(B160,Sheet1!BF:BF,Sheet1!AF:AF,""), IF(_xlpm.x=0,"",_xlpm.x))</f>
        <v>昆明鼎承科技有限公司</v>
      </c>
      <c r="E160" s="11" t="str">
        <f>_xlfn.LET(_xlpm.x, _xlfn.XLOOKUP(B160,Sheet1!BF:BF,Sheet1!AD:AD,""), IF(_xlpm.x=0,"",_xlpm.x))</f>
        <v>保洁组</v>
      </c>
      <c r="F160" s="82" t="s">
        <v>2556</v>
      </c>
      <c r="G160" t="s">
        <v>245</v>
      </c>
      <c r="H160" t="s">
        <v>9219</v>
      </c>
      <c r="I160" s="11" t="s">
        <v>9179</v>
      </c>
    </row>
    <row r="161" spans="1:9" x14ac:dyDescent="0.25">
      <c r="A161" s="11" t="s">
        <v>2846</v>
      </c>
      <c r="B161" s="5" t="s">
        <v>2850</v>
      </c>
      <c r="C161" s="82" t="s">
        <v>9225</v>
      </c>
      <c r="D161" t="str">
        <f>_xlfn.LET(_xlpm.x, _xlfn.XLOOKUP(B161,Sheet1!BF:BF,Sheet1!AF:AF,""), IF(_xlpm.x=0,"",_xlpm.x))</f>
        <v>昆明鼎承科技有限公司</v>
      </c>
      <c r="E161" s="11" t="str">
        <f>_xlfn.LET(_xlpm.x, _xlfn.XLOOKUP(B161,Sheet1!BF:BF,Sheet1!AD:AD,""), IF(_xlpm.x=0,"",_xlpm.x))</f>
        <v>保安组</v>
      </c>
      <c r="F161" s="82" t="s">
        <v>296</v>
      </c>
      <c r="G161" t="s">
        <v>245</v>
      </c>
      <c r="H161" t="s">
        <v>9219</v>
      </c>
      <c r="I161" s="11" t="s">
        <v>9179</v>
      </c>
    </row>
    <row r="162" spans="1:9" x14ac:dyDescent="0.25">
      <c r="A162" s="11" t="s">
        <v>2808</v>
      </c>
      <c r="B162" s="5" t="s">
        <v>2812</v>
      </c>
      <c r="C162" s="82" t="s">
        <v>9225</v>
      </c>
      <c r="D162" t="str">
        <f>_xlfn.LET(_xlpm.x, _xlfn.XLOOKUP(B162,Sheet1!BF:BF,Sheet1!AF:AF,""), IF(_xlpm.x=0,"",_xlpm.x))</f>
        <v>昆明鼎承科技有限公司</v>
      </c>
      <c r="E162" s="11" t="str">
        <f>_xlfn.LET(_xlpm.x, _xlfn.XLOOKUP(B162,Sheet1!BF:BF,Sheet1!AD:AD,""), IF(_xlpm.x=0,"",_xlpm.x))</f>
        <v>保安组</v>
      </c>
      <c r="F162" s="82" t="s">
        <v>296</v>
      </c>
      <c r="G162" t="s">
        <v>245</v>
      </c>
      <c r="H162" t="s">
        <v>9219</v>
      </c>
      <c r="I162" s="11" t="s">
        <v>9179</v>
      </c>
    </row>
    <row r="163" spans="1:9" x14ac:dyDescent="0.25">
      <c r="A163" s="11" t="s">
        <v>2536</v>
      </c>
      <c r="B163" s="5" t="s">
        <v>2541</v>
      </c>
      <c r="C163" s="82" t="s">
        <v>9226</v>
      </c>
      <c r="D163" t="str">
        <f>_xlfn.LET(_xlpm.x, _xlfn.XLOOKUP(B163,Sheet1!BF:BF,Sheet1!AF:AF,""), IF(_xlpm.x=0,"",_xlpm.x))</f>
        <v>昆明鑫晟源科技有限公司</v>
      </c>
      <c r="E163" s="11" t="str">
        <f>_xlfn.LET(_xlpm.x, _xlfn.XLOOKUP(B163,Sheet1!BF:BF,Sheet1!AD:AD,""), IF(_xlpm.x=0,"",_xlpm.x))</f>
        <v>生产技术部</v>
      </c>
      <c r="F163" s="82" t="s">
        <v>1526</v>
      </c>
      <c r="G163" t="s">
        <v>905</v>
      </c>
      <c r="H163" t="s">
        <v>9210</v>
      </c>
      <c r="I163" s="11" t="s">
        <v>9133</v>
      </c>
    </row>
    <row r="164" spans="1:9" x14ac:dyDescent="0.25">
      <c r="A164" s="11" t="s">
        <v>2528</v>
      </c>
      <c r="B164" s="5" t="s">
        <v>2533</v>
      </c>
      <c r="C164" s="82" t="s">
        <v>9226</v>
      </c>
      <c r="D164" t="str">
        <f>_xlfn.LET(_xlpm.x, _xlfn.XLOOKUP(B164,Sheet1!BF:BF,Sheet1!AF:AF,""), IF(_xlpm.x=0,"",_xlpm.x))</f>
        <v>昆明鑫晟源科技有限公司</v>
      </c>
      <c r="E164" s="11" t="str">
        <f>_xlfn.LET(_xlpm.x, _xlfn.XLOOKUP(B164,Sheet1!BF:BF,Sheet1!AD:AD,""), IF(_xlpm.x=0,"",_xlpm.x))</f>
        <v>生产技术部</v>
      </c>
      <c r="F164" s="82" t="s">
        <v>2531</v>
      </c>
      <c r="G164" t="s">
        <v>2152</v>
      </c>
      <c r="H164" t="s">
        <v>9211</v>
      </c>
      <c r="I164" s="11" t="s">
        <v>9103</v>
      </c>
    </row>
    <row r="165" spans="1:9" x14ac:dyDescent="0.25">
      <c r="A165" s="11" t="s">
        <v>2517</v>
      </c>
      <c r="B165" s="5" t="s">
        <v>2524</v>
      </c>
      <c r="C165" s="82" t="s">
        <v>9227</v>
      </c>
      <c r="D165" t="str">
        <f>_xlfn.LET(_xlpm.x, _xlfn.XLOOKUP(B165,Sheet1!BF:BF,Sheet1!AF:AF,""), IF(_xlpm.x=0,"",_xlpm.x))</f>
        <v>昆明鼎承科技有限公司</v>
      </c>
      <c r="E165" s="11" t="str">
        <f>_xlfn.LET(_xlpm.x, _xlfn.XLOOKUP(B165,Sheet1!BF:BF,Sheet1!AD:AD,""), IF(_xlpm.x=0,"",_xlpm.x))</f>
        <v>人力资本部</v>
      </c>
      <c r="F165" s="82" t="s">
        <v>2521</v>
      </c>
      <c r="G165" t="s">
        <v>9112</v>
      </c>
      <c r="H165" t="s">
        <v>9208</v>
      </c>
      <c r="I165" s="11" t="s">
        <v>9124</v>
      </c>
    </row>
    <row r="166" spans="1:9" x14ac:dyDescent="0.25">
      <c r="A166" s="11" t="s">
        <v>2545</v>
      </c>
      <c r="B166" s="5" t="s">
        <v>2550</v>
      </c>
      <c r="C166" s="82" t="s">
        <v>9225</v>
      </c>
      <c r="D166" t="str">
        <f>_xlfn.LET(_xlpm.x, _xlfn.XLOOKUP(B166,Sheet1!BF:BF,Sheet1!AF:AF,""), IF(_xlpm.x=0,"",_xlpm.x))</f>
        <v>昆明鼎承科技有限公司</v>
      </c>
      <c r="E166" s="11" t="str">
        <f>_xlfn.LET(_xlpm.x, _xlfn.XLOOKUP(B166,Sheet1!BF:BF,Sheet1!AD:AD,""), IF(_xlpm.x=0,"",_xlpm.x))</f>
        <v>信息技术部</v>
      </c>
      <c r="F166" s="82" t="s">
        <v>2271</v>
      </c>
      <c r="G166" t="s">
        <v>9101</v>
      </c>
      <c r="H166" t="s">
        <v>9214</v>
      </c>
      <c r="I166" s="11" t="s">
        <v>9181</v>
      </c>
    </row>
    <row r="167" spans="1:9" x14ac:dyDescent="0.25">
      <c r="A167" s="11" t="s">
        <v>2504</v>
      </c>
      <c r="B167" s="5" t="s">
        <v>2511</v>
      </c>
      <c r="C167" s="82" t="s">
        <v>9225</v>
      </c>
      <c r="D167" t="str">
        <f>_xlfn.LET(_xlpm.x, _xlfn.XLOOKUP(B167,Sheet1!BF:BF,Sheet1!AF:AF,""), IF(_xlpm.x=0,"",_xlpm.x))</f>
        <v>昆明鼎承科技有限公司</v>
      </c>
      <c r="E167" s="11" t="str">
        <f>_xlfn.LET(_xlpm.x, _xlfn.XLOOKUP(B167,Sheet1!BF:BF,Sheet1!AD:AD,""), IF(_xlpm.x=0,"",_xlpm.x))</f>
        <v>质量保证部</v>
      </c>
      <c r="F167" s="82" t="s">
        <v>2508</v>
      </c>
      <c r="G167" t="s">
        <v>9098</v>
      </c>
      <c r="H167" t="s">
        <v>9213</v>
      </c>
      <c r="I167" s="11" t="s">
        <v>9119</v>
      </c>
    </row>
    <row r="168" spans="1:9" x14ac:dyDescent="0.25">
      <c r="A168" s="11" t="s">
        <v>2486</v>
      </c>
      <c r="B168" s="5" t="s">
        <v>2491</v>
      </c>
      <c r="C168" s="82" t="s">
        <v>9227</v>
      </c>
      <c r="D168" t="str">
        <f>_xlfn.LET(_xlpm.x, _xlfn.XLOOKUP(B168,Sheet1!BF:BF,Sheet1!AF:AF,""), IF(_xlpm.x=0,"",_xlpm.x))</f>
        <v>昆明三行智造科技有限公司</v>
      </c>
      <c r="E168" s="11" t="str">
        <f>_xlfn.LET(_xlpm.x, _xlfn.XLOOKUP(B168,Sheet1!BF:BF,Sheet1!AD:AD,""), IF(_xlpm.x=0,"",_xlpm.x))</f>
        <v>产品技术部</v>
      </c>
      <c r="F168" s="82" t="s">
        <v>2489</v>
      </c>
      <c r="G168" t="s">
        <v>9102</v>
      </c>
      <c r="H168" t="s">
        <v>9211</v>
      </c>
      <c r="I168" s="11" t="s">
        <v>9176</v>
      </c>
    </row>
    <row r="169" spans="1:9" x14ac:dyDescent="0.25">
      <c r="A169" s="11" t="s">
        <v>2496</v>
      </c>
      <c r="B169" s="5" t="s">
        <v>2500</v>
      </c>
      <c r="C169" s="82" t="s">
        <v>9235</v>
      </c>
      <c r="D169" t="str">
        <f>_xlfn.LET(_xlpm.x, _xlfn.XLOOKUP(B169,Sheet1!BF:BF,Sheet1!AF:AF,""), IF(_xlpm.x=0,"",_xlpm.x))</f>
        <v>昆明鼎承科技有限公司</v>
      </c>
      <c r="E169" s="11" t="str">
        <f>_xlfn.LET(_xlpm.x, _xlfn.XLOOKUP(B169,Sheet1!BF:BF,Sheet1!AD:AD,""), IF(_xlpm.x=0,"",_xlpm.x))</f>
        <v>企业管理部</v>
      </c>
      <c r="F169" s="82" t="s">
        <v>240</v>
      </c>
      <c r="G169" t="s">
        <v>2152</v>
      </c>
      <c r="H169" t="s">
        <v>9206</v>
      </c>
      <c r="I169" s="11" t="s">
        <v>9182</v>
      </c>
    </row>
    <row r="170" spans="1:9" x14ac:dyDescent="0.25">
      <c r="A170" s="11" t="s">
        <v>2260</v>
      </c>
      <c r="B170" s="5" t="s">
        <v>2265</v>
      </c>
      <c r="C170" s="82" t="s">
        <v>9226</v>
      </c>
      <c r="D170" t="str">
        <f>_xlfn.LET(_xlpm.x, _xlfn.XLOOKUP(B170,Sheet1!BF:BF,Sheet1!AF:AF,""), IF(_xlpm.x=0,"",_xlpm.x))</f>
        <v>昆明鑫晟源科技有限公司</v>
      </c>
      <c r="E170" s="11" t="str">
        <f>_xlfn.LET(_xlpm.x, _xlfn.XLOOKUP(B170,Sheet1!BF:BF,Sheet1!AD:AD,""), IF(_xlpm.x=0,"",_xlpm.x))</f>
        <v>安调中心</v>
      </c>
      <c r="F170" s="82" t="s">
        <v>593</v>
      </c>
      <c r="G170" t="s">
        <v>58</v>
      </c>
      <c r="H170" t="s">
        <v>9207</v>
      </c>
      <c r="I170" s="11" t="s">
        <v>9159</v>
      </c>
    </row>
    <row r="171" spans="1:9" x14ac:dyDescent="0.25">
      <c r="A171" s="11" t="s">
        <v>2477</v>
      </c>
      <c r="B171" s="5" t="s">
        <v>2482</v>
      </c>
      <c r="C171" s="82" t="s">
        <v>9226</v>
      </c>
      <c r="D171" t="str">
        <f>_xlfn.LET(_xlpm.x, _xlfn.XLOOKUP(B171,Sheet1!BF:BF,Sheet1!AF:AF,""), IF(_xlpm.x=0,"",_xlpm.x))</f>
        <v>昆明三行智造科技有限公司</v>
      </c>
      <c r="E171" s="11" t="str">
        <f>_xlfn.LET(_xlpm.x, _xlfn.XLOOKUP(B171,Sheet1!BF:BF,Sheet1!AD:AD,""), IF(_xlpm.x=0,"",_xlpm.x))</f>
        <v>研发部</v>
      </c>
      <c r="F171" s="82" t="s">
        <v>506</v>
      </c>
      <c r="G171" t="s">
        <v>9098</v>
      </c>
      <c r="H171" t="s">
        <v>9206</v>
      </c>
      <c r="I171" s="11" t="s">
        <v>9139</v>
      </c>
    </row>
    <row r="172" spans="1:9" x14ac:dyDescent="0.25">
      <c r="A172" s="11" t="s">
        <v>2466</v>
      </c>
      <c r="B172" s="5" t="s">
        <v>2471</v>
      </c>
      <c r="C172" s="82" t="s">
        <v>9225</v>
      </c>
      <c r="D172" t="str">
        <f>_xlfn.LET(_xlpm.x, _xlfn.XLOOKUP(B172,Sheet1!BF:BF,Sheet1!AF:AF,""), IF(_xlpm.x=0,"",_xlpm.x))</f>
        <v>昆明鼎承科技有限公司</v>
      </c>
      <c r="E172" s="11" t="str">
        <f>_xlfn.LET(_xlpm.x, _xlfn.XLOOKUP(B172,Sheet1!BF:BF,Sheet1!AD:AD,""), IF(_xlpm.x=0,"",_xlpm.x))</f>
        <v>企业管理办公室</v>
      </c>
      <c r="F172" s="82" t="s">
        <v>904</v>
      </c>
      <c r="G172" t="s">
        <v>9101</v>
      </c>
      <c r="H172" t="s">
        <v>9217</v>
      </c>
      <c r="I172" s="11" t="s">
        <v>9156</v>
      </c>
    </row>
    <row r="173" spans="1:9" x14ac:dyDescent="0.25">
      <c r="A173" s="11" t="s">
        <v>2399</v>
      </c>
      <c r="B173" s="5" t="s">
        <v>2404</v>
      </c>
      <c r="C173" s="82" t="s">
        <v>9226</v>
      </c>
      <c r="D173" t="str">
        <f>_xlfn.LET(_xlpm.x, _xlfn.XLOOKUP(B173,Sheet1!BF:BF,Sheet1!AF:AF,""), IF(_xlpm.x=0,"",_xlpm.x))</f>
        <v>昆明鑫晟源科技有限公司</v>
      </c>
      <c r="E173" s="11" t="str">
        <f>_xlfn.LET(_xlpm.x, _xlfn.XLOOKUP(B173,Sheet1!BF:BF,Sheet1!AD:AD,""), IF(_xlpm.x=0,"",_xlpm.x))</f>
        <v>生产技术部</v>
      </c>
      <c r="F173" s="82" t="s">
        <v>1526</v>
      </c>
      <c r="G173" t="s">
        <v>905</v>
      </c>
      <c r="H173" t="s">
        <v>9210</v>
      </c>
      <c r="I173" s="11" t="s">
        <v>9133</v>
      </c>
    </row>
    <row r="174" spans="1:9" x14ac:dyDescent="0.25">
      <c r="A174" s="11" t="s">
        <v>2431</v>
      </c>
      <c r="B174" s="5" t="s">
        <v>2436</v>
      </c>
      <c r="C174" s="82" t="s">
        <v>9226</v>
      </c>
      <c r="D174" t="str">
        <f>_xlfn.LET(_xlpm.x, _xlfn.XLOOKUP(B174,Sheet1!BF:BF,Sheet1!AF:AF,""), IF(_xlpm.x=0,"",_xlpm.x))</f>
        <v>昆明鑫晟源科技有限公司</v>
      </c>
      <c r="E174" s="11" t="str">
        <f>_xlfn.LET(_xlpm.x, _xlfn.XLOOKUP(B174,Sheet1!BF:BF,Sheet1!AD:AD,""), IF(_xlpm.x=0,"",_xlpm.x))</f>
        <v>生产技术部</v>
      </c>
      <c r="F174" s="82" t="s">
        <v>2434</v>
      </c>
      <c r="G174" t="s">
        <v>9098</v>
      </c>
      <c r="H174" t="s">
        <v>9211</v>
      </c>
      <c r="I174" s="11" t="s">
        <v>9135</v>
      </c>
    </row>
    <row r="175" spans="1:9" x14ac:dyDescent="0.25">
      <c r="A175" s="11" t="s">
        <v>2253</v>
      </c>
      <c r="B175" s="5" t="s">
        <v>2257</v>
      </c>
      <c r="C175" s="82" t="s">
        <v>9226</v>
      </c>
      <c r="D175" t="str">
        <f>_xlfn.LET(_xlpm.x, _xlfn.XLOOKUP(B175,Sheet1!BF:BF,Sheet1!AF:AF,""), IF(_xlpm.x=0,"",_xlpm.x))</f>
        <v>昆明鑫晟源科技有限公司</v>
      </c>
      <c r="E175" s="11" t="str">
        <f>_xlfn.LET(_xlpm.x, _xlfn.XLOOKUP(B175,Sheet1!BF:BF,Sheet1!AD:AD,""), IF(_xlpm.x=0,"",_xlpm.x))</f>
        <v>安调中心</v>
      </c>
      <c r="F175" s="82" t="s">
        <v>593</v>
      </c>
      <c r="G175" t="s">
        <v>905</v>
      </c>
      <c r="H175" t="s">
        <v>9207</v>
      </c>
      <c r="I175" s="11" t="s">
        <v>9153</v>
      </c>
    </row>
    <row r="176" spans="1:9" x14ac:dyDescent="0.25">
      <c r="A176" s="11" t="s">
        <v>2340</v>
      </c>
      <c r="B176" s="5" t="s">
        <v>2344</v>
      </c>
      <c r="C176" s="82" t="s">
        <v>9229</v>
      </c>
      <c r="D176" t="str">
        <f>_xlfn.LET(_xlpm.x, _xlfn.XLOOKUP(B176,Sheet1!BF:BF,Sheet1!AF:AF,""), IF(_xlpm.x=0,"",_xlpm.x))</f>
        <v>昆明鼎承科技有限公司</v>
      </c>
      <c r="E176" s="11" t="str">
        <f>_xlfn.LET(_xlpm.x, _xlfn.XLOOKUP(B176,Sheet1!BF:BF,Sheet1!AD:AD,""), IF(_xlpm.x=0,"",_xlpm.x))</f>
        <v>机加车间</v>
      </c>
      <c r="F176" s="82" t="s">
        <v>2342</v>
      </c>
      <c r="G176" t="s">
        <v>9101</v>
      </c>
      <c r="H176" t="s">
        <v>9215</v>
      </c>
      <c r="I176" s="11" t="s">
        <v>9167</v>
      </c>
    </row>
    <row r="177" spans="1:9" x14ac:dyDescent="0.25">
      <c r="A177" s="11" t="s">
        <v>2347</v>
      </c>
      <c r="B177" s="5" t="s">
        <v>2352</v>
      </c>
      <c r="C177" s="82" t="s">
        <v>9225</v>
      </c>
      <c r="D177" t="str">
        <f>_xlfn.LET(_xlpm.x, _xlfn.XLOOKUP(B177,Sheet1!BF:BF,Sheet1!AF:AF,""), IF(_xlpm.x=0,"",_xlpm.x))</f>
        <v>昆明鼎承科技有限公司</v>
      </c>
      <c r="E177" s="11" t="str">
        <f>_xlfn.LET(_xlpm.x, _xlfn.XLOOKUP(B177,Sheet1!BF:BF,Sheet1!AD:AD,""), IF(_xlpm.x=0,"",_xlpm.x))</f>
        <v>企业管理部</v>
      </c>
      <c r="F177" s="82" t="s">
        <v>477</v>
      </c>
      <c r="G177" t="s">
        <v>9104</v>
      </c>
      <c r="H177" t="s">
        <v>9220</v>
      </c>
      <c r="I177" s="11" t="s">
        <v>9183</v>
      </c>
    </row>
    <row r="178" spans="1:9" x14ac:dyDescent="0.25">
      <c r="A178" s="11" t="s">
        <v>2359</v>
      </c>
      <c r="B178" s="5" t="s">
        <v>2363</v>
      </c>
      <c r="C178" s="82" t="s">
        <v>9227</v>
      </c>
      <c r="D178" t="str">
        <f>_xlfn.LET(_xlpm.x, _xlfn.XLOOKUP(B178,Sheet1!BF:BF,Sheet1!AF:AF,""), IF(_xlpm.x=0,"",_xlpm.x))</f>
        <v>昆明鑫晟源科技有限公司</v>
      </c>
      <c r="E178" s="11" t="str">
        <f>_xlfn.LET(_xlpm.x, _xlfn.XLOOKUP(B178,Sheet1!BF:BF,Sheet1!AD:AD,""), IF(_xlpm.x=0,"",_xlpm.x))</f>
        <v>安调中心</v>
      </c>
      <c r="F178" s="82" t="s">
        <v>2361</v>
      </c>
      <c r="G178" t="s">
        <v>58</v>
      </c>
      <c r="H178" t="s">
        <v>9205</v>
      </c>
      <c r="I178" s="11" t="s">
        <v>9184</v>
      </c>
    </row>
    <row r="179" spans="1:9" x14ac:dyDescent="0.25">
      <c r="A179" s="11" t="s">
        <v>2324</v>
      </c>
      <c r="B179" s="5" t="s">
        <v>2330</v>
      </c>
      <c r="C179" s="82" t="s">
        <v>9226</v>
      </c>
      <c r="D179" t="str">
        <f>_xlfn.LET(_xlpm.x, _xlfn.XLOOKUP(B179,Sheet1!BF:BF,Sheet1!AF:AF,""), IF(_xlpm.x=0,"",_xlpm.x))</f>
        <v>昆明鑫晟源科技有限公司</v>
      </c>
      <c r="E179" s="11" t="str">
        <f>_xlfn.LET(_xlpm.x, _xlfn.XLOOKUP(B179,Sheet1!BF:BF,Sheet1!AD:AD,""), IF(_xlpm.x=0,"",_xlpm.x))</f>
        <v>工艺技术部</v>
      </c>
      <c r="F179" s="82" t="s">
        <v>1097</v>
      </c>
      <c r="G179" t="s">
        <v>9098</v>
      </c>
      <c r="H179" t="s">
        <v>9210</v>
      </c>
      <c r="I179" s="11" t="s">
        <v>9123</v>
      </c>
    </row>
    <row r="180" spans="1:9" x14ac:dyDescent="0.25">
      <c r="A180" s="11" t="s">
        <v>2332</v>
      </c>
      <c r="B180" s="5" t="s">
        <v>2336</v>
      </c>
      <c r="C180" s="82" t="s">
        <v>9228</v>
      </c>
      <c r="D180" t="str">
        <f>_xlfn.LET(_xlpm.x, _xlfn.XLOOKUP(B180,Sheet1!BF:BF,Sheet1!AF:AF,""), IF(_xlpm.x=0,"",_xlpm.x))</f>
        <v>昆明鼎承科技有限公司</v>
      </c>
      <c r="E180" s="11" t="str">
        <f>_xlfn.LET(_xlpm.x, _xlfn.XLOOKUP(B180,Sheet1!BF:BF,Sheet1!AD:AD,""), IF(_xlpm.x=0,"",_xlpm.x))</f>
        <v>保障部办公室</v>
      </c>
      <c r="F180" s="82" t="s">
        <v>1444</v>
      </c>
      <c r="G180" t="s">
        <v>9098</v>
      </c>
      <c r="H180" t="s">
        <v>9209</v>
      </c>
      <c r="I180" s="11" t="s">
        <v>9105</v>
      </c>
    </row>
    <row r="181" spans="1:9" x14ac:dyDescent="0.25">
      <c r="A181" s="11" t="s">
        <v>1829</v>
      </c>
      <c r="B181" s="5" t="s">
        <v>1832</v>
      </c>
      <c r="C181" s="82" t="s">
        <v>9226</v>
      </c>
      <c r="D181" t="str">
        <f>_xlfn.LET(_xlpm.x, _xlfn.XLOOKUP(B181,Sheet1!BF:BF,Sheet1!AF:AF,""), IF(_xlpm.x=0,"",_xlpm.x))</f>
        <v>昆明鑫晟源科技有限公司</v>
      </c>
      <c r="E181" s="11" t="str">
        <f>_xlfn.LET(_xlpm.x, _xlfn.XLOOKUP(B181,Sheet1!BF:BF,Sheet1!AD:AD,""), IF(_xlpm.x=0,"",_xlpm.x))</f>
        <v>安调中心</v>
      </c>
      <c r="F181" s="82" t="s">
        <v>551</v>
      </c>
      <c r="G181" t="s">
        <v>58</v>
      </c>
      <c r="H181" t="s">
        <v>9207</v>
      </c>
      <c r="I181" s="11" t="s">
        <v>9159</v>
      </c>
    </row>
    <row r="182" spans="1:9" x14ac:dyDescent="0.25">
      <c r="A182" s="11" t="s">
        <v>2312</v>
      </c>
      <c r="B182" s="5" t="s">
        <v>2318</v>
      </c>
      <c r="C182" s="82" t="s">
        <v>9229</v>
      </c>
      <c r="D182" t="str">
        <f>_xlfn.LET(_xlpm.x, _xlfn.XLOOKUP(B182,Sheet1!BF:BF,Sheet1!AF:AF,""), IF(_xlpm.x=0,"",_xlpm.x))</f>
        <v>昆明鼎承科技有限公司</v>
      </c>
      <c r="E182" s="11" t="str">
        <f>_xlfn.LET(_xlpm.x, _xlfn.XLOOKUP(B182,Sheet1!BF:BF,Sheet1!AD:AD,""), IF(_xlpm.x=0,"",_xlpm.x))</f>
        <v>机加车间</v>
      </c>
      <c r="F182" s="82" t="s">
        <v>2316</v>
      </c>
      <c r="G182" t="s">
        <v>9102</v>
      </c>
      <c r="H182" t="s">
        <v>9213</v>
      </c>
      <c r="I182" s="11" t="s">
        <v>9172</v>
      </c>
    </row>
    <row r="183" spans="1:9" x14ac:dyDescent="0.25">
      <c r="A183" s="11" t="s">
        <v>2302</v>
      </c>
      <c r="B183" s="5" t="s">
        <v>2308</v>
      </c>
      <c r="C183" s="82" t="s">
        <v>9225</v>
      </c>
      <c r="D183" t="str">
        <f>_xlfn.LET(_xlpm.x, _xlfn.XLOOKUP(B183,Sheet1!BF:BF,Sheet1!AF:AF,""), IF(_xlpm.x=0,"",_xlpm.x))</f>
        <v>昆明鼎承科技有限公司</v>
      </c>
      <c r="E183" s="11" t="str">
        <f>_xlfn.LET(_xlpm.x, _xlfn.XLOOKUP(B183,Sheet1!BF:BF,Sheet1!AD:AD,""), IF(_xlpm.x=0,"",_xlpm.x))</f>
        <v>食堂组</v>
      </c>
      <c r="F183" s="82" t="s">
        <v>2305</v>
      </c>
      <c r="G183" t="s">
        <v>2152</v>
      </c>
      <c r="H183" t="s">
        <v>9221</v>
      </c>
      <c r="I183" s="11" t="s">
        <v>9185</v>
      </c>
    </row>
    <row r="184" spans="1:9" x14ac:dyDescent="0.25">
      <c r="A184" s="11" t="s">
        <v>2294</v>
      </c>
      <c r="B184" s="5" t="s">
        <v>2298</v>
      </c>
      <c r="C184" s="82" t="s">
        <v>9225</v>
      </c>
      <c r="D184" t="str">
        <f>_xlfn.LET(_xlpm.x, _xlfn.XLOOKUP(B184,Sheet1!BF:BF,Sheet1!AF:AF,""), IF(_xlpm.x=0,"",_xlpm.x))</f>
        <v>昆明鼎承科技有限公司</v>
      </c>
      <c r="E184" s="11" t="str">
        <f>_xlfn.LET(_xlpm.x, _xlfn.XLOOKUP(B184,Sheet1!BF:BF,Sheet1!AD:AD,""), IF(_xlpm.x=0,"",_xlpm.x))</f>
        <v>产品研发二部</v>
      </c>
      <c r="F184" s="82" t="s">
        <v>240</v>
      </c>
      <c r="G184" t="s">
        <v>9104</v>
      </c>
      <c r="H184" t="s">
        <v>9206</v>
      </c>
      <c r="I184" s="11" t="s">
        <v>9148</v>
      </c>
    </row>
    <row r="185" spans="1:9" x14ac:dyDescent="0.25">
      <c r="A185" s="11" t="s">
        <v>2286</v>
      </c>
      <c r="B185" s="5" t="s">
        <v>2292</v>
      </c>
      <c r="C185" s="82" t="s">
        <v>9225</v>
      </c>
      <c r="D185" t="str">
        <f>_xlfn.LET(_xlpm.x, _xlfn.XLOOKUP(B185,Sheet1!BF:BF,Sheet1!AF:AF,""), IF(_xlpm.x=0,"",_xlpm.x))</f>
        <v>昆明鼎承科技有限公司</v>
      </c>
      <c r="E185" s="11" t="str">
        <f>_xlfn.LET(_xlpm.x, _xlfn.XLOOKUP(B185,Sheet1!BF:BF,Sheet1!AD:AD,""), IF(_xlpm.x=0,"",_xlpm.x))</f>
        <v>营销部</v>
      </c>
      <c r="F185" s="82" t="s">
        <v>2289</v>
      </c>
      <c r="G185" t="s">
        <v>61</v>
      </c>
      <c r="H185" t="s">
        <v>9217</v>
      </c>
      <c r="I185" s="11" t="s">
        <v>9186</v>
      </c>
    </row>
    <row r="186" spans="1:9" x14ac:dyDescent="0.25">
      <c r="A186" s="11" t="s">
        <v>2267</v>
      </c>
      <c r="B186" s="5" t="s">
        <v>2273</v>
      </c>
      <c r="C186" s="82" t="s">
        <v>9237</v>
      </c>
      <c r="D186" t="str">
        <f>_xlfn.LET(_xlpm.x, _xlfn.XLOOKUP(B186,Sheet1!BF:BF,Sheet1!AF:AF,""), IF(_xlpm.x=0,"",_xlpm.x))</f>
        <v>昆明鼎承科技有限公司</v>
      </c>
      <c r="E186" s="11" t="str">
        <f>_xlfn.LET(_xlpm.x, _xlfn.XLOOKUP(B186,Sheet1!BF:BF,Sheet1!AD:AD,""), IF(_xlpm.x=0,"",_xlpm.x))</f>
        <v>信息技术部</v>
      </c>
      <c r="F186" s="82" t="s">
        <v>2271</v>
      </c>
      <c r="G186" t="s">
        <v>9098</v>
      </c>
      <c r="H186" t="s">
        <v>9214</v>
      </c>
      <c r="I186" s="11" t="s">
        <v>9187</v>
      </c>
    </row>
    <row r="187" spans="1:9" x14ac:dyDescent="0.25">
      <c r="A187" s="11" t="s">
        <v>2278</v>
      </c>
      <c r="B187" s="5" t="s">
        <v>2284</v>
      </c>
      <c r="C187" s="82" t="s">
        <v>9225</v>
      </c>
      <c r="D187" t="str">
        <f>_xlfn.LET(_xlpm.x, _xlfn.XLOOKUP(B187,Sheet1!BF:BF,Sheet1!AF:AF,""), IF(_xlpm.x=0,"",_xlpm.x))</f>
        <v>昆明鼎承科技有限公司</v>
      </c>
      <c r="E187" s="11" t="str">
        <f>_xlfn.LET(_xlpm.x, _xlfn.XLOOKUP(B187,Sheet1!BF:BF,Sheet1!AD:AD,""), IF(_xlpm.x=0,"",_xlpm.x))</f>
        <v>工业智能化研发部</v>
      </c>
      <c r="F187" s="82" t="s">
        <v>477</v>
      </c>
      <c r="G187" t="s">
        <v>9106</v>
      </c>
      <c r="H187" t="s">
        <v>9220</v>
      </c>
      <c r="I187" s="11" t="s">
        <v>9151</v>
      </c>
    </row>
    <row r="188" spans="1:9" x14ac:dyDescent="0.25">
      <c r="A188" s="11" t="s">
        <v>2239</v>
      </c>
      <c r="B188" s="5" t="s">
        <v>2246</v>
      </c>
      <c r="C188" s="82" t="s">
        <v>9226</v>
      </c>
      <c r="D188" t="str">
        <f>_xlfn.LET(_xlpm.x, _xlfn.XLOOKUP(B188,Sheet1!BF:BF,Sheet1!AF:AF,""), IF(_xlpm.x=0,"",_xlpm.x))</f>
        <v>昆明鑫晟源科技有限公司</v>
      </c>
      <c r="E188" s="11" t="str">
        <f>_xlfn.LET(_xlpm.x, _xlfn.XLOOKUP(B188,Sheet1!BF:BF,Sheet1!AD:AD,""), IF(_xlpm.x=0,"",_xlpm.x))</f>
        <v>安调中心</v>
      </c>
      <c r="F188" s="82" t="s">
        <v>2244</v>
      </c>
      <c r="G188" t="s">
        <v>9098</v>
      </c>
      <c r="H188" t="s">
        <v>9211</v>
      </c>
      <c r="I188" s="11" t="s">
        <v>9135</v>
      </c>
    </row>
    <row r="189" spans="1:9" x14ac:dyDescent="0.25">
      <c r="A189" s="11" t="s">
        <v>2231</v>
      </c>
      <c r="B189" s="5" t="s">
        <v>2235</v>
      </c>
      <c r="C189" s="82" t="s">
        <v>9229</v>
      </c>
      <c r="D189" t="str">
        <f>_xlfn.LET(_xlpm.x, _xlfn.XLOOKUP(B189,Sheet1!BF:BF,Sheet1!AF:AF,""), IF(_xlpm.x=0,"",_xlpm.x))</f>
        <v>昆明鼎承科技有限公司</v>
      </c>
      <c r="E189" s="11" t="str">
        <f>_xlfn.LET(_xlpm.x, _xlfn.XLOOKUP(B189,Sheet1!BF:BF,Sheet1!AD:AD,""), IF(_xlpm.x=0,"",_xlpm.x))</f>
        <v>机加车间</v>
      </c>
      <c r="F189" s="82" t="s">
        <v>2233</v>
      </c>
      <c r="G189" t="s">
        <v>9101</v>
      </c>
      <c r="H189" t="s">
        <v>9211</v>
      </c>
      <c r="I189" s="11" t="s">
        <v>9118</v>
      </c>
    </row>
    <row r="190" spans="1:9" x14ac:dyDescent="0.25">
      <c r="A190" s="11" t="s">
        <v>2223</v>
      </c>
      <c r="B190" s="5" t="s">
        <v>2227</v>
      </c>
      <c r="C190" s="82" t="s">
        <v>9229</v>
      </c>
      <c r="D190" t="str">
        <f>_xlfn.LET(_xlpm.x, _xlfn.XLOOKUP(B190,Sheet1!BF:BF,Sheet1!AF:AF,""), IF(_xlpm.x=0,"",_xlpm.x))</f>
        <v>昆明鼎承科技有限公司</v>
      </c>
      <c r="E190" s="11" t="str">
        <f>_xlfn.LET(_xlpm.x, _xlfn.XLOOKUP(B190,Sheet1!BF:BF,Sheet1!AD:AD,""), IF(_xlpm.x=0,"",_xlpm.x))</f>
        <v>生产制造综合管理办公室</v>
      </c>
      <c r="F190" s="82" t="s">
        <v>2225</v>
      </c>
      <c r="G190" t="s">
        <v>9098</v>
      </c>
      <c r="H190" t="s">
        <v>9209</v>
      </c>
      <c r="I190" s="11" t="s">
        <v>9105</v>
      </c>
    </row>
    <row r="191" spans="1:9" x14ac:dyDescent="0.25">
      <c r="A191" s="11" t="s">
        <v>2215</v>
      </c>
      <c r="B191" s="5" t="s">
        <v>2219</v>
      </c>
      <c r="C191" s="82" t="s">
        <v>9225</v>
      </c>
      <c r="D191" t="str">
        <f>_xlfn.LET(_xlpm.x, _xlfn.XLOOKUP(B191,Sheet1!BF:BF,Sheet1!AF:AF,""), IF(_xlpm.x=0,"",_xlpm.x))</f>
        <v>昆明鼎承科技有限公司</v>
      </c>
      <c r="E191" s="11" t="str">
        <f>_xlfn.LET(_xlpm.x, _xlfn.XLOOKUP(B191,Sheet1!BF:BF,Sheet1!AD:AD,""), IF(_xlpm.x=0,"",_xlpm.x))</f>
        <v>产品研发二部</v>
      </c>
      <c r="F191" s="82" t="s">
        <v>506</v>
      </c>
      <c r="G191" t="s">
        <v>9098</v>
      </c>
      <c r="H191" t="s">
        <v>9206</v>
      </c>
      <c r="I191" s="11" t="s">
        <v>9139</v>
      </c>
    </row>
    <row r="192" spans="1:9" x14ac:dyDescent="0.25">
      <c r="A192" s="11" t="s">
        <v>2070</v>
      </c>
      <c r="B192" s="5" t="s">
        <v>2074</v>
      </c>
      <c r="C192" s="82" t="s">
        <v>9226</v>
      </c>
      <c r="D192" t="str">
        <f>_xlfn.LET(_xlpm.x, _xlfn.XLOOKUP(B192,Sheet1!BF:BF,Sheet1!AF:AF,""), IF(_xlpm.x=0,"",_xlpm.x))</f>
        <v>昆明鑫晟源科技有限公司</v>
      </c>
      <c r="E192" s="11" t="str">
        <f>_xlfn.LET(_xlpm.x, _xlfn.XLOOKUP(B192,Sheet1!BF:BF,Sheet1!AD:AD,""), IF(_xlpm.x=0,"",_xlpm.x))</f>
        <v>安调中心</v>
      </c>
      <c r="F192" s="82" t="s">
        <v>2072</v>
      </c>
      <c r="G192" t="s">
        <v>58</v>
      </c>
      <c r="H192" t="s">
        <v>9207</v>
      </c>
      <c r="I192" s="11" t="s">
        <v>9159</v>
      </c>
    </row>
    <row r="193" spans="1:9" x14ac:dyDescent="0.25">
      <c r="A193" s="11" t="s">
        <v>2202</v>
      </c>
      <c r="B193" s="5" t="s">
        <v>2208</v>
      </c>
      <c r="C193" s="82" t="s">
        <v>9230</v>
      </c>
      <c r="D193" t="str">
        <f>_xlfn.LET(_xlpm.x, _xlfn.XLOOKUP(B193,Sheet1!BF:BF,Sheet1!AF:AF,""), IF(_xlpm.x=0,"",_xlpm.x))</f>
        <v>昆明鼎承科技有限公司</v>
      </c>
      <c r="E193" s="11" t="str">
        <f>_xlfn.LET(_xlpm.x, _xlfn.XLOOKUP(B193,Sheet1!BF:BF,Sheet1!AD:AD,""), IF(_xlpm.x=0,"",_xlpm.x))</f>
        <v>财务部</v>
      </c>
      <c r="F193" s="82" t="s">
        <v>2206</v>
      </c>
      <c r="G193" t="s">
        <v>9104</v>
      </c>
      <c r="H193" t="s">
        <v>9205</v>
      </c>
      <c r="I193" s="11" t="s">
        <v>9095</v>
      </c>
    </row>
    <row r="194" spans="1:9" x14ac:dyDescent="0.25">
      <c r="A194" s="11" t="s">
        <v>2193</v>
      </c>
      <c r="B194" s="5" t="s">
        <v>2199</v>
      </c>
      <c r="C194" s="82" t="s">
        <v>9225</v>
      </c>
      <c r="D194" t="str">
        <f>_xlfn.LET(_xlpm.x, _xlfn.XLOOKUP(B194,Sheet1!BF:BF,Sheet1!AF:AF,""), IF(_xlpm.x=0,"",_xlpm.x))</f>
        <v>昆明鼎承科技有限公司</v>
      </c>
      <c r="E194" s="11" t="str">
        <f>_xlfn.LET(_xlpm.x, _xlfn.XLOOKUP(B194,Sheet1!BF:BF,Sheet1!AD:AD,""), IF(_xlpm.x=0,"",_xlpm.x))</f>
        <v>企业管理部</v>
      </c>
      <c r="F194" s="82" t="s">
        <v>2195</v>
      </c>
      <c r="G194" t="s">
        <v>2152</v>
      </c>
      <c r="H194" t="s">
        <v>9222</v>
      </c>
      <c r="I194" s="11" t="s">
        <v>9188</v>
      </c>
    </row>
    <row r="195" spans="1:9" x14ac:dyDescent="0.25">
      <c r="A195" s="11" t="s">
        <v>2181</v>
      </c>
      <c r="B195" s="5" t="s">
        <v>2187</v>
      </c>
      <c r="C195" s="82" t="s">
        <v>9229</v>
      </c>
      <c r="D195" t="str">
        <f>_xlfn.LET(_xlpm.x, _xlfn.XLOOKUP(B195,Sheet1!BF:BF,Sheet1!AF:AF,""), IF(_xlpm.x=0,"",_xlpm.x))</f>
        <v>昆明鼎承科技有限公司</v>
      </c>
      <c r="E195" s="11" t="str">
        <f>_xlfn.LET(_xlpm.x, _xlfn.XLOOKUP(B195,Sheet1!BF:BF,Sheet1!AD:AD,""), IF(_xlpm.x=0,"",_xlpm.x))</f>
        <v>生产制造综合管理办公室</v>
      </c>
      <c r="F195" s="82" t="s">
        <v>2183</v>
      </c>
      <c r="G195" t="s">
        <v>9098</v>
      </c>
      <c r="H195" t="s">
        <v>9213</v>
      </c>
      <c r="I195" s="11" t="s">
        <v>9119</v>
      </c>
    </row>
    <row r="196" spans="1:9" x14ac:dyDescent="0.25">
      <c r="A196" s="11" t="s">
        <v>2170</v>
      </c>
      <c r="B196" s="5" t="s">
        <v>2175</v>
      </c>
      <c r="C196" s="82" t="s">
        <v>9225</v>
      </c>
      <c r="D196" t="str">
        <f>_xlfn.LET(_xlpm.x, _xlfn.XLOOKUP(B196,Sheet1!BF:BF,Sheet1!AF:AF,""), IF(_xlpm.x=0,"",_xlpm.x))</f>
        <v>昆明鼎承科技有限公司</v>
      </c>
      <c r="E196" s="11" t="str">
        <f>_xlfn.LET(_xlpm.x, _xlfn.XLOOKUP(B196,Sheet1!BF:BF,Sheet1!AD:AD,""), IF(_xlpm.x=0,"",_xlpm.x))</f>
        <v>工业智能化研发部</v>
      </c>
      <c r="F196" s="82" t="s">
        <v>1209</v>
      </c>
      <c r="G196" t="s">
        <v>9098</v>
      </c>
      <c r="H196" t="s">
        <v>9210</v>
      </c>
      <c r="I196" s="11" t="s">
        <v>9123</v>
      </c>
    </row>
    <row r="197" spans="1:9" x14ac:dyDescent="0.25">
      <c r="A197" s="11" t="s">
        <v>2091</v>
      </c>
      <c r="B197" s="5" t="s">
        <v>2096</v>
      </c>
      <c r="C197" s="82" t="s">
        <v>9225</v>
      </c>
      <c r="D197" t="str">
        <f>_xlfn.LET(_xlpm.x, _xlfn.XLOOKUP(B197,Sheet1!BF:BF,Sheet1!AF:AF,""), IF(_xlpm.x=0,"",_xlpm.x))</f>
        <v>昆明鼎承科技有限公司</v>
      </c>
      <c r="E197" s="11" t="str">
        <f>_xlfn.LET(_xlpm.x, _xlfn.XLOOKUP(B197,Sheet1!BF:BF,Sheet1!AD:AD,""), IF(_xlpm.x=0,"",_xlpm.x))</f>
        <v>质量保证部</v>
      </c>
      <c r="F197" s="82" t="s">
        <v>1514</v>
      </c>
      <c r="G197" t="s">
        <v>58</v>
      </c>
      <c r="H197" t="s">
        <v>9213</v>
      </c>
      <c r="I197" s="11" t="s">
        <v>9189</v>
      </c>
    </row>
    <row r="198" spans="1:9" x14ac:dyDescent="0.25">
      <c r="A198" s="11" t="s">
        <v>2050</v>
      </c>
      <c r="B198" s="5" t="s">
        <v>2055</v>
      </c>
      <c r="C198" s="82" t="s">
        <v>9226</v>
      </c>
      <c r="D198" t="str">
        <f>_xlfn.LET(_xlpm.x, _xlfn.XLOOKUP(B198,Sheet1!BF:BF,Sheet1!AF:AF,""), IF(_xlpm.x=0,"",_xlpm.x))</f>
        <v>昆明鑫晟源科技有限公司</v>
      </c>
      <c r="E198" s="11" t="str">
        <f>_xlfn.LET(_xlpm.x, _xlfn.XLOOKUP(B198,Sheet1!BF:BF,Sheet1!AD:AD,""), IF(_xlpm.x=0,"",_xlpm.x))</f>
        <v>安调中心</v>
      </c>
      <c r="F198" s="82" t="s">
        <v>551</v>
      </c>
      <c r="G198" t="s">
        <v>58</v>
      </c>
      <c r="H198" t="s">
        <v>9207</v>
      </c>
      <c r="I198" s="11" t="s">
        <v>9159</v>
      </c>
    </row>
    <row r="199" spans="1:9" x14ac:dyDescent="0.25">
      <c r="A199" s="11" t="s">
        <v>2060</v>
      </c>
      <c r="B199" s="5" t="s">
        <v>2065</v>
      </c>
      <c r="C199" s="82" t="s">
        <v>9226</v>
      </c>
      <c r="D199" t="str">
        <f>_xlfn.LET(_xlpm.x, _xlfn.XLOOKUP(B199,Sheet1!BF:BF,Sheet1!AF:AF,""), IF(_xlpm.x=0,"",_xlpm.x))</f>
        <v>昆明鑫晟源科技有限公司</v>
      </c>
      <c r="E199" s="11" t="str">
        <f>_xlfn.LET(_xlpm.x, _xlfn.XLOOKUP(B199,Sheet1!BF:BF,Sheet1!AD:AD,""), IF(_xlpm.x=0,"",_xlpm.x))</f>
        <v>安调中心</v>
      </c>
      <c r="F199" s="82" t="s">
        <v>551</v>
      </c>
      <c r="G199" t="s">
        <v>905</v>
      </c>
      <c r="H199" t="s">
        <v>9207</v>
      </c>
      <c r="I199" s="11" t="s">
        <v>9153</v>
      </c>
    </row>
    <row r="200" spans="1:9" x14ac:dyDescent="0.25">
      <c r="A200" s="11" t="s">
        <v>2162</v>
      </c>
      <c r="B200" s="5" t="s">
        <v>2167</v>
      </c>
      <c r="C200" s="82" t="s">
        <v>9225</v>
      </c>
      <c r="D200" t="str">
        <f>_xlfn.LET(_xlpm.x, _xlfn.XLOOKUP(B200,Sheet1!BF:BF,Sheet1!AF:AF,""), IF(_xlpm.x=0,"",_xlpm.x))</f>
        <v>昆明鼎承科技有限公司</v>
      </c>
      <c r="E200" s="11" t="str">
        <f>_xlfn.LET(_xlpm.x, _xlfn.XLOOKUP(B200,Sheet1!BF:BF,Sheet1!AD:AD,""), IF(_xlpm.x=0,"",_xlpm.x))</f>
        <v>工业智能化研发部</v>
      </c>
      <c r="F200" s="82" t="s">
        <v>1209</v>
      </c>
      <c r="G200" t="s">
        <v>2152</v>
      </c>
      <c r="H200" t="s">
        <v>9210</v>
      </c>
      <c r="I200" s="11" t="s">
        <v>9143</v>
      </c>
    </row>
    <row r="201" spans="1:9" x14ac:dyDescent="0.25">
      <c r="A201" s="11" t="s">
        <v>2153</v>
      </c>
      <c r="B201" s="5" t="s">
        <v>2158</v>
      </c>
      <c r="C201" s="82" t="s">
        <v>9225</v>
      </c>
      <c r="D201" t="str">
        <f>_xlfn.LET(_xlpm.x, _xlfn.XLOOKUP(B201,Sheet1!BF:BF,Sheet1!AF:AF,""), IF(_xlpm.x=0,"",_xlpm.x))</f>
        <v>昆明鼎承科技有限公司</v>
      </c>
      <c r="E201" s="11" t="str">
        <f>_xlfn.LET(_xlpm.x, _xlfn.XLOOKUP(B201,Sheet1!BF:BF,Sheet1!AD:AD,""), IF(_xlpm.x=0,"",_xlpm.x))</f>
        <v>食堂组</v>
      </c>
      <c r="F201" s="82" t="s">
        <v>2155</v>
      </c>
      <c r="G201" t="s">
        <v>257</v>
      </c>
      <c r="H201" t="s">
        <v>9219</v>
      </c>
      <c r="I201" s="11" t="s">
        <v>9180</v>
      </c>
    </row>
    <row r="202" spans="1:9" x14ac:dyDescent="0.25">
      <c r="A202" s="11" t="s">
        <v>2142</v>
      </c>
      <c r="B202" s="5" t="s">
        <v>2147</v>
      </c>
      <c r="C202" s="82" t="s">
        <v>9235</v>
      </c>
      <c r="D202" t="str">
        <f>_xlfn.LET(_xlpm.x, _xlfn.XLOOKUP(B202,Sheet1!BF:BF,Sheet1!AF:AF,""), IF(_xlpm.x=0,"",_xlpm.x))</f>
        <v>昆明鼎承科技有限公司</v>
      </c>
      <c r="E202" s="11" t="str">
        <f>_xlfn.LET(_xlpm.x, _xlfn.XLOOKUP(B202,Sheet1!BF:BF,Sheet1!AD:AD,""), IF(_xlpm.x=0,"",_xlpm.x))</f>
        <v>总经理办公室</v>
      </c>
      <c r="F202" s="82" t="s">
        <v>2144</v>
      </c>
      <c r="G202" t="s">
        <v>9101</v>
      </c>
      <c r="H202" t="s">
        <v>9211</v>
      </c>
      <c r="I202" s="11" t="s">
        <v>9118</v>
      </c>
    </row>
    <row r="203" spans="1:9" x14ac:dyDescent="0.25">
      <c r="A203" s="11" t="s">
        <v>2117</v>
      </c>
      <c r="B203" s="5" t="s">
        <v>2121</v>
      </c>
      <c r="C203" s="82" t="s">
        <v>9226</v>
      </c>
      <c r="D203" t="str">
        <f>_xlfn.LET(_xlpm.x, _xlfn.XLOOKUP(B203,Sheet1!BF:BF,Sheet1!AF:AF,""), IF(_xlpm.x=0,"",_xlpm.x))</f>
        <v>昆明鑫晟源科技有限公司</v>
      </c>
      <c r="E203" s="11" t="str">
        <f>_xlfn.LET(_xlpm.x, _xlfn.XLOOKUP(B203,Sheet1!BF:BF,Sheet1!AD:AD,""), IF(_xlpm.x=0,"",_xlpm.x))</f>
        <v>工艺技术部</v>
      </c>
      <c r="F203" s="82" t="s">
        <v>1097</v>
      </c>
      <c r="G203" t="s">
        <v>905</v>
      </c>
      <c r="H203" t="s">
        <v>9210</v>
      </c>
      <c r="I203" s="11" t="s">
        <v>9133</v>
      </c>
    </row>
    <row r="204" spans="1:9" x14ac:dyDescent="0.25">
      <c r="A204" s="11" t="s">
        <v>2133</v>
      </c>
      <c r="B204" s="5" t="s">
        <v>2138</v>
      </c>
      <c r="C204" s="82" t="s">
        <v>9226</v>
      </c>
      <c r="D204" t="str">
        <f>_xlfn.LET(_xlpm.x, _xlfn.XLOOKUP(B204,Sheet1!BF:BF,Sheet1!AF:AF,""), IF(_xlpm.x=0,"",_xlpm.x))</f>
        <v>昆明鑫晟源科技有限公司</v>
      </c>
      <c r="E204" s="11" t="str">
        <f>_xlfn.LET(_xlpm.x, _xlfn.XLOOKUP(B204,Sheet1!BF:BF,Sheet1!AD:AD,""), IF(_xlpm.x=0,"",_xlpm.x))</f>
        <v>安调中心</v>
      </c>
      <c r="F204" s="82" t="s">
        <v>616</v>
      </c>
      <c r="G204" t="s">
        <v>9098</v>
      </c>
      <c r="H204" t="s">
        <v>9207</v>
      </c>
      <c r="I204" s="11" t="s">
        <v>9173</v>
      </c>
    </row>
    <row r="205" spans="1:9" x14ac:dyDescent="0.25">
      <c r="A205" s="11" t="s">
        <v>2124</v>
      </c>
      <c r="B205" s="5" t="s">
        <v>2129</v>
      </c>
      <c r="C205" s="82" t="s">
        <v>9226</v>
      </c>
      <c r="D205" t="str">
        <f>_xlfn.LET(_xlpm.x, _xlfn.XLOOKUP(B205,Sheet1!BF:BF,Sheet1!AF:AF,""), IF(_xlpm.x=0,"",_xlpm.x))</f>
        <v>昆明鑫晟源科技有限公司</v>
      </c>
      <c r="E205" s="11" t="str">
        <f>_xlfn.LET(_xlpm.x, _xlfn.XLOOKUP(B205,Sheet1!BF:BF,Sheet1!AD:AD,""), IF(_xlpm.x=0,"",_xlpm.x))</f>
        <v>生产技术部</v>
      </c>
      <c r="F205" s="82" t="s">
        <v>1526</v>
      </c>
      <c r="G205" t="s">
        <v>9101</v>
      </c>
      <c r="H205" t="s">
        <v>9210</v>
      </c>
      <c r="I205" s="11" t="s">
        <v>9122</v>
      </c>
    </row>
    <row r="206" spans="1:9" x14ac:dyDescent="0.25">
      <c r="A206" s="11" t="s">
        <v>2106</v>
      </c>
      <c r="B206" s="5" t="s">
        <v>2113</v>
      </c>
      <c r="C206" s="82" t="s">
        <v>9225</v>
      </c>
      <c r="D206" t="str">
        <f>_xlfn.LET(_xlpm.x, _xlfn.XLOOKUP(B206,Sheet1!BF:BF,Sheet1!AF:AF,""), IF(_xlpm.x=0,"",_xlpm.x))</f>
        <v>昆明鼎承科技有限公司</v>
      </c>
      <c r="E206" s="11" t="str">
        <f>_xlfn.LET(_xlpm.x, _xlfn.XLOOKUP(B206,Sheet1!BF:BF,Sheet1!AD:AD,""), IF(_xlpm.x=0,"",_xlpm.x))</f>
        <v>企业管理部</v>
      </c>
      <c r="F206" s="82" t="s">
        <v>2110</v>
      </c>
      <c r="G206" t="s">
        <v>9101</v>
      </c>
      <c r="H206" t="s">
        <v>9210</v>
      </c>
      <c r="I206" s="11" t="s">
        <v>9122</v>
      </c>
    </row>
    <row r="207" spans="1:9" x14ac:dyDescent="0.25">
      <c r="A207" s="11" t="s">
        <v>2098</v>
      </c>
      <c r="B207" s="5" t="s">
        <v>2103</v>
      </c>
      <c r="C207" s="82" t="s">
        <v>9227</v>
      </c>
      <c r="D207" t="str">
        <f>_xlfn.LET(_xlpm.x, _xlfn.XLOOKUP(B207,Sheet1!BF:BF,Sheet1!AF:AF,""), IF(_xlpm.x=0,"",_xlpm.x))</f>
        <v>昆明鼎承科技有限公司</v>
      </c>
      <c r="E207" s="11" t="str">
        <f>_xlfn.LET(_xlpm.x, _xlfn.XLOOKUP(B207,Sheet1!BF:BF,Sheet1!AD:AD,""), IF(_xlpm.x=0,"",_xlpm.x))</f>
        <v>运营部</v>
      </c>
      <c r="F207" s="82" t="s">
        <v>2101</v>
      </c>
      <c r="G207" t="s">
        <v>905</v>
      </c>
      <c r="H207" t="s">
        <v>9217</v>
      </c>
      <c r="I207" s="11" t="s">
        <v>9157</v>
      </c>
    </row>
    <row r="208" spans="1:9" x14ac:dyDescent="0.25">
      <c r="A208" s="11" t="s">
        <v>2080</v>
      </c>
      <c r="B208" s="5" t="s">
        <v>2085</v>
      </c>
      <c r="C208" s="82" t="s">
        <v>9225</v>
      </c>
      <c r="D208" t="str">
        <f>_xlfn.LET(_xlpm.x, _xlfn.XLOOKUP(B208,Sheet1!BF:BF,Sheet1!AF:AF,""), IF(_xlpm.x=0,"",_xlpm.x))</f>
        <v>昆明鼎承科技有限公司</v>
      </c>
      <c r="E208" s="11" t="str">
        <f>_xlfn.LET(_xlpm.x, _xlfn.XLOOKUP(B208,Sheet1!BF:BF,Sheet1!AD:AD,""), IF(_xlpm.x=0,"",_xlpm.x))</f>
        <v>维修组</v>
      </c>
      <c r="F208" s="82" t="s">
        <v>2082</v>
      </c>
      <c r="G208" t="s">
        <v>63</v>
      </c>
      <c r="H208" t="s">
        <v>9221</v>
      </c>
      <c r="I208" s="11" t="s">
        <v>9136</v>
      </c>
    </row>
    <row r="209" spans="1:9" x14ac:dyDescent="0.25">
      <c r="A209" s="11" t="s">
        <v>2040</v>
      </c>
      <c r="B209" s="5" t="s">
        <v>2044</v>
      </c>
      <c r="C209" s="82" t="s">
        <v>9225</v>
      </c>
      <c r="D209" t="str">
        <f>_xlfn.LET(_xlpm.x, _xlfn.XLOOKUP(B209,Sheet1!BF:BF,Sheet1!AF:AF,""), IF(_xlpm.x=0,"",_xlpm.x))</f>
        <v>昆明鼎承科技有限公司</v>
      </c>
      <c r="E209" s="11" t="str">
        <f>_xlfn.LET(_xlpm.x, _xlfn.XLOOKUP(B209,Sheet1!BF:BF,Sheet1!AD:AD,""), IF(_xlpm.x=0,"",_xlpm.x))</f>
        <v>营销部</v>
      </c>
      <c r="F209" s="82" t="s">
        <v>319</v>
      </c>
      <c r="G209" t="s">
        <v>9098</v>
      </c>
      <c r="H209" t="s">
        <v>9217</v>
      </c>
      <c r="I209" s="11" t="s">
        <v>9178</v>
      </c>
    </row>
    <row r="210" spans="1:9" x14ac:dyDescent="0.25">
      <c r="A210" s="11" t="s">
        <v>2031</v>
      </c>
      <c r="B210" s="5" t="s">
        <v>2035</v>
      </c>
      <c r="C210" s="82" t="s">
        <v>9225</v>
      </c>
      <c r="D210" t="str">
        <f>_xlfn.LET(_xlpm.x, _xlfn.XLOOKUP(B210,Sheet1!BF:BF,Sheet1!AF:AF,""), IF(_xlpm.x=0,"",_xlpm.x))</f>
        <v>昆明鼎承科技有限公司</v>
      </c>
      <c r="E210" s="11" t="str">
        <f>_xlfn.LET(_xlpm.x, _xlfn.XLOOKUP(B210,Sheet1!BF:BF,Sheet1!AD:AD,""), IF(_xlpm.x=0,"",_xlpm.x))</f>
        <v>产品研发二部</v>
      </c>
      <c r="F210" s="82" t="s">
        <v>240</v>
      </c>
      <c r="G210" t="s">
        <v>58</v>
      </c>
      <c r="H210" t="s">
        <v>9206</v>
      </c>
      <c r="I210" s="11" t="s">
        <v>9128</v>
      </c>
    </row>
    <row r="211" spans="1:9" x14ac:dyDescent="0.25">
      <c r="A211" s="11" t="s">
        <v>2020</v>
      </c>
      <c r="B211" s="5" t="s">
        <v>2027</v>
      </c>
      <c r="C211" s="82" t="s">
        <v>9225</v>
      </c>
      <c r="D211" t="str">
        <f>_xlfn.LET(_xlpm.x, _xlfn.XLOOKUP(B211,Sheet1!BF:BF,Sheet1!AF:AF,""), IF(_xlpm.x=0,"",_xlpm.x))</f>
        <v>昆明鼎承科技有限公司</v>
      </c>
      <c r="E211" s="11" t="str">
        <f>_xlfn.LET(_xlpm.x, _xlfn.XLOOKUP(B211,Sheet1!BF:BF,Sheet1!AD:AD,""), IF(_xlpm.x=0,"",_xlpm.x))</f>
        <v>信息技术部</v>
      </c>
      <c r="F211" s="82" t="s">
        <v>2024</v>
      </c>
      <c r="G211" t="s">
        <v>2152</v>
      </c>
      <c r="H211" t="s">
        <v>9218</v>
      </c>
      <c r="I211" s="11" t="s">
        <v>9190</v>
      </c>
    </row>
    <row r="212" spans="1:9" x14ac:dyDescent="0.25">
      <c r="A212" s="11" t="s">
        <v>1980</v>
      </c>
      <c r="B212" s="5" t="s">
        <v>1984</v>
      </c>
      <c r="C212" s="82" t="s">
        <v>9225</v>
      </c>
      <c r="D212" t="str">
        <f>_xlfn.LET(_xlpm.x, _xlfn.XLOOKUP(B212,Sheet1!BF:BF,Sheet1!AF:AF,""), IF(_xlpm.x=0,"",_xlpm.x))</f>
        <v>昆明鼎承科技有限公司</v>
      </c>
      <c r="E212" s="11" t="str">
        <f>_xlfn.LET(_xlpm.x, _xlfn.XLOOKUP(B212,Sheet1!BF:BF,Sheet1!AD:AD,""), IF(_xlpm.x=0,"",_xlpm.x))</f>
        <v>信息技术部</v>
      </c>
      <c r="F212" s="82" t="s">
        <v>477</v>
      </c>
      <c r="G212" t="s">
        <v>9101</v>
      </c>
      <c r="H212" t="s">
        <v>9220</v>
      </c>
      <c r="I212" s="11" t="s">
        <v>9191</v>
      </c>
    </row>
    <row r="213" spans="1:9" x14ac:dyDescent="0.25">
      <c r="A213" s="11" t="s">
        <v>1972</v>
      </c>
      <c r="B213" s="5" t="s">
        <v>1976</v>
      </c>
      <c r="C213" s="82" t="s">
        <v>9225</v>
      </c>
      <c r="D213" t="str">
        <f>_xlfn.LET(_xlpm.x, _xlfn.XLOOKUP(B213,Sheet1!BF:BF,Sheet1!AF:AF,""), IF(_xlpm.x=0,"",_xlpm.x))</f>
        <v>昆明鼎承科技有限公司</v>
      </c>
      <c r="E213" s="11" t="str">
        <f>_xlfn.LET(_xlpm.x, _xlfn.XLOOKUP(B213,Sheet1!BF:BF,Sheet1!AD:AD,""), IF(_xlpm.x=0,"",_xlpm.x))</f>
        <v>采购部</v>
      </c>
      <c r="F213" s="82" t="s">
        <v>1379</v>
      </c>
      <c r="G213" t="s">
        <v>2152</v>
      </c>
      <c r="H213" t="s">
        <v>9221</v>
      </c>
      <c r="I213" s="11" t="s">
        <v>9185</v>
      </c>
    </row>
    <row r="214" spans="1:9" x14ac:dyDescent="0.25">
      <c r="A214" s="11" t="s">
        <v>1963</v>
      </c>
      <c r="B214" s="5" t="s">
        <v>1969</v>
      </c>
      <c r="C214" s="82" t="s">
        <v>9225</v>
      </c>
      <c r="D214" t="str">
        <f>_xlfn.LET(_xlpm.x, _xlfn.XLOOKUP(B214,Sheet1!BF:BF,Sheet1!AF:AF,""), IF(_xlpm.x=0,"",_xlpm.x))</f>
        <v>昆明鼎承科技有限公司</v>
      </c>
      <c r="E214" s="11" t="str">
        <f>_xlfn.LET(_xlpm.x, _xlfn.XLOOKUP(B214,Sheet1!BF:BF,Sheet1!AD:AD,""), IF(_xlpm.x=0,"",_xlpm.x))</f>
        <v>信息技术部</v>
      </c>
      <c r="F214" s="82" t="s">
        <v>477</v>
      </c>
      <c r="G214" t="s">
        <v>9104</v>
      </c>
      <c r="H214" t="s">
        <v>9220</v>
      </c>
      <c r="I214" s="11" t="s">
        <v>9183</v>
      </c>
    </row>
    <row r="215" spans="1:9" x14ac:dyDescent="0.25">
      <c r="A215" s="11" t="s">
        <v>2008</v>
      </c>
      <c r="B215" s="5" t="s">
        <v>2015</v>
      </c>
      <c r="C215" s="82" t="s">
        <v>9225</v>
      </c>
      <c r="D215" t="str">
        <f>_xlfn.LET(_xlpm.x, _xlfn.XLOOKUP(B215,Sheet1!BF:BF,Sheet1!AF:AF,""), IF(_xlpm.x=0,"",_xlpm.x))</f>
        <v>昆明鼎承科技有限公司</v>
      </c>
      <c r="E215" s="11" t="str">
        <f>_xlfn.LET(_xlpm.x, _xlfn.XLOOKUP(B215,Sheet1!BF:BF,Sheet1!AD:AD,""), IF(_xlpm.x=0,"",_xlpm.x))</f>
        <v>安全管理部</v>
      </c>
      <c r="F215" s="82" t="s">
        <v>1394</v>
      </c>
      <c r="G215" t="s">
        <v>2152</v>
      </c>
      <c r="H215" t="s">
        <v>9205</v>
      </c>
      <c r="I215" s="11" t="s">
        <v>9192</v>
      </c>
    </row>
    <row r="216" spans="1:9" x14ac:dyDescent="0.25">
      <c r="A216" s="11" t="s">
        <v>1999</v>
      </c>
      <c r="B216" s="5" t="s">
        <v>2004</v>
      </c>
      <c r="C216" s="82" t="s">
        <v>9225</v>
      </c>
      <c r="D216" t="str">
        <f>_xlfn.LET(_xlpm.x, _xlfn.XLOOKUP(B216,Sheet1!BF:BF,Sheet1!AF:AF,""), IF(_xlpm.x=0,"",_xlpm.x))</f>
        <v>昆明鼎承科技有限公司</v>
      </c>
      <c r="E216" s="11" t="str">
        <f>_xlfn.LET(_xlpm.x, _xlfn.XLOOKUP(B216,Sheet1!BF:BF,Sheet1!AD:AD,""), IF(_xlpm.x=0,"",_xlpm.x))</f>
        <v>财务部</v>
      </c>
      <c r="F216" s="82" t="s">
        <v>2002</v>
      </c>
      <c r="G216" t="s">
        <v>9104</v>
      </c>
      <c r="H216" t="s">
        <v>9205</v>
      </c>
      <c r="I216" s="11" t="s">
        <v>9095</v>
      </c>
    </row>
    <row r="217" spans="1:9" x14ac:dyDescent="0.25">
      <c r="A217" s="11" t="s">
        <v>1955</v>
      </c>
      <c r="B217" s="5" t="s">
        <v>1959</v>
      </c>
      <c r="C217" s="82" t="s">
        <v>9227</v>
      </c>
      <c r="D217" t="str">
        <f>_xlfn.LET(_xlpm.x, _xlfn.XLOOKUP(B217,Sheet1!BF:BF,Sheet1!AF:AF,""), IF(_xlpm.x=0,"",_xlpm.x))</f>
        <v>昆明三行智造科技有限公司</v>
      </c>
      <c r="E217" s="11" t="str">
        <f>_xlfn.LET(_xlpm.x, _xlfn.XLOOKUP(B217,Sheet1!BF:BF,Sheet1!AD:AD,""), IF(_xlpm.x=0,"",_xlpm.x))</f>
        <v>交付业务部</v>
      </c>
      <c r="F217" s="82" t="s">
        <v>565</v>
      </c>
      <c r="G217" t="s">
        <v>58</v>
      </c>
      <c r="H217" t="s">
        <v>9207</v>
      </c>
      <c r="I217" s="11" t="s">
        <v>9159</v>
      </c>
    </row>
    <row r="218" spans="1:9" x14ac:dyDescent="0.25">
      <c r="A218" s="11" t="s">
        <v>1893</v>
      </c>
      <c r="B218" s="5" t="s">
        <v>1898</v>
      </c>
      <c r="C218" s="82" t="s">
        <v>9225</v>
      </c>
      <c r="D218" t="str">
        <f>_xlfn.LET(_xlpm.x, _xlfn.XLOOKUP(B218,Sheet1!BF:BF,Sheet1!AF:AF,""), IF(_xlpm.x=0,"",_xlpm.x))</f>
        <v>昆明鼎承科技有限公司</v>
      </c>
      <c r="E218" s="11" t="str">
        <f>_xlfn.LET(_xlpm.x, _xlfn.XLOOKUP(B218,Sheet1!BF:BF,Sheet1!AD:AD,""), IF(_xlpm.x=0,"",_xlpm.x))</f>
        <v>采购部</v>
      </c>
      <c r="F218" s="82" t="s">
        <v>1379</v>
      </c>
      <c r="G218" t="s">
        <v>2152</v>
      </c>
      <c r="H218" t="s">
        <v>9221</v>
      </c>
      <c r="I218" s="11" t="s">
        <v>9185</v>
      </c>
    </row>
    <row r="219" spans="1:9" x14ac:dyDescent="0.25">
      <c r="A219" s="11" t="s">
        <v>1947</v>
      </c>
      <c r="B219" s="5" t="s">
        <v>1952</v>
      </c>
      <c r="C219" s="82" t="s">
        <v>9225</v>
      </c>
      <c r="D219" t="str">
        <f>_xlfn.LET(_xlpm.x, _xlfn.XLOOKUP(B219,Sheet1!BF:BF,Sheet1!AF:AF,""), IF(_xlpm.x=0,"",_xlpm.x))</f>
        <v>昆明鼎承科技有限公司</v>
      </c>
      <c r="E219" s="11" t="str">
        <f>_xlfn.LET(_xlpm.x, _xlfn.XLOOKUP(B219,Sheet1!BF:BF,Sheet1!AD:AD,""), IF(_xlpm.x=0,"",_xlpm.x))</f>
        <v>产品研发二部</v>
      </c>
      <c r="F219" s="82" t="s">
        <v>240</v>
      </c>
      <c r="G219" t="s">
        <v>9101</v>
      </c>
      <c r="H219" t="s">
        <v>9206</v>
      </c>
      <c r="I219" s="11" t="s">
        <v>9127</v>
      </c>
    </row>
    <row r="220" spans="1:9" x14ac:dyDescent="0.25">
      <c r="A220" s="11" t="s">
        <v>1880</v>
      </c>
      <c r="B220" s="5" t="s">
        <v>1883</v>
      </c>
      <c r="C220" s="82" t="s">
        <v>9229</v>
      </c>
      <c r="D220" t="str">
        <f>_xlfn.LET(_xlpm.x, _xlfn.XLOOKUP(B220,Sheet1!BF:BF,Sheet1!AF:AF,""), IF(_xlpm.x=0,"",_xlpm.x))</f>
        <v>昆明鼎承科技有限公司</v>
      </c>
      <c r="E220" s="11" t="str">
        <f>_xlfn.LET(_xlpm.x, _xlfn.XLOOKUP(B220,Sheet1!BF:BF,Sheet1!AD:AD,""), IF(_xlpm.x=0,"",_xlpm.x))</f>
        <v>机加车间</v>
      </c>
      <c r="F220" s="82" t="s">
        <v>574</v>
      </c>
      <c r="G220" t="s">
        <v>2152</v>
      </c>
      <c r="H220" t="s">
        <v>9215</v>
      </c>
      <c r="I220" s="11" t="s">
        <v>9160</v>
      </c>
    </row>
    <row r="221" spans="1:9" x14ac:dyDescent="0.25">
      <c r="A221" s="11" t="s">
        <v>1941</v>
      </c>
      <c r="B221" s="5" t="s">
        <v>1944</v>
      </c>
      <c r="C221" s="82" t="s">
        <v>9227</v>
      </c>
      <c r="D221" t="str">
        <f>_xlfn.LET(_xlpm.x, _xlfn.XLOOKUP(B221,Sheet1!BF:BF,Sheet1!AF:AF,""), IF(_xlpm.x=0,"",_xlpm.x))</f>
        <v>昆明三行智造科技有限公司</v>
      </c>
      <c r="E221" s="11" t="str">
        <f>_xlfn.LET(_xlpm.x, _xlfn.XLOOKUP(B221,Sheet1!BF:BF,Sheet1!AD:AD,""), IF(_xlpm.x=0,"",_xlpm.x))</f>
        <v>交付业务部</v>
      </c>
      <c r="F221" s="82" t="s">
        <v>565</v>
      </c>
      <c r="G221" t="s">
        <v>58</v>
      </c>
      <c r="H221" t="s">
        <v>9207</v>
      </c>
      <c r="I221" s="11" t="s">
        <v>9159</v>
      </c>
    </row>
    <row r="222" spans="1:9" x14ac:dyDescent="0.25">
      <c r="A222" s="11" t="s">
        <v>1933</v>
      </c>
      <c r="B222" s="5" t="s">
        <v>1938</v>
      </c>
      <c r="C222" s="82" t="s">
        <v>9225</v>
      </c>
      <c r="D222" t="str">
        <f>_xlfn.LET(_xlpm.x, _xlfn.XLOOKUP(B222,Sheet1!BF:BF,Sheet1!AF:AF,""), IF(_xlpm.x=0,"",_xlpm.x))</f>
        <v>昆明鼎承科技有限公司</v>
      </c>
      <c r="E222" s="11" t="str">
        <f>_xlfn.LET(_xlpm.x, _xlfn.XLOOKUP(B222,Sheet1!BF:BF,Sheet1!AD:AD,""), IF(_xlpm.x=0,"",_xlpm.x))</f>
        <v>产品研发三部</v>
      </c>
      <c r="F222" s="82" t="s">
        <v>240</v>
      </c>
      <c r="G222" t="s">
        <v>9102</v>
      </c>
      <c r="H222" t="s">
        <v>9206</v>
      </c>
      <c r="I222" s="11" t="s">
        <v>9149</v>
      </c>
    </row>
    <row r="223" spans="1:9" x14ac:dyDescent="0.25">
      <c r="A223" s="11" t="s">
        <v>1926</v>
      </c>
      <c r="B223" s="5" t="s">
        <v>1929</v>
      </c>
      <c r="C223" s="82" t="s">
        <v>9226</v>
      </c>
      <c r="D223" t="str">
        <f>_xlfn.LET(_xlpm.x, _xlfn.XLOOKUP(B223,Sheet1!BF:BF,Sheet1!AF:AF,""), IF(_xlpm.x=0,"",_xlpm.x))</f>
        <v>昆明鑫晟源科技有限公司</v>
      </c>
      <c r="E223" s="11" t="str">
        <f>_xlfn.LET(_xlpm.x, _xlfn.XLOOKUP(B223,Sheet1!BF:BF,Sheet1!AD:AD,""), IF(_xlpm.x=0,"",_xlpm.x))</f>
        <v>生产技术部</v>
      </c>
      <c r="F223" s="82" t="s">
        <v>240</v>
      </c>
      <c r="G223" t="s">
        <v>905</v>
      </c>
      <c r="H223" t="s">
        <v>9206</v>
      </c>
      <c r="I223" s="11" t="s">
        <v>9134</v>
      </c>
    </row>
    <row r="224" spans="1:9" x14ac:dyDescent="0.25">
      <c r="A224" s="11" t="s">
        <v>1919</v>
      </c>
      <c r="B224" s="5" t="s">
        <v>1922</v>
      </c>
      <c r="C224" s="82" t="s">
        <v>9226</v>
      </c>
      <c r="D224" t="str">
        <f>_xlfn.LET(_xlpm.x, _xlfn.XLOOKUP(B224,Sheet1!BF:BF,Sheet1!AF:AF,""), IF(_xlpm.x=0,"",_xlpm.x))</f>
        <v>昆明鑫晟源科技有限公司</v>
      </c>
      <c r="E224" s="11" t="str">
        <f>_xlfn.LET(_xlpm.x, _xlfn.XLOOKUP(B224,Sheet1!BF:BF,Sheet1!AD:AD,""), IF(_xlpm.x=0,"",_xlpm.x))</f>
        <v>生产技术部</v>
      </c>
      <c r="F224" s="82" t="s">
        <v>240</v>
      </c>
      <c r="G224" t="s">
        <v>9104</v>
      </c>
      <c r="H224" t="s">
        <v>9206</v>
      </c>
      <c r="I224" s="11" t="s">
        <v>9148</v>
      </c>
    </row>
    <row r="225" spans="1:9" x14ac:dyDescent="0.25">
      <c r="A225" s="11" t="s">
        <v>1910</v>
      </c>
      <c r="B225" s="5" t="s">
        <v>1914</v>
      </c>
      <c r="C225" s="82" t="s">
        <v>9228</v>
      </c>
      <c r="D225" t="str">
        <f>_xlfn.LET(_xlpm.x, _xlfn.XLOOKUP(B225,Sheet1!BF:BF,Sheet1!AF:AF,""), IF(_xlpm.x=0,"",_xlpm.x))</f>
        <v>昆明鼎承科技有限公司</v>
      </c>
      <c r="E225" s="11" t="str">
        <f>_xlfn.LET(_xlpm.x, _xlfn.XLOOKUP(B225,Sheet1!BF:BF,Sheet1!AD:AD,""), IF(_xlpm.x=0,"",_xlpm.x))</f>
        <v>保障部办公室</v>
      </c>
      <c r="F225" s="82" t="s">
        <v>1444</v>
      </c>
      <c r="G225" t="s">
        <v>905</v>
      </c>
      <c r="H225" t="s">
        <v>9209</v>
      </c>
      <c r="I225" s="11" t="s">
        <v>9099</v>
      </c>
    </row>
    <row r="226" spans="1:9" x14ac:dyDescent="0.25">
      <c r="A226" s="11" t="s">
        <v>1886</v>
      </c>
      <c r="B226" s="5" t="s">
        <v>1889</v>
      </c>
      <c r="C226" s="82" t="s">
        <v>9226</v>
      </c>
      <c r="D226" t="str">
        <f>_xlfn.LET(_xlpm.x, _xlfn.XLOOKUP(B226,Sheet1!BF:BF,Sheet1!AF:AF,""), IF(_xlpm.x=0,"",_xlpm.x))</f>
        <v>昆明鑫晟源科技有限公司</v>
      </c>
      <c r="E226" s="11" t="str">
        <f>_xlfn.LET(_xlpm.x, _xlfn.XLOOKUP(B226,Sheet1!BF:BF,Sheet1!AD:AD,""), IF(_xlpm.x=0,"",_xlpm.x))</f>
        <v>安调中心</v>
      </c>
      <c r="F226" s="82" t="s">
        <v>616</v>
      </c>
      <c r="G226" t="s">
        <v>61</v>
      </c>
      <c r="H226" t="s">
        <v>9207</v>
      </c>
      <c r="I226" s="11" t="s">
        <v>9177</v>
      </c>
    </row>
    <row r="227" spans="1:9" x14ac:dyDescent="0.25">
      <c r="A227" s="11" t="s">
        <v>1870</v>
      </c>
      <c r="B227" s="5" t="s">
        <v>1874</v>
      </c>
      <c r="C227" s="82" t="s">
        <v>9225</v>
      </c>
      <c r="D227" t="str">
        <f>_xlfn.LET(_xlpm.x, _xlfn.XLOOKUP(B227,Sheet1!BF:BF,Sheet1!AF:AF,""), IF(_xlpm.x=0,"",_xlpm.x))</f>
        <v>昆明鼎承科技有限公司</v>
      </c>
      <c r="E227" s="11" t="str">
        <f>_xlfn.LET(_xlpm.x, _xlfn.XLOOKUP(B227,Sheet1!BF:BF,Sheet1!AD:AD,""), IF(_xlpm.x=0,"",_xlpm.x))</f>
        <v>产品研发三部</v>
      </c>
      <c r="F227" s="82" t="s">
        <v>240</v>
      </c>
      <c r="G227" t="s">
        <v>9102</v>
      </c>
      <c r="H227" t="s">
        <v>9206</v>
      </c>
      <c r="I227" s="11" t="s">
        <v>9149</v>
      </c>
    </row>
    <row r="228" spans="1:9" x14ac:dyDescent="0.25">
      <c r="A228" s="11" t="s">
        <v>1863</v>
      </c>
      <c r="B228" s="5" t="s">
        <v>1867</v>
      </c>
      <c r="C228" s="82" t="s">
        <v>9229</v>
      </c>
      <c r="D228" t="str">
        <f>_xlfn.LET(_xlpm.x, _xlfn.XLOOKUP(B228,Sheet1!BF:BF,Sheet1!AF:AF,""), IF(_xlpm.x=0,"",_xlpm.x))</f>
        <v>昆明鼎承科技有限公司</v>
      </c>
      <c r="E228" s="11" t="str">
        <f>_xlfn.LET(_xlpm.x, _xlfn.XLOOKUP(B228,Sheet1!BF:BF,Sheet1!AD:AD,""), IF(_xlpm.x=0,"",_xlpm.x))</f>
        <v>机加车间</v>
      </c>
      <c r="F228" s="82" t="s">
        <v>1865</v>
      </c>
      <c r="G228" t="s">
        <v>58</v>
      </c>
      <c r="H228" t="s">
        <v>9215</v>
      </c>
      <c r="I228" s="11" t="s">
        <v>9193</v>
      </c>
    </row>
    <row r="229" spans="1:9" x14ac:dyDescent="0.25">
      <c r="A229" s="11" t="s">
        <v>1858</v>
      </c>
      <c r="B229" s="5" t="s">
        <v>1861</v>
      </c>
      <c r="C229" s="82" t="s">
        <v>9227</v>
      </c>
      <c r="D229" t="str">
        <f>_xlfn.LET(_xlpm.x, _xlfn.XLOOKUP(B229,Sheet1!BF:BF,Sheet1!AF:AF,""), IF(_xlpm.x=0,"",_xlpm.x))</f>
        <v>昆明三行智造科技有限公司</v>
      </c>
      <c r="E229" s="11" t="str">
        <f>_xlfn.LET(_xlpm.x, _xlfn.XLOOKUP(B229,Sheet1!BF:BF,Sheet1!AD:AD,""), IF(_xlpm.x=0,"",_xlpm.x))</f>
        <v>产品技术部</v>
      </c>
      <c r="F229" s="82" t="s">
        <v>634</v>
      </c>
      <c r="G229" t="s">
        <v>2152</v>
      </c>
      <c r="H229" t="s">
        <v>9206</v>
      </c>
      <c r="I229" s="11" t="s">
        <v>9182</v>
      </c>
    </row>
    <row r="230" spans="1:9" x14ac:dyDescent="0.25">
      <c r="A230" s="11" t="s">
        <v>1845</v>
      </c>
      <c r="B230" s="5" t="s">
        <v>1850</v>
      </c>
      <c r="C230" s="82" t="s">
        <v>9226</v>
      </c>
      <c r="D230" t="str">
        <f>_xlfn.LET(_xlpm.x, _xlfn.XLOOKUP(B230,Sheet1!BF:BF,Sheet1!AF:AF,""), IF(_xlpm.x=0,"",_xlpm.x))</f>
        <v>昆明鑫晟源科技有限公司</v>
      </c>
      <c r="E230" s="11" t="str">
        <f>_xlfn.LET(_xlpm.x, _xlfn.XLOOKUP(B230,Sheet1!BF:BF,Sheet1!AD:AD,""), IF(_xlpm.x=0,"",_xlpm.x))</f>
        <v>生产技术部</v>
      </c>
      <c r="F230" s="82" t="s">
        <v>1848</v>
      </c>
      <c r="G230" t="s">
        <v>905</v>
      </c>
      <c r="H230" t="s">
        <v>9210</v>
      </c>
      <c r="I230" s="11" t="s">
        <v>9133</v>
      </c>
    </row>
    <row r="231" spans="1:9" x14ac:dyDescent="0.25">
      <c r="A231" s="11" t="s">
        <v>1755</v>
      </c>
      <c r="B231" s="5" t="s">
        <v>1759</v>
      </c>
      <c r="C231" s="82" t="s">
        <v>9226</v>
      </c>
      <c r="D231" t="str">
        <f>_xlfn.LET(_xlpm.x, _xlfn.XLOOKUP(B231,Sheet1!BF:BF,Sheet1!AF:AF,""), IF(_xlpm.x=0,"",_xlpm.x))</f>
        <v>昆明鑫晟源科技有限公司</v>
      </c>
      <c r="E231" s="11" t="str">
        <f>_xlfn.LET(_xlpm.x, _xlfn.XLOOKUP(B231,Sheet1!BF:BF,Sheet1!AD:AD,""), IF(_xlpm.x=0,"",_xlpm.x))</f>
        <v>安调中心</v>
      </c>
      <c r="F231" s="82" t="s">
        <v>593</v>
      </c>
      <c r="G231" t="s">
        <v>61</v>
      </c>
      <c r="H231" t="s">
        <v>9207</v>
      </c>
      <c r="I231" s="11" t="s">
        <v>9177</v>
      </c>
    </row>
    <row r="232" spans="1:9" x14ac:dyDescent="0.25">
      <c r="A232" s="11" t="s">
        <v>1836</v>
      </c>
      <c r="B232" s="5" t="s">
        <v>1841</v>
      </c>
      <c r="C232" s="82" t="s">
        <v>9225</v>
      </c>
      <c r="D232" t="str">
        <f>_xlfn.LET(_xlpm.x, _xlfn.XLOOKUP(B232,Sheet1!BF:BF,Sheet1!AF:AF,""), IF(_xlpm.x=0,"",_xlpm.x))</f>
        <v>昆明鼎承科技有限公司</v>
      </c>
      <c r="E232" s="11" t="str">
        <f>_xlfn.LET(_xlpm.x, _xlfn.XLOOKUP(B232,Sheet1!BF:BF,Sheet1!AD:AD,""), IF(_xlpm.x=0,"",_xlpm.x))</f>
        <v>产品研发二部</v>
      </c>
      <c r="F232" s="82" t="s">
        <v>506</v>
      </c>
      <c r="G232" t="s">
        <v>2152</v>
      </c>
      <c r="H232" t="s">
        <v>9206</v>
      </c>
      <c r="I232" s="11" t="s">
        <v>9182</v>
      </c>
    </row>
    <row r="233" spans="1:9" x14ac:dyDescent="0.25">
      <c r="A233" s="11" t="s">
        <v>1781</v>
      </c>
      <c r="B233" s="5" t="s">
        <v>1785</v>
      </c>
      <c r="C233" s="82" t="s">
        <v>9226</v>
      </c>
      <c r="D233" t="str">
        <f>_xlfn.LET(_xlpm.x, _xlfn.XLOOKUP(B233,Sheet1!BF:BF,Sheet1!AF:AF,""), IF(_xlpm.x=0,"",_xlpm.x))</f>
        <v>昆明鑫晟源科技有限公司</v>
      </c>
      <c r="E233" s="11" t="str">
        <f>_xlfn.LET(_xlpm.x, _xlfn.XLOOKUP(B233,Sheet1!BF:BF,Sheet1!AD:AD,""), IF(_xlpm.x=0,"",_xlpm.x))</f>
        <v>安调中心</v>
      </c>
      <c r="F233" s="82" t="s">
        <v>551</v>
      </c>
      <c r="G233" t="s">
        <v>61</v>
      </c>
      <c r="H233" t="s">
        <v>9207</v>
      </c>
      <c r="I233" s="11" t="s">
        <v>9177</v>
      </c>
    </row>
    <row r="234" spans="1:9" x14ac:dyDescent="0.25">
      <c r="A234" s="11" t="s">
        <v>1736</v>
      </c>
      <c r="B234" s="5" t="s">
        <v>1742</v>
      </c>
      <c r="C234" s="82" t="s">
        <v>9229</v>
      </c>
      <c r="D234" t="str">
        <f>_xlfn.LET(_xlpm.x, _xlfn.XLOOKUP(B234,Sheet1!BF:BF,Sheet1!AF:AF,""), IF(_xlpm.x=0,"",_xlpm.x))</f>
        <v>昆明鼎承科技有限公司</v>
      </c>
      <c r="E234" s="11" t="str">
        <f>_xlfn.LET(_xlpm.x, _xlfn.XLOOKUP(B234,Sheet1!BF:BF,Sheet1!AD:AD,""), IF(_xlpm.x=0,"",_xlpm.x))</f>
        <v>检验室</v>
      </c>
      <c r="F234" s="82" t="s">
        <v>1739</v>
      </c>
      <c r="G234" t="s">
        <v>905</v>
      </c>
      <c r="H234" t="s">
        <v>9213</v>
      </c>
      <c r="I234" s="11" t="s">
        <v>9194</v>
      </c>
    </row>
    <row r="235" spans="1:9" x14ac:dyDescent="0.25">
      <c r="A235" s="11" t="s">
        <v>1772</v>
      </c>
      <c r="B235" s="5" t="s">
        <v>1775</v>
      </c>
      <c r="C235" s="82" t="s">
        <v>9226</v>
      </c>
      <c r="D235" t="str">
        <f>_xlfn.LET(_xlpm.x, _xlfn.XLOOKUP(B235,Sheet1!BF:BF,Sheet1!AF:AF,""), IF(_xlpm.x=0,"",_xlpm.x))</f>
        <v>昆明鑫晟源科技有限公司</v>
      </c>
      <c r="E235" s="11" t="str">
        <f>_xlfn.LET(_xlpm.x, _xlfn.XLOOKUP(B235,Sheet1!BF:BF,Sheet1!AD:AD,""), IF(_xlpm.x=0,"",_xlpm.x))</f>
        <v>安调中心</v>
      </c>
      <c r="F235" s="82" t="s">
        <v>616</v>
      </c>
      <c r="G235" t="s">
        <v>61</v>
      </c>
      <c r="H235" t="s">
        <v>9207</v>
      </c>
      <c r="I235" s="11" t="s">
        <v>9177</v>
      </c>
    </row>
    <row r="236" spans="1:9" x14ac:dyDescent="0.25">
      <c r="A236" s="11" t="s">
        <v>1788</v>
      </c>
      <c r="B236" s="5" t="s">
        <v>1791</v>
      </c>
      <c r="C236" s="82" t="s">
        <v>9231</v>
      </c>
      <c r="D236" t="str">
        <f>_xlfn.LET(_xlpm.x, _xlfn.XLOOKUP(B236,Sheet1!BF:BF,Sheet1!AF:AF,""), IF(_xlpm.x=0,"",_xlpm.x))</f>
        <v>昆明鑫晟源科技有限公司</v>
      </c>
      <c r="E236" s="11" t="str">
        <f>_xlfn.LET(_xlpm.x, _xlfn.XLOOKUP(B236,Sheet1!BF:BF,Sheet1!AD:AD,""), IF(_xlpm.x=0,"",_xlpm.x))</f>
        <v>安调五组</v>
      </c>
      <c r="F236" s="82" t="s">
        <v>551</v>
      </c>
      <c r="G236" t="s">
        <v>58</v>
      </c>
      <c r="H236" t="s">
        <v>9207</v>
      </c>
      <c r="I236" s="11" t="s">
        <v>9159</v>
      </c>
    </row>
    <row r="237" spans="1:9" x14ac:dyDescent="0.25">
      <c r="A237" s="11" t="s">
        <v>1777</v>
      </c>
      <c r="B237" s="5" t="s">
        <v>1780</v>
      </c>
      <c r="C237" s="82" t="s">
        <v>9239</v>
      </c>
      <c r="D237" t="str">
        <f>_xlfn.LET(_xlpm.x, _xlfn.XLOOKUP(B237,Sheet1!BF:BF,Sheet1!AF:AF,""), IF(_xlpm.x=0,"",_xlpm.x))</f>
        <v>昆明鼎承科技有限公司</v>
      </c>
      <c r="E237" s="11" t="str">
        <f>_xlfn.LET(_xlpm.x, _xlfn.XLOOKUP(B237,Sheet1!BF:BF,Sheet1!AD:AD,""), IF(_xlpm.x=0,"",_xlpm.x))</f>
        <v>产品研发三部</v>
      </c>
      <c r="F237" s="82" t="s">
        <v>616</v>
      </c>
      <c r="G237" t="s">
        <v>58</v>
      </c>
      <c r="H237" t="s">
        <v>9213</v>
      </c>
      <c r="I237" s="11" t="s">
        <v>9189</v>
      </c>
    </row>
    <row r="238" spans="1:9" x14ac:dyDescent="0.25">
      <c r="A238" s="11" t="s">
        <v>1809</v>
      </c>
      <c r="B238" s="5" t="s">
        <v>1816</v>
      </c>
      <c r="C238" s="82" t="s">
        <v>9225</v>
      </c>
      <c r="D238" t="str">
        <f>_xlfn.LET(_xlpm.x, _xlfn.XLOOKUP(B238,Sheet1!BF:BF,Sheet1!AF:AF,""), IF(_xlpm.x=0,"",_xlpm.x))</f>
        <v>昆明鼎承科技有限公司</v>
      </c>
      <c r="E238" s="11" t="str">
        <f>_xlfn.LET(_xlpm.x, _xlfn.XLOOKUP(B238,Sheet1!BF:BF,Sheet1!AD:AD,""), IF(_xlpm.x=0,"",_xlpm.x))</f>
        <v>人力资本部</v>
      </c>
      <c r="F238" s="82" t="s">
        <v>1813</v>
      </c>
      <c r="G238" t="s">
        <v>9098</v>
      </c>
      <c r="H238" t="s">
        <v>9205</v>
      </c>
      <c r="I238" s="11" t="s">
        <v>9195</v>
      </c>
    </row>
    <row r="239" spans="1:9" x14ac:dyDescent="0.25">
      <c r="A239" s="11" t="s">
        <v>1801</v>
      </c>
      <c r="B239" s="5" t="s">
        <v>1805</v>
      </c>
      <c r="C239" s="82" t="s">
        <v>9225</v>
      </c>
      <c r="D239" t="str">
        <f>_xlfn.LET(_xlpm.x, _xlfn.XLOOKUP(B239,Sheet1!BF:BF,Sheet1!AF:AF,""), IF(_xlpm.x=0,"",_xlpm.x))</f>
        <v>昆明鼎承科技有限公司</v>
      </c>
      <c r="E239" s="11" t="str">
        <f>_xlfn.LET(_xlpm.x, _xlfn.XLOOKUP(B239,Sheet1!BF:BF,Sheet1!AD:AD,""), IF(_xlpm.x=0,"",_xlpm.x))</f>
        <v>采购部</v>
      </c>
      <c r="F239" s="82" t="s">
        <v>1379</v>
      </c>
      <c r="G239" t="s">
        <v>2152</v>
      </c>
      <c r="H239" t="s">
        <v>9221</v>
      </c>
      <c r="I239" s="11" t="s">
        <v>9185</v>
      </c>
    </row>
    <row r="240" spans="1:9" x14ac:dyDescent="0.25">
      <c r="A240" s="11" t="s">
        <v>1763</v>
      </c>
      <c r="B240" s="5" t="s">
        <v>1768</v>
      </c>
      <c r="C240" s="82" t="s">
        <v>9226</v>
      </c>
      <c r="D240" t="str">
        <f>_xlfn.LET(_xlpm.x, _xlfn.XLOOKUP(B240,Sheet1!BF:BF,Sheet1!AF:AF,""), IF(_xlpm.x=0,"",_xlpm.x))</f>
        <v>昆明鑫晟源科技有限公司</v>
      </c>
      <c r="E240" s="11" t="str">
        <f>_xlfn.LET(_xlpm.x, _xlfn.XLOOKUP(B240,Sheet1!BF:BF,Sheet1!AD:AD,""), IF(_xlpm.x=0,"",_xlpm.x))</f>
        <v>安调中心</v>
      </c>
      <c r="F240" s="82" t="s">
        <v>616</v>
      </c>
      <c r="G240" t="s">
        <v>58</v>
      </c>
      <c r="H240" t="s">
        <v>9207</v>
      </c>
      <c r="I240" s="11" t="s">
        <v>9159</v>
      </c>
    </row>
    <row r="241" spans="1:9" x14ac:dyDescent="0.25">
      <c r="A241" s="11" t="s">
        <v>1793</v>
      </c>
      <c r="B241" s="5" t="s">
        <v>1799</v>
      </c>
      <c r="C241" s="82" t="s">
        <v>9225</v>
      </c>
      <c r="D241" t="str">
        <f>_xlfn.LET(_xlpm.x, _xlfn.XLOOKUP(B241,Sheet1!BF:BF,Sheet1!AF:AF,""), IF(_xlpm.x=0,"",_xlpm.x))</f>
        <v>昆明鼎承科技有限公司</v>
      </c>
      <c r="E241" s="11" t="str">
        <f>_xlfn.LET(_xlpm.x, _xlfn.XLOOKUP(B241,Sheet1!BF:BF,Sheet1!AD:AD,""), IF(_xlpm.x=0,"",_xlpm.x))</f>
        <v>产品研发二部</v>
      </c>
      <c r="F241" s="82" t="s">
        <v>1796</v>
      </c>
      <c r="G241" t="s">
        <v>2152</v>
      </c>
      <c r="H241" t="s">
        <v>9209</v>
      </c>
      <c r="I241" s="11" t="s">
        <v>9196</v>
      </c>
    </row>
    <row r="242" spans="1:9" x14ac:dyDescent="0.25">
      <c r="A242" s="11" t="s">
        <v>1745</v>
      </c>
      <c r="B242" s="5" t="s">
        <v>1751</v>
      </c>
      <c r="C242" s="82" t="s">
        <v>9226</v>
      </c>
      <c r="D242" t="str">
        <f>_xlfn.LET(_xlpm.x, _xlfn.XLOOKUP(B242,Sheet1!BF:BF,Sheet1!AF:AF,""), IF(_xlpm.x=0,"",_xlpm.x))</f>
        <v>昆明鑫晟源科技有限公司</v>
      </c>
      <c r="E242" s="11" t="str">
        <f>_xlfn.LET(_xlpm.x, _xlfn.XLOOKUP(B242,Sheet1!BF:BF,Sheet1!AD:AD,""), IF(_xlpm.x=0,"",_xlpm.x))</f>
        <v>工艺技术部</v>
      </c>
      <c r="F242" s="82" t="s">
        <v>1097</v>
      </c>
      <c r="G242" t="s">
        <v>2152</v>
      </c>
      <c r="H242" t="s">
        <v>9210</v>
      </c>
      <c r="I242" s="11" t="s">
        <v>9143</v>
      </c>
    </row>
    <row r="243" spans="1:9" x14ac:dyDescent="0.25">
      <c r="A243" s="11" t="s">
        <v>1726</v>
      </c>
      <c r="B243" s="5" t="s">
        <v>1732</v>
      </c>
      <c r="C243" s="82" t="s">
        <v>9225</v>
      </c>
      <c r="D243" t="str">
        <f>_xlfn.LET(_xlpm.x, _xlfn.XLOOKUP(B243,Sheet1!BF:BF,Sheet1!AF:AF,""), IF(_xlpm.x=0,"",_xlpm.x))</f>
        <v>昆明鼎承科技有限公司</v>
      </c>
      <c r="E243" s="11" t="str">
        <f>_xlfn.LET(_xlpm.x, _xlfn.XLOOKUP(B243,Sheet1!BF:BF,Sheet1!AD:AD,""), IF(_xlpm.x=0,"",_xlpm.x))</f>
        <v>产品研发三部</v>
      </c>
      <c r="F243" s="82" t="s">
        <v>240</v>
      </c>
      <c r="G243" t="s">
        <v>9101</v>
      </c>
      <c r="H243" t="s">
        <v>9206</v>
      </c>
      <c r="I243" s="11" t="s">
        <v>9127</v>
      </c>
    </row>
    <row r="244" spans="1:9" x14ac:dyDescent="0.25">
      <c r="A244" s="11" t="s">
        <v>1714</v>
      </c>
      <c r="B244" s="5" t="s">
        <v>1721</v>
      </c>
      <c r="C244" s="82" t="s">
        <v>9228</v>
      </c>
      <c r="D244" t="str">
        <f>_xlfn.LET(_xlpm.x, _xlfn.XLOOKUP(B244,Sheet1!BF:BF,Sheet1!AF:AF,""), IF(_xlpm.x=0,"",_xlpm.x))</f>
        <v>昆明鼎承科技有限公司</v>
      </c>
      <c r="E244" s="11" t="str">
        <f>_xlfn.LET(_xlpm.x, _xlfn.XLOOKUP(B244,Sheet1!BF:BF,Sheet1!AD:AD,""), IF(_xlpm.x=0,"",_xlpm.x))</f>
        <v>保障部办公室</v>
      </c>
      <c r="F244" s="82" t="s">
        <v>1444</v>
      </c>
      <c r="G244" t="s">
        <v>9098</v>
      </c>
      <c r="H244" t="s">
        <v>9209</v>
      </c>
      <c r="I244" s="11" t="s">
        <v>9105</v>
      </c>
    </row>
    <row r="245" spans="1:9" x14ac:dyDescent="0.25">
      <c r="A245" s="11" t="s">
        <v>1707</v>
      </c>
      <c r="B245" s="5" t="s">
        <v>1712</v>
      </c>
      <c r="C245" s="82" t="s">
        <v>9225</v>
      </c>
      <c r="D245" t="str">
        <f>_xlfn.LET(_xlpm.x, _xlfn.XLOOKUP(B245,Sheet1!BF:BF,Sheet1!AF:AF,""), IF(_xlpm.x=0,"",_xlpm.x))</f>
        <v>昆明鼎承科技有限公司</v>
      </c>
      <c r="E245" s="11" t="str">
        <f>_xlfn.LET(_xlpm.x, _xlfn.XLOOKUP(B245,Sheet1!BF:BF,Sheet1!AD:AD,""), IF(_xlpm.x=0,"",_xlpm.x))</f>
        <v>产品研发三部</v>
      </c>
      <c r="F245" s="82" t="s">
        <v>506</v>
      </c>
      <c r="G245" t="s">
        <v>2152</v>
      </c>
      <c r="H245" t="s">
        <v>9206</v>
      </c>
      <c r="I245" s="11" t="s">
        <v>9182</v>
      </c>
    </row>
    <row r="246" spans="1:9" x14ac:dyDescent="0.25">
      <c r="A246" s="11" t="s">
        <v>1627</v>
      </c>
      <c r="B246" s="5" t="s">
        <v>1630</v>
      </c>
      <c r="C246" s="82" t="s">
        <v>9229</v>
      </c>
      <c r="D246" t="str">
        <f>_xlfn.LET(_xlpm.x, _xlfn.XLOOKUP(B246,Sheet1!BF:BF,Sheet1!AF:AF,""), IF(_xlpm.x=0,"",_xlpm.x))</f>
        <v>昆明鼎承科技有限公司</v>
      </c>
      <c r="E246" s="11" t="str">
        <f>_xlfn.LET(_xlpm.x, _xlfn.XLOOKUP(B246,Sheet1!BF:BF,Sheet1!AD:AD,""), IF(_xlpm.x=0,"",_xlpm.x))</f>
        <v>机加车间</v>
      </c>
      <c r="F246" s="82" t="s">
        <v>574</v>
      </c>
      <c r="G246" t="s">
        <v>2152</v>
      </c>
      <c r="H246" t="s">
        <v>9215</v>
      </c>
      <c r="I246" s="11" t="s">
        <v>9160</v>
      </c>
    </row>
    <row r="247" spans="1:9" x14ac:dyDescent="0.25">
      <c r="A247" s="11" t="s">
        <v>1697</v>
      </c>
      <c r="B247" s="5" t="s">
        <v>1703</v>
      </c>
      <c r="C247" s="82" t="s">
        <v>9229</v>
      </c>
      <c r="D247" t="str">
        <f>_xlfn.LET(_xlpm.x, _xlfn.XLOOKUP(B247,Sheet1!BF:BF,Sheet1!AF:AF,""), IF(_xlpm.x=0,"",_xlpm.x))</f>
        <v>昆明鼎承科技有限公司</v>
      </c>
      <c r="E247" s="11" t="str">
        <f>_xlfn.LET(_xlpm.x, _xlfn.XLOOKUP(B247,Sheet1!BF:BF,Sheet1!AD:AD,""), IF(_xlpm.x=0,"",_xlpm.x))</f>
        <v>机加车间</v>
      </c>
      <c r="F247" s="82" t="s">
        <v>1701</v>
      </c>
      <c r="G247" t="s">
        <v>9108</v>
      </c>
      <c r="H247" t="s">
        <v>9215</v>
      </c>
      <c r="I247" s="11" t="s">
        <v>9165</v>
      </c>
    </row>
    <row r="248" spans="1:9" x14ac:dyDescent="0.25">
      <c r="A248" s="11" t="s">
        <v>1677</v>
      </c>
      <c r="B248" s="5" t="s">
        <v>1682</v>
      </c>
      <c r="C248" s="82" t="s">
        <v>9229</v>
      </c>
      <c r="D248" t="str">
        <f>_xlfn.LET(_xlpm.x, _xlfn.XLOOKUP(B248,Sheet1!BF:BF,Sheet1!AF:AF,""), IF(_xlpm.x=0,"",_xlpm.x))</f>
        <v>昆明鑫晟源科技有限公司</v>
      </c>
      <c r="E248" s="11" t="str">
        <f>_xlfn.LET(_xlpm.x, _xlfn.XLOOKUP(B248,Sheet1!BF:BF,Sheet1!AD:AD,""), IF(_xlpm.x=0,"",_xlpm.x))</f>
        <v>企业管理办公室</v>
      </c>
      <c r="F248" s="82" t="s">
        <v>1394</v>
      </c>
      <c r="G248" t="s">
        <v>9098</v>
      </c>
      <c r="H248" t="s">
        <v>9205</v>
      </c>
      <c r="I248" s="11" t="s">
        <v>9195</v>
      </c>
    </row>
    <row r="249" spans="1:9" x14ac:dyDescent="0.25">
      <c r="A249" s="11" t="s">
        <v>1646</v>
      </c>
      <c r="B249" s="5" t="s">
        <v>1649</v>
      </c>
      <c r="C249" s="82" t="s">
        <v>9226</v>
      </c>
      <c r="D249" t="str">
        <f>_xlfn.LET(_xlpm.x, _xlfn.XLOOKUP(B249,Sheet1!BF:BF,Sheet1!AF:AF,""), IF(_xlpm.x=0,"",_xlpm.x))</f>
        <v>昆明鑫晟源科技有限公司</v>
      </c>
      <c r="E249" s="11" t="str">
        <f>_xlfn.LET(_xlpm.x, _xlfn.XLOOKUP(B249,Sheet1!BF:BF,Sheet1!AD:AD,""), IF(_xlpm.x=0,"",_xlpm.x))</f>
        <v>安调中心</v>
      </c>
      <c r="F249" s="82" t="s">
        <v>654</v>
      </c>
      <c r="G249" t="s">
        <v>58</v>
      </c>
      <c r="H249" t="s">
        <v>9207</v>
      </c>
      <c r="I249" s="11" t="s">
        <v>9159</v>
      </c>
    </row>
    <row r="250" spans="1:9" x14ac:dyDescent="0.25">
      <c r="A250" s="11" t="s">
        <v>652</v>
      </c>
      <c r="B250" s="5" t="s">
        <v>658</v>
      </c>
      <c r="C250" s="82" t="s">
        <v>9239</v>
      </c>
      <c r="D250" t="str">
        <f>_xlfn.LET(_xlpm.x, _xlfn.XLOOKUP(B250,Sheet1!BF:BF,Sheet1!AF:AF,""), IF(_xlpm.x=0,"",_xlpm.x))</f>
        <v>昆明鼎承科技有限公司</v>
      </c>
      <c r="E250" s="11" t="str">
        <f>_xlfn.LET(_xlpm.x, _xlfn.XLOOKUP(B250,Sheet1!BF:BF,Sheet1!AD:AD,""), IF(_xlpm.x=0,"",_xlpm.x))</f>
        <v>产品研发三部</v>
      </c>
      <c r="F250" s="82" t="s">
        <v>654</v>
      </c>
      <c r="G250" t="s">
        <v>905</v>
      </c>
      <c r="H250" t="s">
        <v>9213</v>
      </c>
      <c r="I250" s="11" t="s">
        <v>9194</v>
      </c>
    </row>
    <row r="251" spans="1:9" x14ac:dyDescent="0.25">
      <c r="A251" s="11" t="s">
        <v>1641</v>
      </c>
      <c r="B251" s="5" t="s">
        <v>1644</v>
      </c>
      <c r="C251" s="82" t="s">
        <v>9226</v>
      </c>
      <c r="D251" t="str">
        <f>_xlfn.LET(_xlpm.x, _xlfn.XLOOKUP(B251,Sheet1!BF:BF,Sheet1!AF:AF,""), IF(_xlpm.x=0,"",_xlpm.x))</f>
        <v>昆明鑫晟源科技有限公司</v>
      </c>
      <c r="E251" s="11" t="str">
        <f>_xlfn.LET(_xlpm.x, _xlfn.XLOOKUP(B251,Sheet1!BF:BF,Sheet1!AD:AD,""), IF(_xlpm.x=0,"",_xlpm.x))</f>
        <v>安调中心</v>
      </c>
      <c r="F251" s="82" t="s">
        <v>654</v>
      </c>
      <c r="G251" t="s">
        <v>58</v>
      </c>
      <c r="H251" t="s">
        <v>9207</v>
      </c>
      <c r="I251" s="11" t="s">
        <v>9159</v>
      </c>
    </row>
    <row r="252" spans="1:9" x14ac:dyDescent="0.25">
      <c r="A252" s="11" t="s">
        <v>1688</v>
      </c>
      <c r="B252" s="5" t="s">
        <v>1692</v>
      </c>
      <c r="C252" s="82" t="s">
        <v>9226</v>
      </c>
      <c r="D252" t="str">
        <f>_xlfn.LET(_xlpm.x, _xlfn.XLOOKUP(B252,Sheet1!BF:BF,Sheet1!AF:AF,""), IF(_xlpm.x=0,"",_xlpm.x))</f>
        <v>昆明鑫晟源科技有限公司</v>
      </c>
      <c r="E252" s="11" t="str">
        <f>_xlfn.LET(_xlpm.x, _xlfn.XLOOKUP(B252,Sheet1!BF:BF,Sheet1!AD:AD,""), IF(_xlpm.x=0,"",_xlpm.x))</f>
        <v>生产技术部</v>
      </c>
      <c r="F252" s="82" t="s">
        <v>240</v>
      </c>
      <c r="G252" t="s">
        <v>9098</v>
      </c>
      <c r="H252" t="s">
        <v>9206</v>
      </c>
      <c r="I252" s="11" t="s">
        <v>9139</v>
      </c>
    </row>
    <row r="253" spans="1:9" x14ac:dyDescent="0.25">
      <c r="A253" s="11" t="s">
        <v>1633</v>
      </c>
      <c r="B253" s="5" t="s">
        <v>1637</v>
      </c>
      <c r="C253" s="82" t="s">
        <v>9226</v>
      </c>
      <c r="D253" t="str">
        <f>_xlfn.LET(_xlpm.x, _xlfn.XLOOKUP(B253,Sheet1!BF:BF,Sheet1!AF:AF,""), IF(_xlpm.x=0,"",_xlpm.x))</f>
        <v>昆明鑫晟源科技有限公司</v>
      </c>
      <c r="E253" s="11" t="str">
        <f>_xlfn.LET(_xlpm.x, _xlfn.XLOOKUP(B253,Sheet1!BF:BF,Sheet1!AD:AD,""), IF(_xlpm.x=0,"",_xlpm.x))</f>
        <v>安调中心</v>
      </c>
      <c r="F253" s="82" t="s">
        <v>1635</v>
      </c>
      <c r="G253" t="s">
        <v>61</v>
      </c>
      <c r="H253" t="s">
        <v>9207</v>
      </c>
      <c r="I253" s="11" t="s">
        <v>9177</v>
      </c>
    </row>
    <row r="254" spans="1:9" x14ac:dyDescent="0.25">
      <c r="A254" s="11" t="s">
        <v>1664</v>
      </c>
      <c r="B254" s="5" t="s">
        <v>1669</v>
      </c>
      <c r="C254" s="82" t="s">
        <v>9225</v>
      </c>
      <c r="D254" t="str">
        <f>_xlfn.LET(_xlpm.x, _xlfn.XLOOKUP(B254,Sheet1!BF:BF,Sheet1!AF:AF,""), IF(_xlpm.x=0,"",_xlpm.x))</f>
        <v>昆明鼎承科技有限公司</v>
      </c>
      <c r="E254" s="11" t="str">
        <f>_xlfn.LET(_xlpm.x, _xlfn.XLOOKUP(B254,Sheet1!BF:BF,Sheet1!AD:AD,""), IF(_xlpm.x=0,"",_xlpm.x))</f>
        <v>总经理办公室</v>
      </c>
      <c r="F254" s="82" t="s">
        <v>357</v>
      </c>
      <c r="G254" t="s">
        <v>905</v>
      </c>
      <c r="H254" t="s">
        <v>9209</v>
      </c>
      <c r="I254" s="11" t="s">
        <v>9099</v>
      </c>
    </row>
    <row r="255" spans="1:9" x14ac:dyDescent="0.25">
      <c r="A255" s="11" t="s">
        <v>1651</v>
      </c>
      <c r="B255" s="5" t="s">
        <v>1657</v>
      </c>
      <c r="C255" s="82" t="s">
        <v>9225</v>
      </c>
      <c r="D255" t="str">
        <f>_xlfn.LET(_xlpm.x, _xlfn.XLOOKUP(B255,Sheet1!BF:BF,Sheet1!AF:AF,""), IF(_xlpm.x=0,"",_xlpm.x))</f>
        <v>昆明鼎承科技有限公司</v>
      </c>
      <c r="E255" s="11" t="str">
        <f>_xlfn.LET(_xlpm.x, _xlfn.XLOOKUP(B255,Sheet1!BF:BF,Sheet1!AD:AD,""), IF(_xlpm.x=0,"",_xlpm.x))</f>
        <v>产品研发三部</v>
      </c>
      <c r="F255" s="82" t="s">
        <v>240</v>
      </c>
      <c r="G255" t="s">
        <v>9102</v>
      </c>
      <c r="H255" t="s">
        <v>9206</v>
      </c>
      <c r="I255" s="11" t="s">
        <v>9149</v>
      </c>
    </row>
    <row r="256" spans="1:9" x14ac:dyDescent="0.25">
      <c r="A256" s="11" t="s">
        <v>1607</v>
      </c>
      <c r="B256" s="5" t="s">
        <v>1612</v>
      </c>
      <c r="C256" s="82" t="s">
        <v>9226</v>
      </c>
      <c r="D256" t="str">
        <f>_xlfn.LET(_xlpm.x, _xlfn.XLOOKUP(B256,Sheet1!BF:BF,Sheet1!AF:AF,""), IF(_xlpm.x=0,"",_xlpm.x))</f>
        <v>昆明三行智造科技有限公司</v>
      </c>
      <c r="E256" s="11" t="str">
        <f>_xlfn.LET(_xlpm.x, _xlfn.XLOOKUP(B256,Sheet1!BF:BF,Sheet1!AD:AD,""), IF(_xlpm.x=0,"",_xlpm.x))</f>
        <v>研发部</v>
      </c>
      <c r="F256" s="82" t="s">
        <v>240</v>
      </c>
      <c r="G256" t="s">
        <v>9098</v>
      </c>
      <c r="H256" t="s">
        <v>9206</v>
      </c>
      <c r="I256" s="11" t="s">
        <v>9139</v>
      </c>
    </row>
    <row r="257" spans="1:9" x14ac:dyDescent="0.25">
      <c r="A257" s="11" t="s">
        <v>1596</v>
      </c>
      <c r="B257" s="5" t="s">
        <v>1601</v>
      </c>
      <c r="C257" s="82" t="s">
        <v>9225</v>
      </c>
      <c r="D257" t="str">
        <f>_xlfn.LET(_xlpm.x, _xlfn.XLOOKUP(B257,Sheet1!BF:BF,Sheet1!AF:AF,""), IF(_xlpm.x=0,"",_xlpm.x))</f>
        <v>昆明鼎承科技有限公司</v>
      </c>
      <c r="E257" s="11" t="str">
        <f>_xlfn.LET(_xlpm.x, _xlfn.XLOOKUP(B257,Sheet1!BF:BF,Sheet1!AD:AD,""), IF(_xlpm.x=0,"",_xlpm.x))</f>
        <v>企业管理部</v>
      </c>
      <c r="F257" s="82" t="s">
        <v>458</v>
      </c>
      <c r="G257" t="s">
        <v>9112</v>
      </c>
      <c r="H257" t="s">
        <v>9205</v>
      </c>
      <c r="I257" s="11" t="s">
        <v>9197</v>
      </c>
    </row>
    <row r="258" spans="1:9" x14ac:dyDescent="0.25">
      <c r="A258" s="11" t="s">
        <v>1583</v>
      </c>
      <c r="B258" s="5" t="s">
        <v>1591</v>
      </c>
      <c r="C258" s="82" t="s">
        <v>9225</v>
      </c>
      <c r="D258" t="str">
        <f>_xlfn.LET(_xlpm.x, _xlfn.XLOOKUP(B258,Sheet1!BF:BF,Sheet1!AF:AF,""), IF(_xlpm.x=0,"",_xlpm.x))</f>
        <v>昆明鼎承科技有限公司</v>
      </c>
      <c r="E258" s="11" t="str">
        <f>_xlfn.LET(_xlpm.x, _xlfn.XLOOKUP(B258,Sheet1!BF:BF,Sheet1!AD:AD,""), IF(_xlpm.x=0,"",_xlpm.x))</f>
        <v>人力资本部</v>
      </c>
      <c r="F258" s="82" t="s">
        <v>1587</v>
      </c>
      <c r="G258" t="s">
        <v>9098</v>
      </c>
      <c r="H258" t="s">
        <v>9205</v>
      </c>
      <c r="I258" s="11" t="s">
        <v>9195</v>
      </c>
    </row>
    <row r="259" spans="1:9" x14ac:dyDescent="0.25">
      <c r="A259" s="11" t="s">
        <v>1569</v>
      </c>
      <c r="B259" s="5" t="s">
        <v>1578</v>
      </c>
      <c r="C259" s="82" t="s">
        <v>9240</v>
      </c>
      <c r="D259" t="str">
        <f>_xlfn.LET(_xlpm.x, _xlfn.XLOOKUP(B259,Sheet1!BF:BF,Sheet1!AF:AF,""), IF(_xlpm.x=0,"",_xlpm.x))</f>
        <v>昆明鼎承科技有限公司</v>
      </c>
      <c r="E259" s="11" t="str">
        <f>_xlfn.LET(_xlpm.x, _xlfn.XLOOKUP(B259,Sheet1!BF:BF,Sheet1!AD:AD,""), IF(_xlpm.x=0,"",_xlpm.x))</f>
        <v>企业管理部</v>
      </c>
      <c r="F259" s="82" t="s">
        <v>1575</v>
      </c>
      <c r="G259" t="s">
        <v>9102</v>
      </c>
      <c r="H259" t="s">
        <v>9206</v>
      </c>
      <c r="I259" s="11" t="s">
        <v>9149</v>
      </c>
    </row>
    <row r="260" spans="1:9" x14ac:dyDescent="0.25">
      <c r="A260" s="11" t="s">
        <v>1557</v>
      </c>
      <c r="B260" s="5" t="s">
        <v>1563</v>
      </c>
      <c r="C260" s="82" t="s">
        <v>9225</v>
      </c>
      <c r="D260" t="str">
        <f>_xlfn.LET(_xlpm.x, _xlfn.XLOOKUP(B260,Sheet1!BF:BF,Sheet1!AF:AF,""), IF(_xlpm.x=0,"",_xlpm.x))</f>
        <v>昆明鼎承科技有限公司</v>
      </c>
      <c r="E260" s="11" t="str">
        <f>_xlfn.LET(_xlpm.x, _xlfn.XLOOKUP(B260,Sheet1!BF:BF,Sheet1!AD:AD,""), IF(_xlpm.x=0,"",_xlpm.x))</f>
        <v>产品研发二部</v>
      </c>
      <c r="F260" s="82" t="s">
        <v>506</v>
      </c>
      <c r="G260" t="s">
        <v>9101</v>
      </c>
      <c r="H260" t="s">
        <v>9206</v>
      </c>
      <c r="I260" s="11" t="s">
        <v>9127</v>
      </c>
    </row>
    <row r="261" spans="1:9" x14ac:dyDescent="0.25">
      <c r="A261" s="11" t="s">
        <v>1545</v>
      </c>
      <c r="B261" s="5" t="s">
        <v>1551</v>
      </c>
      <c r="C261" s="82" t="s">
        <v>9227</v>
      </c>
      <c r="D261" t="str">
        <f>_xlfn.LET(_xlpm.x, _xlfn.XLOOKUP(B261,Sheet1!BF:BF,Sheet1!AF:AF,""), IF(_xlpm.x=0,"",_xlpm.x))</f>
        <v>昆明鼎承科技有限公司</v>
      </c>
      <c r="E261" s="11" t="str">
        <f>_xlfn.LET(_xlpm.x, _xlfn.XLOOKUP(B261,Sheet1!BF:BF,Sheet1!AD:AD,""), IF(_xlpm.x=0,"",_xlpm.x))</f>
        <v>工业智能化研发部</v>
      </c>
      <c r="F261" s="82" t="s">
        <v>1548</v>
      </c>
      <c r="G261" t="s">
        <v>9108</v>
      </c>
      <c r="H261" t="s">
        <v>9208</v>
      </c>
      <c r="I261" s="11" t="s">
        <v>9198</v>
      </c>
    </row>
    <row r="262" spans="1:9" x14ac:dyDescent="0.25">
      <c r="A262" s="11" t="s">
        <v>1534</v>
      </c>
      <c r="B262" s="5" t="s">
        <v>1539</v>
      </c>
      <c r="C262" s="82" t="s">
        <v>9234</v>
      </c>
      <c r="D262" t="str">
        <f>_xlfn.LET(_xlpm.x, _xlfn.XLOOKUP(B262,Sheet1!BF:BF,Sheet1!AF:AF,""), IF(_xlpm.x=0,"",_xlpm.x))</f>
        <v>昆明鼎承科技有限公司</v>
      </c>
      <c r="E262" s="11" t="str">
        <f>_xlfn.LET(_xlpm.x, _xlfn.XLOOKUP(B262,Sheet1!BF:BF,Sheet1!AD:AD,""), IF(_xlpm.x=0,"",_xlpm.x))</f>
        <v>财务部</v>
      </c>
      <c r="F262" s="82" t="s">
        <v>1536</v>
      </c>
      <c r="G262" t="s">
        <v>9098</v>
      </c>
      <c r="H262" t="s">
        <v>9205</v>
      </c>
      <c r="I262" s="11" t="s">
        <v>9195</v>
      </c>
    </row>
    <row r="263" spans="1:9" x14ac:dyDescent="0.25">
      <c r="A263" s="11" t="s">
        <v>1523</v>
      </c>
      <c r="B263" s="5" t="s">
        <v>1529</v>
      </c>
      <c r="C263" s="82" t="s">
        <v>9226</v>
      </c>
      <c r="D263" t="str">
        <f>_xlfn.LET(_xlpm.x, _xlfn.XLOOKUP(B263,Sheet1!BF:BF,Sheet1!AF:AF,""), IF(_xlpm.x=0,"",_xlpm.x))</f>
        <v>昆明鑫晟源科技有限公司</v>
      </c>
      <c r="E263" s="11" t="str">
        <f>_xlfn.LET(_xlpm.x, _xlfn.XLOOKUP(B263,Sheet1!BF:BF,Sheet1!AD:AD,""), IF(_xlpm.x=0,"",_xlpm.x))</f>
        <v>生产技术部</v>
      </c>
      <c r="F263" s="82" t="s">
        <v>1526</v>
      </c>
      <c r="G263" t="s">
        <v>905</v>
      </c>
      <c r="H263" t="s">
        <v>9210</v>
      </c>
      <c r="I263" s="11" t="s">
        <v>9133</v>
      </c>
    </row>
    <row r="264" spans="1:9" x14ac:dyDescent="0.25">
      <c r="A264" s="11" t="s">
        <v>1511</v>
      </c>
      <c r="B264" s="5" t="s">
        <v>1518</v>
      </c>
      <c r="C264" s="82" t="s">
        <v>9225</v>
      </c>
      <c r="D264" t="str">
        <f>_xlfn.LET(_xlpm.x, _xlfn.XLOOKUP(B264,Sheet1!BF:BF,Sheet1!AF:AF,""), IF(_xlpm.x=0,"",_xlpm.x))</f>
        <v>昆明鼎承科技有限公司</v>
      </c>
      <c r="E264" s="11" t="str">
        <f>_xlfn.LET(_xlpm.x, _xlfn.XLOOKUP(B264,Sheet1!BF:BF,Sheet1!AD:AD,""), IF(_xlpm.x=0,"",_xlpm.x))</f>
        <v>质量保证部</v>
      </c>
      <c r="F264" s="82" t="s">
        <v>1514</v>
      </c>
      <c r="G264" t="s">
        <v>58</v>
      </c>
      <c r="H264" t="s">
        <v>9213</v>
      </c>
      <c r="I264" s="11" t="s">
        <v>9189</v>
      </c>
    </row>
    <row r="265" spans="1:9" x14ac:dyDescent="0.25">
      <c r="A265" s="11" t="s">
        <v>1501</v>
      </c>
      <c r="B265" s="5" t="s">
        <v>1506</v>
      </c>
      <c r="C265" s="82" t="s">
        <v>9225</v>
      </c>
      <c r="D265" t="str">
        <f>_xlfn.LET(_xlpm.x, _xlfn.XLOOKUP(B265,Sheet1!BF:BF,Sheet1!AF:AF,""), IF(_xlpm.x=0,"",_xlpm.x))</f>
        <v>昆明鼎承科技有限公司</v>
      </c>
      <c r="E265" s="11" t="str">
        <f>_xlfn.LET(_xlpm.x, _xlfn.XLOOKUP(B265,Sheet1!BF:BF,Sheet1!AD:AD,""), IF(_xlpm.x=0,"",_xlpm.x))</f>
        <v>工业智能化研发部</v>
      </c>
      <c r="F265" s="82" t="s">
        <v>477</v>
      </c>
      <c r="G265" t="s">
        <v>9101</v>
      </c>
      <c r="H265" t="s">
        <v>9220</v>
      </c>
      <c r="I265" s="11" t="s">
        <v>9191</v>
      </c>
    </row>
    <row r="266" spans="1:9" x14ac:dyDescent="0.25">
      <c r="A266" s="11" t="s">
        <v>1491</v>
      </c>
      <c r="B266" s="5" t="s">
        <v>1496</v>
      </c>
      <c r="C266" s="82" t="s">
        <v>9226</v>
      </c>
      <c r="D266" t="str">
        <f>_xlfn.LET(_xlpm.x, _xlfn.XLOOKUP(B266,Sheet1!BF:BF,Sheet1!AF:AF,""), IF(_xlpm.x=0,"",_xlpm.x))</f>
        <v>昆明三行智造科技有限公司</v>
      </c>
      <c r="E266" s="11" t="str">
        <f>_xlfn.LET(_xlpm.x, _xlfn.XLOOKUP(B266,Sheet1!BF:BF,Sheet1!AD:AD,""), IF(_xlpm.x=0,"",_xlpm.x))</f>
        <v>研发部</v>
      </c>
      <c r="F266" s="82" t="s">
        <v>240</v>
      </c>
      <c r="G266" t="s">
        <v>9101</v>
      </c>
      <c r="H266" t="s">
        <v>9206</v>
      </c>
      <c r="I266" s="11" t="s">
        <v>9127</v>
      </c>
    </row>
    <row r="267" spans="1:9" x14ac:dyDescent="0.25">
      <c r="A267" s="11" t="s">
        <v>1479</v>
      </c>
      <c r="B267" s="5" t="s">
        <v>1485</v>
      </c>
      <c r="C267" s="82" t="s">
        <v>9226</v>
      </c>
      <c r="D267" t="str">
        <f>_xlfn.LET(_xlpm.x, _xlfn.XLOOKUP(B267,Sheet1!BF:BF,Sheet1!AF:AF,""), IF(_xlpm.x=0,"",_xlpm.x))</f>
        <v>昆明三行智造科技有限公司</v>
      </c>
      <c r="E267" s="11" t="str">
        <f>_xlfn.LET(_xlpm.x, _xlfn.XLOOKUP(B267,Sheet1!BF:BF,Sheet1!AD:AD,""), IF(_xlpm.x=0,"",_xlpm.x))</f>
        <v>研发部</v>
      </c>
      <c r="F267" s="82" t="s">
        <v>240</v>
      </c>
      <c r="G267" t="s">
        <v>2152</v>
      </c>
      <c r="H267" t="s">
        <v>9206</v>
      </c>
      <c r="I267" s="11" t="s">
        <v>9182</v>
      </c>
    </row>
    <row r="268" spans="1:9" x14ac:dyDescent="0.25">
      <c r="A268" s="11" t="s">
        <v>1468</v>
      </c>
      <c r="B268" s="5" t="s">
        <v>1473</v>
      </c>
      <c r="C268" s="82" t="s">
        <v>9225</v>
      </c>
      <c r="D268" t="str">
        <f>_xlfn.LET(_xlpm.x, _xlfn.XLOOKUP(B268,Sheet1!BF:BF,Sheet1!AF:AF,""), IF(_xlpm.x=0,"",_xlpm.x))</f>
        <v>昆明鼎承科技有限公司</v>
      </c>
      <c r="E268" s="11" t="str">
        <f>_xlfn.LET(_xlpm.x, _xlfn.XLOOKUP(B268,Sheet1!BF:BF,Sheet1!AD:AD,""), IF(_xlpm.x=0,"",_xlpm.x))</f>
        <v>产品研发二部</v>
      </c>
      <c r="F268" s="82" t="s">
        <v>240</v>
      </c>
      <c r="G268" t="s">
        <v>2152</v>
      </c>
      <c r="H268" t="s">
        <v>9206</v>
      </c>
      <c r="I268" s="11" t="s">
        <v>9182</v>
      </c>
    </row>
    <row r="269" spans="1:9" x14ac:dyDescent="0.25">
      <c r="A269" s="11" t="s">
        <v>1456</v>
      </c>
      <c r="B269" s="5" t="s">
        <v>1463</v>
      </c>
      <c r="C269" s="82" t="s">
        <v>9225</v>
      </c>
      <c r="D269" t="str">
        <f>_xlfn.LET(_xlpm.x, _xlfn.XLOOKUP(B269,Sheet1!BF:BF,Sheet1!AF:AF,""), IF(_xlpm.x=0,"",_xlpm.x))</f>
        <v>昆明鼎承科技有限公司</v>
      </c>
      <c r="E269" s="11" t="str">
        <f>_xlfn.LET(_xlpm.x, _xlfn.XLOOKUP(B269,Sheet1!BF:BF,Sheet1!AD:AD,""), IF(_xlpm.x=0,"",_xlpm.x))</f>
        <v>产品研发三部</v>
      </c>
      <c r="F269" s="82" t="s">
        <v>506</v>
      </c>
      <c r="G269" t="s">
        <v>9098</v>
      </c>
      <c r="H269" t="s">
        <v>9206</v>
      </c>
      <c r="I269" s="11" t="s">
        <v>9139</v>
      </c>
    </row>
    <row r="270" spans="1:9" x14ac:dyDescent="0.25">
      <c r="A270" s="11" t="s">
        <v>1439</v>
      </c>
      <c r="B270" s="5" t="s">
        <v>1447</v>
      </c>
      <c r="C270" s="82" t="s">
        <v>9228</v>
      </c>
      <c r="D270" t="str">
        <f>_xlfn.LET(_xlpm.x, _xlfn.XLOOKUP(B270,Sheet1!BF:BF,Sheet1!AF:AF,""), IF(_xlpm.x=0,"",_xlpm.x))</f>
        <v>昆明鼎承科技有限公司</v>
      </c>
      <c r="E270" s="11" t="str">
        <f>_xlfn.LET(_xlpm.x, _xlfn.XLOOKUP(B270,Sheet1!BF:BF,Sheet1!AD:AD,""), IF(_xlpm.x=0,"",_xlpm.x))</f>
        <v>保障部办公室</v>
      </c>
      <c r="F270" s="82" t="s">
        <v>1444</v>
      </c>
      <c r="G270" t="s">
        <v>58</v>
      </c>
      <c r="H270" t="s">
        <v>9209</v>
      </c>
      <c r="I270" s="11" t="s">
        <v>9114</v>
      </c>
    </row>
    <row r="271" spans="1:9" x14ac:dyDescent="0.25">
      <c r="A271" s="11" t="s">
        <v>1427</v>
      </c>
      <c r="B271" s="5" t="s">
        <v>1432</v>
      </c>
      <c r="C271" s="82" t="s">
        <v>9226</v>
      </c>
      <c r="D271" t="str">
        <f>_xlfn.LET(_xlpm.x, _xlfn.XLOOKUP(B271,Sheet1!BF:BF,Sheet1!AF:AF,""), IF(_xlpm.x=0,"",_xlpm.x))</f>
        <v>昆明三行智造科技有限公司</v>
      </c>
      <c r="E271" s="11" t="str">
        <f>_xlfn.LET(_xlpm.x, _xlfn.XLOOKUP(B271,Sheet1!BF:BF,Sheet1!AD:AD,""), IF(_xlpm.x=0,"",_xlpm.x))</f>
        <v>研发部</v>
      </c>
      <c r="F271" s="82" t="s">
        <v>240</v>
      </c>
      <c r="G271" t="s">
        <v>9098</v>
      </c>
      <c r="H271" t="s">
        <v>9206</v>
      </c>
      <c r="I271" s="11" t="s">
        <v>9139</v>
      </c>
    </row>
    <row r="272" spans="1:9" x14ac:dyDescent="0.25">
      <c r="A272" s="11" t="s">
        <v>1415</v>
      </c>
      <c r="B272" s="5" t="s">
        <v>1421</v>
      </c>
      <c r="C272" s="82" t="s">
        <v>9226</v>
      </c>
      <c r="D272" t="str">
        <f>_xlfn.LET(_xlpm.x, _xlfn.XLOOKUP(B272,Sheet1!BF:BF,Sheet1!AF:AF,""), IF(_xlpm.x=0,"",_xlpm.x))</f>
        <v>昆明三行智造科技有限公司</v>
      </c>
      <c r="E272" s="11" t="str">
        <f>_xlfn.LET(_xlpm.x, _xlfn.XLOOKUP(B272,Sheet1!BF:BF,Sheet1!AD:AD,""), IF(_xlpm.x=0,"",_xlpm.x))</f>
        <v>研发部</v>
      </c>
      <c r="F272" s="82" t="s">
        <v>240</v>
      </c>
      <c r="G272" t="s">
        <v>905</v>
      </c>
      <c r="H272" t="s">
        <v>9206</v>
      </c>
      <c r="I272" s="11" t="s">
        <v>9134</v>
      </c>
    </row>
    <row r="273" spans="1:9" x14ac:dyDescent="0.25">
      <c r="A273" s="11" t="s">
        <v>1403</v>
      </c>
      <c r="B273" s="5" t="s">
        <v>1408</v>
      </c>
      <c r="C273" s="82" t="s">
        <v>9229</v>
      </c>
      <c r="D273" t="str">
        <f>_xlfn.LET(_xlpm.x, _xlfn.XLOOKUP(B273,Sheet1!BF:BF,Sheet1!AF:AF,""), IF(_xlpm.x=0,"",_xlpm.x))</f>
        <v>昆明鼎承科技有限公司</v>
      </c>
      <c r="E273" s="11" t="str">
        <f>_xlfn.LET(_xlpm.x, _xlfn.XLOOKUP(B273,Sheet1!BF:BF,Sheet1!AD:AD,""), IF(_xlpm.x=0,"",_xlpm.x))</f>
        <v>机加车间</v>
      </c>
      <c r="F273" s="82" t="s">
        <v>1406</v>
      </c>
      <c r="G273" t="s">
        <v>905</v>
      </c>
      <c r="H273" t="s">
        <v>9213</v>
      </c>
      <c r="I273" s="11" t="s">
        <v>9194</v>
      </c>
    </row>
    <row r="274" spans="1:9" x14ac:dyDescent="0.25">
      <c r="A274" s="11" t="s">
        <v>1390</v>
      </c>
      <c r="B274" s="5" t="s">
        <v>1396</v>
      </c>
      <c r="C274" s="82" t="s">
        <v>9229</v>
      </c>
      <c r="D274" t="str">
        <f>_xlfn.LET(_xlpm.x, _xlfn.XLOOKUP(B274,Sheet1!BF:BF,Sheet1!AF:AF,""), IF(_xlpm.x=0,"",_xlpm.x))</f>
        <v>昆明鼎承科技有限公司</v>
      </c>
      <c r="E274" s="11" t="str">
        <f>_xlfn.LET(_xlpm.x, _xlfn.XLOOKUP(B274,Sheet1!BF:BF,Sheet1!AD:AD,""), IF(_xlpm.x=0,"",_xlpm.x))</f>
        <v>机加车间</v>
      </c>
      <c r="F274" s="82" t="s">
        <v>1394</v>
      </c>
      <c r="G274" t="s">
        <v>905</v>
      </c>
      <c r="H274" t="s">
        <v>9213</v>
      </c>
      <c r="I274" s="11" t="s">
        <v>9194</v>
      </c>
    </row>
    <row r="275" spans="1:9" x14ac:dyDescent="0.25">
      <c r="A275" s="11" t="s">
        <v>1376</v>
      </c>
      <c r="B275" s="5" t="s">
        <v>1383</v>
      </c>
      <c r="C275" s="82" t="s">
        <v>9225</v>
      </c>
      <c r="D275" t="str">
        <f>_xlfn.LET(_xlpm.x, _xlfn.XLOOKUP(B275,Sheet1!BF:BF,Sheet1!AF:AF,""), IF(_xlpm.x=0,"",_xlpm.x))</f>
        <v>昆明鼎承科技有限公司</v>
      </c>
      <c r="E275" s="11" t="str">
        <f>_xlfn.LET(_xlpm.x, _xlfn.XLOOKUP(B275,Sheet1!BF:BF,Sheet1!AD:AD,""), IF(_xlpm.x=0,"",_xlpm.x))</f>
        <v>采购部</v>
      </c>
      <c r="F275" s="82" t="s">
        <v>1379</v>
      </c>
      <c r="G275" t="s">
        <v>58</v>
      </c>
      <c r="H275" t="s">
        <v>9221</v>
      </c>
      <c r="I275" s="11" t="s">
        <v>9199</v>
      </c>
    </row>
    <row r="276" spans="1:9" x14ac:dyDescent="0.25">
      <c r="A276" s="11" t="s">
        <v>1363</v>
      </c>
      <c r="B276" s="5" t="s">
        <v>1369</v>
      </c>
      <c r="C276" s="82" t="s">
        <v>9226</v>
      </c>
      <c r="D276" t="str">
        <f>_xlfn.LET(_xlpm.x, _xlfn.XLOOKUP(B276,Sheet1!BF:BF,Sheet1!AF:AF,""), IF(_xlpm.x=0,"",_xlpm.x))</f>
        <v>昆明鑫晟源科技有限公司</v>
      </c>
      <c r="E276" s="11" t="str">
        <f>_xlfn.LET(_xlpm.x, _xlfn.XLOOKUP(B276,Sheet1!BF:BF,Sheet1!AD:AD,""), IF(_xlpm.x=0,"",_xlpm.x))</f>
        <v>生产技术部</v>
      </c>
      <c r="F276" s="82" t="s">
        <v>240</v>
      </c>
      <c r="G276" t="s">
        <v>905</v>
      </c>
      <c r="H276" t="s">
        <v>9206</v>
      </c>
      <c r="I276" s="11" t="s">
        <v>9134</v>
      </c>
    </row>
    <row r="277" spans="1:9" x14ac:dyDescent="0.25">
      <c r="A277" s="11" t="s">
        <v>1346</v>
      </c>
      <c r="B277" s="5" t="s">
        <v>1356</v>
      </c>
      <c r="C277" s="82" t="s">
        <v>9225</v>
      </c>
      <c r="D277" t="str">
        <f>_xlfn.LET(_xlpm.x, _xlfn.XLOOKUP(B277,Sheet1!BF:BF,Sheet1!AF:AF,""), IF(_xlpm.x=0,"",_xlpm.x))</f>
        <v>昆明鼎承科技有限公司</v>
      </c>
      <c r="E277" s="11" t="str">
        <f>_xlfn.LET(_xlpm.x, _xlfn.XLOOKUP(B277,Sheet1!BF:BF,Sheet1!AD:AD,""), IF(_xlpm.x=0,"",_xlpm.x))</f>
        <v>财务部</v>
      </c>
      <c r="F277" s="82" t="s">
        <v>1352</v>
      </c>
      <c r="G277" t="s">
        <v>9106</v>
      </c>
      <c r="H277" t="s">
        <v>9205</v>
      </c>
      <c r="I277" s="11" t="s">
        <v>9200</v>
      </c>
    </row>
    <row r="278" spans="1:9" x14ac:dyDescent="0.25">
      <c r="A278" s="11" t="s">
        <v>1323</v>
      </c>
      <c r="B278" s="5" t="s">
        <v>1330</v>
      </c>
      <c r="C278" s="82" t="s">
        <v>9226</v>
      </c>
      <c r="D278" t="str">
        <f>_xlfn.LET(_xlpm.x, _xlfn.XLOOKUP(B278,Sheet1!BF:BF,Sheet1!AF:AF,""), IF(_xlpm.x=0,"",_xlpm.x))</f>
        <v>昆明鑫晟源科技有限公司</v>
      </c>
      <c r="E278" s="11" t="str">
        <f>_xlfn.LET(_xlpm.x, _xlfn.XLOOKUP(B278,Sheet1!BF:BF,Sheet1!AD:AD,""), IF(_xlpm.x=0,"",_xlpm.x))</f>
        <v>安调中心</v>
      </c>
      <c r="F278" s="82" t="s">
        <v>733</v>
      </c>
      <c r="G278" t="s">
        <v>905</v>
      </c>
      <c r="H278" t="s">
        <v>9207</v>
      </c>
      <c r="I278" s="11" t="s">
        <v>9153</v>
      </c>
    </row>
    <row r="279" spans="1:9" x14ac:dyDescent="0.25">
      <c r="A279" s="11" t="s">
        <v>1337</v>
      </c>
      <c r="B279" s="5" t="s">
        <v>1341</v>
      </c>
      <c r="C279" s="82" t="s">
        <v>9231</v>
      </c>
      <c r="D279" t="str">
        <f>_xlfn.LET(_xlpm.x, _xlfn.XLOOKUP(B279,Sheet1!BF:BF,Sheet1!AF:AF,""), IF(_xlpm.x=0,"",_xlpm.x))</f>
        <v>昆明鑫晟源科技有限公司</v>
      </c>
      <c r="E279" s="11" t="str">
        <f>_xlfn.LET(_xlpm.x, _xlfn.XLOOKUP(B279,Sheet1!BF:BF,Sheet1!AD:AD,""), IF(_xlpm.x=0,"",_xlpm.x))</f>
        <v>安调五组</v>
      </c>
      <c r="F279" s="82" t="s">
        <v>733</v>
      </c>
      <c r="G279" t="s">
        <v>905</v>
      </c>
      <c r="H279" t="s">
        <v>9207</v>
      </c>
      <c r="I279" s="11" t="s">
        <v>9153</v>
      </c>
    </row>
    <row r="280" spans="1:9" x14ac:dyDescent="0.25">
      <c r="A280" s="11" t="s">
        <v>1301</v>
      </c>
      <c r="B280" s="5" t="s">
        <v>1307</v>
      </c>
      <c r="C280" s="82" t="s">
        <v>9225</v>
      </c>
      <c r="D280" t="str">
        <f>_xlfn.LET(_xlpm.x, _xlfn.XLOOKUP(B280,Sheet1!BF:BF,Sheet1!AF:AF,""), IF(_xlpm.x=0,"",_xlpm.x))</f>
        <v>昆明鼎承科技有限公司</v>
      </c>
      <c r="E280" s="11" t="str">
        <f>_xlfn.LET(_xlpm.x, _xlfn.XLOOKUP(B280,Sheet1!BF:BF,Sheet1!AD:AD,""), IF(_xlpm.x=0,"",_xlpm.x))</f>
        <v>总经理办公室</v>
      </c>
      <c r="F280" s="82" t="s">
        <v>1027</v>
      </c>
      <c r="G280" t="s">
        <v>61</v>
      </c>
      <c r="H280" t="s">
        <v>9210</v>
      </c>
      <c r="I280" s="11" t="s">
        <v>9201</v>
      </c>
    </row>
    <row r="281" spans="1:9" x14ac:dyDescent="0.25">
      <c r="A281" s="11" t="s">
        <v>1291</v>
      </c>
      <c r="B281" s="5" t="s">
        <v>1295</v>
      </c>
      <c r="C281" s="82" t="s">
        <v>9226</v>
      </c>
      <c r="D281" t="str">
        <f>_xlfn.LET(_xlpm.x, _xlfn.XLOOKUP(B281,Sheet1!BF:BF,Sheet1!AF:AF,""), IF(_xlpm.x=0,"",_xlpm.x))</f>
        <v>昆明鑫晟源科技有限公司</v>
      </c>
      <c r="E281" s="11" t="str">
        <f>_xlfn.LET(_xlpm.x, _xlfn.XLOOKUP(B281,Sheet1!BF:BF,Sheet1!AD:AD,""), IF(_xlpm.x=0,"",_xlpm.x))</f>
        <v>安调中心</v>
      </c>
      <c r="F281" s="82" t="s">
        <v>733</v>
      </c>
      <c r="G281" t="s">
        <v>257</v>
      </c>
      <c r="H281" t="s">
        <v>9207</v>
      </c>
      <c r="I281" s="11" t="s">
        <v>9132</v>
      </c>
    </row>
    <row r="282" spans="1:9" x14ac:dyDescent="0.25">
      <c r="A282" s="11" t="s">
        <v>1282</v>
      </c>
      <c r="B282" s="5" t="s">
        <v>1288</v>
      </c>
      <c r="C282" s="82" t="s">
        <v>9229</v>
      </c>
      <c r="D282" t="str">
        <f>_xlfn.LET(_xlpm.x, _xlfn.XLOOKUP(B282,Sheet1!BF:BF,Sheet1!AF:AF,""), IF(_xlpm.x=0,"",_xlpm.x))</f>
        <v>昆明鼎承科技有限公司</v>
      </c>
      <c r="E282" s="11" t="str">
        <f>_xlfn.LET(_xlpm.x, _xlfn.XLOOKUP(B282,Sheet1!BF:BF,Sheet1!AD:AD,""), IF(_xlpm.x=0,"",_xlpm.x))</f>
        <v>机加车间</v>
      </c>
      <c r="F282" s="82" t="s">
        <v>1285</v>
      </c>
      <c r="G282" t="s">
        <v>9110</v>
      </c>
      <c r="H282" t="s">
        <v>9215</v>
      </c>
      <c r="I282" s="11" t="s">
        <v>9166</v>
      </c>
    </row>
    <row r="283" spans="1:9" x14ac:dyDescent="0.25">
      <c r="A283" s="11" t="s">
        <v>982</v>
      </c>
      <c r="B283" s="5" t="s">
        <v>986</v>
      </c>
      <c r="C283" s="82" t="s">
        <v>9231</v>
      </c>
      <c r="D283" t="str">
        <f>_xlfn.LET(_xlpm.x, _xlfn.XLOOKUP(B283,Sheet1!BF:BF,Sheet1!AF:AF,""), IF(_xlpm.x=0,"",_xlpm.x))</f>
        <v>昆明鑫晟源科技有限公司</v>
      </c>
      <c r="E283" s="11" t="str">
        <f>_xlfn.LET(_xlpm.x, _xlfn.XLOOKUP(B283,Sheet1!BF:BF,Sheet1!AD:AD,""), IF(_xlpm.x=0,"",_xlpm.x))</f>
        <v>安调五组</v>
      </c>
      <c r="F283" s="82" t="s">
        <v>733</v>
      </c>
      <c r="G283" t="s">
        <v>257</v>
      </c>
      <c r="H283" t="s">
        <v>9207</v>
      </c>
      <c r="I283" s="11" t="s">
        <v>9132</v>
      </c>
    </row>
    <row r="284" spans="1:9" x14ac:dyDescent="0.25">
      <c r="A284" s="11" t="s">
        <v>1272</v>
      </c>
      <c r="B284" s="5" t="s">
        <v>1276</v>
      </c>
      <c r="C284" s="82" t="s">
        <v>9226</v>
      </c>
      <c r="D284" t="str">
        <f>_xlfn.LET(_xlpm.x, _xlfn.XLOOKUP(B284,Sheet1!BF:BF,Sheet1!AF:AF,""), IF(_xlpm.x=0,"",_xlpm.x))</f>
        <v>昆明三行智造科技有限公司</v>
      </c>
      <c r="E284" s="11" t="str">
        <f>_xlfn.LET(_xlpm.x, _xlfn.XLOOKUP(B284,Sheet1!BF:BF,Sheet1!AD:AD,""), IF(_xlpm.x=0,"",_xlpm.x))</f>
        <v>研发部</v>
      </c>
      <c r="F284" s="82" t="s">
        <v>240</v>
      </c>
      <c r="G284" t="s">
        <v>58</v>
      </c>
      <c r="H284" t="s">
        <v>9206</v>
      </c>
      <c r="I284" s="11" t="s">
        <v>9128</v>
      </c>
    </row>
    <row r="285" spans="1:9" x14ac:dyDescent="0.25">
      <c r="A285" s="11" t="s">
        <v>1259</v>
      </c>
      <c r="B285" s="5" t="s">
        <v>1263</v>
      </c>
      <c r="C285" s="82" t="s">
        <v>9227</v>
      </c>
      <c r="D285" t="str">
        <f>_xlfn.LET(_xlpm.x, _xlfn.XLOOKUP(B285,Sheet1!BF:BF,Sheet1!AF:AF,""), IF(_xlpm.x=0,"",_xlpm.x))</f>
        <v>昆明三行智造科技有限公司</v>
      </c>
      <c r="E285" s="11" t="str">
        <f>_xlfn.LET(_xlpm.x, _xlfn.XLOOKUP(B285,Sheet1!BF:BF,Sheet1!AD:AD,""), IF(_xlpm.x=0,"",_xlpm.x))</f>
        <v>交付业务部</v>
      </c>
      <c r="F285" s="82" t="s">
        <v>733</v>
      </c>
      <c r="G285" t="s">
        <v>61</v>
      </c>
      <c r="H285" t="s">
        <v>9207</v>
      </c>
      <c r="I285" s="11" t="s">
        <v>9177</v>
      </c>
    </row>
    <row r="286" spans="1:9" x14ac:dyDescent="0.25">
      <c r="A286" s="11" t="s">
        <v>1244</v>
      </c>
      <c r="B286" s="5" t="s">
        <v>1250</v>
      </c>
      <c r="C286" s="82" t="s">
        <v>9229</v>
      </c>
      <c r="D286" t="str">
        <f>_xlfn.LET(_xlpm.x, _xlfn.XLOOKUP(B286,Sheet1!BF:BF,Sheet1!AF:AF,""), IF(_xlpm.x=0,"",_xlpm.x))</f>
        <v>昆明鼎承科技有限公司</v>
      </c>
      <c r="E286" s="11" t="str">
        <f>_xlfn.LET(_xlpm.x, _xlfn.XLOOKUP(B286,Sheet1!BF:BF,Sheet1!AD:AD,""), IF(_xlpm.x=0,"",_xlpm.x))</f>
        <v>机加车间</v>
      </c>
      <c r="F286" s="82" t="s">
        <v>1248</v>
      </c>
      <c r="G286" t="s">
        <v>905</v>
      </c>
      <c r="H286" t="s">
        <v>9215</v>
      </c>
      <c r="I286" s="11" t="s">
        <v>9168</v>
      </c>
    </row>
    <row r="287" spans="1:9" x14ac:dyDescent="0.25">
      <c r="A287" s="11" t="s">
        <v>988</v>
      </c>
      <c r="B287" s="5" t="s">
        <v>992</v>
      </c>
      <c r="C287" s="82" t="s">
        <v>9226</v>
      </c>
      <c r="D287" t="str">
        <f>_xlfn.LET(_xlpm.x, _xlfn.XLOOKUP(B287,Sheet1!BF:BF,Sheet1!AF:AF,""), IF(_xlpm.x=0,"",_xlpm.x))</f>
        <v>昆明鑫晟源科技有限公司</v>
      </c>
      <c r="E287" s="11" t="str">
        <f>_xlfn.LET(_xlpm.x, _xlfn.XLOOKUP(B287,Sheet1!BF:BF,Sheet1!AD:AD,""), IF(_xlpm.x=0,"",_xlpm.x))</f>
        <v>安调五组</v>
      </c>
      <c r="F287" s="82" t="s">
        <v>733</v>
      </c>
      <c r="G287" t="s">
        <v>63</v>
      </c>
      <c r="H287" t="s">
        <v>9207</v>
      </c>
      <c r="I287" s="11" t="s">
        <v>9131</v>
      </c>
    </row>
    <row r="288" spans="1:9" x14ac:dyDescent="0.25">
      <c r="A288" s="11" t="s">
        <v>1230</v>
      </c>
      <c r="B288" s="5" t="s">
        <v>1235</v>
      </c>
      <c r="C288" s="82" t="s">
        <v>9226</v>
      </c>
      <c r="D288" t="str">
        <f>_xlfn.LET(_xlpm.x, _xlfn.XLOOKUP(B288,Sheet1!BF:BF,Sheet1!AF:AF,""), IF(_xlpm.x=0,"",_xlpm.x))</f>
        <v>昆明三行智造科技有限公司</v>
      </c>
      <c r="E288" s="11" t="str">
        <f>_xlfn.LET(_xlpm.x, _xlfn.XLOOKUP(B288,Sheet1!BF:BF,Sheet1!AD:AD,""), IF(_xlpm.x=0,"",_xlpm.x))</f>
        <v>研发部</v>
      </c>
      <c r="F288" s="82" t="s">
        <v>240</v>
      </c>
      <c r="G288" t="s">
        <v>58</v>
      </c>
      <c r="H288" t="s">
        <v>9206</v>
      </c>
      <c r="I288" s="11" t="s">
        <v>9128</v>
      </c>
    </row>
    <row r="289" spans="1:9" x14ac:dyDescent="0.25">
      <c r="A289" s="11" t="s">
        <v>7041</v>
      </c>
      <c r="B289" s="5" t="s">
        <v>7042</v>
      </c>
      <c r="C289" s="82" t="s">
        <v>9226</v>
      </c>
      <c r="D289" t="str">
        <f>_xlfn.LET(_xlpm.x, _xlfn.XLOOKUP(B289,Sheet1!BF:BF,Sheet1!AF:AF,""), IF(_xlpm.x=0,"",_xlpm.x))</f>
        <v>昆明鑫晟源科技有限公司</v>
      </c>
      <c r="E289" s="11" t="str">
        <f>_xlfn.LET(_xlpm.x, _xlfn.XLOOKUP(B289,Sheet1!BF:BF,Sheet1!AD:AD,""), IF(_xlpm.x=0,"",_xlpm.x))</f>
        <v>安调中心</v>
      </c>
      <c r="F289" s="82" t="s">
        <v>733</v>
      </c>
      <c r="G289" t="s">
        <v>61</v>
      </c>
      <c r="H289" t="s">
        <v>9207</v>
      </c>
      <c r="I289" s="11" t="s">
        <v>9177</v>
      </c>
    </row>
    <row r="290" spans="1:9" x14ac:dyDescent="0.25">
      <c r="A290" s="11" t="s">
        <v>1205</v>
      </c>
      <c r="B290" s="5" t="s">
        <v>1212</v>
      </c>
      <c r="C290" s="82" t="s">
        <v>9225</v>
      </c>
      <c r="D290" t="str">
        <f>_xlfn.LET(_xlpm.x, _xlfn.XLOOKUP(B290,Sheet1!BF:BF,Sheet1!AF:AF,""), IF(_xlpm.x=0,"",_xlpm.x))</f>
        <v>昆明鼎承科技有限公司</v>
      </c>
      <c r="E290" s="11" t="str">
        <f>_xlfn.LET(_xlpm.x, _xlfn.XLOOKUP(B290,Sheet1!BF:BF,Sheet1!AD:AD,""), IF(_xlpm.x=0,"",_xlpm.x))</f>
        <v>工业智能化研发部</v>
      </c>
      <c r="F290" s="82" t="s">
        <v>1209</v>
      </c>
      <c r="G290" t="s">
        <v>9101</v>
      </c>
      <c r="H290" t="s">
        <v>9210</v>
      </c>
      <c r="I290" s="11" t="s">
        <v>9122</v>
      </c>
    </row>
    <row r="291" spans="1:9" x14ac:dyDescent="0.25">
      <c r="A291" s="11" t="s">
        <v>1194</v>
      </c>
      <c r="B291" s="5" t="s">
        <v>1198</v>
      </c>
      <c r="C291" s="82" t="s">
        <v>9225</v>
      </c>
      <c r="D291" t="str">
        <f>_xlfn.LET(_xlpm.x, _xlfn.XLOOKUP(B291,Sheet1!BF:BF,Sheet1!AF:AF,""), IF(_xlpm.x=0,"",_xlpm.x))</f>
        <v>昆明鼎承科技有限公司</v>
      </c>
      <c r="E291" s="11" t="str">
        <f>_xlfn.LET(_xlpm.x, _xlfn.XLOOKUP(B291,Sheet1!BF:BF,Sheet1!AD:AD,""), IF(_xlpm.x=0,"",_xlpm.x))</f>
        <v>工业智能化研发部</v>
      </c>
      <c r="F291" s="82" t="s">
        <v>477</v>
      </c>
      <c r="G291" t="s">
        <v>9101</v>
      </c>
      <c r="H291" t="s">
        <v>9220</v>
      </c>
      <c r="I291" s="11" t="s">
        <v>9191</v>
      </c>
    </row>
    <row r="292" spans="1:9" x14ac:dyDescent="0.25">
      <c r="A292" s="11" t="s">
        <v>971</v>
      </c>
      <c r="B292" s="5" t="s">
        <v>978</v>
      </c>
      <c r="C292" s="82" t="s">
        <v>9225</v>
      </c>
      <c r="D292" t="str">
        <f>_xlfn.LET(_xlpm.x, _xlfn.XLOOKUP(B292,Sheet1!BF:BF,Sheet1!AF:AF,""), IF(_xlpm.x=0,"",_xlpm.x))</f>
        <v>昆明鼎承科技有限公司</v>
      </c>
      <c r="E292" s="11" t="str">
        <f>_xlfn.LET(_xlpm.x, _xlfn.XLOOKUP(B292,Sheet1!BF:BF,Sheet1!AD:AD,""), IF(_xlpm.x=0,"",_xlpm.x))</f>
        <v>工业智能化研发部</v>
      </c>
      <c r="F292" s="82" t="s">
        <v>477</v>
      </c>
      <c r="G292" t="s">
        <v>58</v>
      </c>
      <c r="H292" t="s">
        <v>9220</v>
      </c>
      <c r="I292" s="11" t="s">
        <v>9141</v>
      </c>
    </row>
    <row r="293" spans="1:9" x14ac:dyDescent="0.25">
      <c r="A293" s="11" t="s">
        <v>963</v>
      </c>
      <c r="B293" s="5" t="s">
        <v>968</v>
      </c>
      <c r="C293" s="82" t="s">
        <v>9226</v>
      </c>
      <c r="D293" t="str">
        <f>_xlfn.LET(_xlpm.x, _xlfn.XLOOKUP(B293,Sheet1!BF:BF,Sheet1!AF:AF,""), IF(_xlpm.x=0,"",_xlpm.x))</f>
        <v>昆明鑫晟源科技有限公司</v>
      </c>
      <c r="E293" s="11" t="str">
        <f>_xlfn.LET(_xlpm.x, _xlfn.XLOOKUP(B293,Sheet1!BF:BF,Sheet1!AD:AD,""), IF(_xlpm.x=0,"",_xlpm.x))</f>
        <v>安调中心</v>
      </c>
      <c r="F293" s="82" t="s">
        <v>733</v>
      </c>
      <c r="G293" t="s">
        <v>63</v>
      </c>
      <c r="H293" t="s">
        <v>9207</v>
      </c>
      <c r="I293" s="11" t="s">
        <v>9131</v>
      </c>
    </row>
    <row r="294" spans="1:9" x14ac:dyDescent="0.25">
      <c r="A294" s="11" t="s">
        <v>895</v>
      </c>
      <c r="B294" s="5" t="s">
        <v>899</v>
      </c>
      <c r="C294" s="82" t="s">
        <v>9231</v>
      </c>
      <c r="D294" t="str">
        <f>_xlfn.LET(_xlpm.x, _xlfn.XLOOKUP(B294,Sheet1!BF:BF,Sheet1!AF:AF,""), IF(_xlpm.x=0,"",_xlpm.x))</f>
        <v>昆明鑫晟源科技有限公司</v>
      </c>
      <c r="E294" s="11" t="str">
        <f>_xlfn.LET(_xlpm.x, _xlfn.XLOOKUP(B294,Sheet1!BF:BF,Sheet1!AD:AD,""), IF(_xlpm.x=0,"",_xlpm.x))</f>
        <v>安调五组</v>
      </c>
      <c r="F294" s="82" t="s">
        <v>551</v>
      </c>
      <c r="G294" t="s">
        <v>257</v>
      </c>
      <c r="H294" t="s">
        <v>9207</v>
      </c>
      <c r="I294" s="11" t="s">
        <v>9132</v>
      </c>
    </row>
    <row r="295" spans="1:9" x14ac:dyDescent="0.25">
      <c r="A295" s="11" t="s">
        <v>291</v>
      </c>
      <c r="B295" s="5" t="s">
        <v>303</v>
      </c>
      <c r="C295" s="82" t="s">
        <v>9235</v>
      </c>
      <c r="D295" t="str">
        <f>_xlfn.LET(_xlpm.x, _xlfn.XLOOKUP(B295,Sheet1!BF:BF,Sheet1!AF:AF,""), IF(_xlpm.x=0,"",_xlpm.x))</f>
        <v>昆明鼎承科技有限公司</v>
      </c>
      <c r="E295" s="11" t="str">
        <f>_xlfn.LET(_xlpm.x, _xlfn.XLOOKUP(B295,Sheet1!BF:BF,Sheet1!AD:AD,""), IF(_xlpm.x=0,"",_xlpm.x))</f>
        <v>保安组</v>
      </c>
      <c r="F295" s="82" t="s">
        <v>296</v>
      </c>
      <c r="G295" t="s">
        <v>245</v>
      </c>
      <c r="H295" t="s">
        <v>9219</v>
      </c>
      <c r="I295" s="11" t="s">
        <v>9179</v>
      </c>
    </row>
    <row r="296" spans="1:9" x14ac:dyDescent="0.25">
      <c r="A296" s="11" t="s">
        <v>940</v>
      </c>
      <c r="B296" s="5" t="s">
        <v>943</v>
      </c>
      <c r="C296" s="82" t="s">
        <v>9229</v>
      </c>
      <c r="D296" t="str">
        <f>_xlfn.LET(_xlpm.x, _xlfn.XLOOKUP(B296,Sheet1!BF:BF,Sheet1!AF:AF,""), IF(_xlpm.x=0,"",_xlpm.x))</f>
        <v>昆明鼎承科技有限公司</v>
      </c>
      <c r="E296" s="11" t="str">
        <f>_xlfn.LET(_xlpm.x, _xlfn.XLOOKUP(B296,Sheet1!BF:BF,Sheet1!AD:AD,""), IF(_xlpm.x=0,"",_xlpm.x))</f>
        <v>机加车间</v>
      </c>
      <c r="F296" s="82" t="s">
        <v>574</v>
      </c>
      <c r="G296" t="s">
        <v>9108</v>
      </c>
      <c r="H296" t="s">
        <v>9215</v>
      </c>
      <c r="I296" s="11" t="s">
        <v>9165</v>
      </c>
    </row>
    <row r="297" spans="1:9" x14ac:dyDescent="0.25">
      <c r="A297" s="11" t="s">
        <v>946</v>
      </c>
      <c r="B297" s="5" t="s">
        <v>950</v>
      </c>
      <c r="C297" s="82" t="s">
        <v>9227</v>
      </c>
      <c r="D297" t="str">
        <f>_xlfn.LET(_xlpm.x, _xlfn.XLOOKUP(B297,Sheet1!BF:BF,Sheet1!AF:AF,""), IF(_xlpm.x=0,"",_xlpm.x))</f>
        <v>昆明三行智造科技有限公司</v>
      </c>
      <c r="E297" s="11" t="str">
        <f>_xlfn.LET(_xlpm.x, _xlfn.XLOOKUP(B297,Sheet1!BF:BF,Sheet1!AD:AD,""), IF(_xlpm.x=0,"",_xlpm.x))</f>
        <v>交付业务部</v>
      </c>
      <c r="F297" s="82" t="s">
        <v>565</v>
      </c>
      <c r="G297" t="s">
        <v>257</v>
      </c>
      <c r="H297" t="s">
        <v>9207</v>
      </c>
      <c r="I297" s="11" t="s">
        <v>9132</v>
      </c>
    </row>
    <row r="298" spans="1:9" x14ac:dyDescent="0.25">
      <c r="A298" s="11" t="s">
        <v>957</v>
      </c>
      <c r="B298" s="5" t="s">
        <v>960</v>
      </c>
      <c r="C298" s="82" t="s">
        <v>9227</v>
      </c>
      <c r="D298" t="str">
        <f>_xlfn.LET(_xlpm.x, _xlfn.XLOOKUP(B298,Sheet1!BF:BF,Sheet1!AF:AF,""), IF(_xlpm.x=0,"",_xlpm.x))</f>
        <v>昆明三行智造科技有限公司</v>
      </c>
      <c r="E298" s="11" t="str">
        <f>_xlfn.LET(_xlpm.x, _xlfn.XLOOKUP(B298,Sheet1!BF:BF,Sheet1!AD:AD,""), IF(_xlpm.x=0,"",_xlpm.x))</f>
        <v>交付业务部</v>
      </c>
      <c r="F298" s="82" t="s">
        <v>565</v>
      </c>
      <c r="G298" t="s">
        <v>257</v>
      </c>
      <c r="H298" t="s">
        <v>9207</v>
      </c>
      <c r="I298" s="11" t="s">
        <v>9132</v>
      </c>
    </row>
    <row r="299" spans="1:9" x14ac:dyDescent="0.25">
      <c r="A299" s="11" t="s">
        <v>952</v>
      </c>
      <c r="B299" s="5" t="s">
        <v>955</v>
      </c>
      <c r="C299" s="82" t="s">
        <v>9227</v>
      </c>
      <c r="D299" t="str">
        <f>_xlfn.LET(_xlpm.x, _xlfn.XLOOKUP(B299,Sheet1!BF:BF,Sheet1!AF:AF,""), IF(_xlpm.x=0,"",_xlpm.x))</f>
        <v>昆明三行智造科技有限公司</v>
      </c>
      <c r="E299" s="11" t="str">
        <f>_xlfn.LET(_xlpm.x, _xlfn.XLOOKUP(B299,Sheet1!BF:BF,Sheet1!AD:AD,""), IF(_xlpm.x=0,"",_xlpm.x))</f>
        <v>交付业务部</v>
      </c>
      <c r="F299" s="82" t="s">
        <v>565</v>
      </c>
      <c r="G299" t="s">
        <v>257</v>
      </c>
      <c r="H299" t="s">
        <v>9207</v>
      </c>
      <c r="I299" s="11" t="s">
        <v>9132</v>
      </c>
    </row>
    <row r="300" spans="1:9" x14ac:dyDescent="0.25">
      <c r="A300" s="11" t="s">
        <v>1183</v>
      </c>
      <c r="B300" s="5" t="s">
        <v>1189</v>
      </c>
      <c r="C300" s="82" t="s">
        <v>9226</v>
      </c>
      <c r="D300" t="str">
        <f>_xlfn.LET(_xlpm.x, _xlfn.XLOOKUP(B300,Sheet1!BF:BF,Sheet1!AF:AF,""), IF(_xlpm.x=0,"",_xlpm.x))</f>
        <v>昆明三行智造科技有限公司</v>
      </c>
      <c r="E300" s="11" t="str">
        <f>_xlfn.LET(_xlpm.x, _xlfn.XLOOKUP(B300,Sheet1!BF:BF,Sheet1!AD:AD,""), IF(_xlpm.x=0,"",_xlpm.x))</f>
        <v>研发部</v>
      </c>
      <c r="F300" s="82" t="s">
        <v>240</v>
      </c>
      <c r="G300" t="s">
        <v>58</v>
      </c>
      <c r="H300" t="s">
        <v>9206</v>
      </c>
      <c r="I300" s="11" t="s">
        <v>9128</v>
      </c>
    </row>
    <row r="301" spans="1:9" x14ac:dyDescent="0.25">
      <c r="A301" s="11" t="s">
        <v>1167</v>
      </c>
      <c r="B301" s="5" t="s">
        <v>1176</v>
      </c>
      <c r="C301" s="82" t="s">
        <v>9225</v>
      </c>
      <c r="D301" t="str">
        <f>_xlfn.LET(_xlpm.x, _xlfn.XLOOKUP(B301,Sheet1!BF:BF,Sheet1!AF:AF,""), IF(_xlpm.x=0,"",_xlpm.x))</f>
        <v>昆明鼎承科技有限公司</v>
      </c>
      <c r="E301" s="11" t="str">
        <f>_xlfn.LET(_xlpm.x, _xlfn.XLOOKUP(B301,Sheet1!BF:BF,Sheet1!AD:AD,""), IF(_xlpm.x=0,"",_xlpm.x))</f>
        <v>产品研发三部</v>
      </c>
      <c r="F301" s="82" t="s">
        <v>240</v>
      </c>
      <c r="G301" t="s">
        <v>9101</v>
      </c>
      <c r="H301" t="s">
        <v>9206</v>
      </c>
      <c r="I301" s="11" t="s">
        <v>9127</v>
      </c>
    </row>
    <row r="302" spans="1:9" x14ac:dyDescent="0.25">
      <c r="A302" s="11" t="s">
        <v>1146</v>
      </c>
      <c r="B302" s="5" t="s">
        <v>1153</v>
      </c>
      <c r="C302" s="82" t="s">
        <v>9226</v>
      </c>
      <c r="D302" t="str">
        <f>_xlfn.LET(_xlpm.x, _xlfn.XLOOKUP(B302,Sheet1!BF:BF,Sheet1!AF:AF,""), IF(_xlpm.x=0,"",_xlpm.x))</f>
        <v>昆明鑫晟源科技有限公司</v>
      </c>
      <c r="E302" s="11" t="str">
        <f>_xlfn.LET(_xlpm.x, _xlfn.XLOOKUP(B302,Sheet1!BF:BF,Sheet1!AD:AD,""), IF(_xlpm.x=0,"",_xlpm.x))</f>
        <v>工艺技术部</v>
      </c>
      <c r="F302" s="82" t="s">
        <v>1097</v>
      </c>
      <c r="G302" t="s">
        <v>9098</v>
      </c>
      <c r="H302" t="s">
        <v>9210</v>
      </c>
      <c r="I302" s="11" t="s">
        <v>9123</v>
      </c>
    </row>
    <row r="303" spans="1:9" x14ac:dyDescent="0.25">
      <c r="A303" s="11" t="s">
        <v>1127</v>
      </c>
      <c r="B303" s="5" t="s">
        <v>1135</v>
      </c>
      <c r="C303" s="82" t="s">
        <v>9226</v>
      </c>
      <c r="D303" t="str">
        <f>_xlfn.LET(_xlpm.x, _xlfn.XLOOKUP(B303,Sheet1!BF:BF,Sheet1!AF:AF,""), IF(_xlpm.x=0,"",_xlpm.x))</f>
        <v>昆明三行智造科技有限公司</v>
      </c>
      <c r="E303" s="11" t="str">
        <f>_xlfn.LET(_xlpm.x, _xlfn.XLOOKUP(B303,Sheet1!BF:BF,Sheet1!AD:AD,""), IF(_xlpm.x=0,"",_xlpm.x))</f>
        <v>研发部</v>
      </c>
      <c r="F303" s="82" t="s">
        <v>240</v>
      </c>
      <c r="G303" t="s">
        <v>58</v>
      </c>
      <c r="H303" t="s">
        <v>9206</v>
      </c>
      <c r="I303" s="11" t="s">
        <v>9128</v>
      </c>
    </row>
    <row r="304" spans="1:9" x14ac:dyDescent="0.25">
      <c r="A304" s="11" t="s">
        <v>1091</v>
      </c>
      <c r="B304" s="5" t="s">
        <v>1101</v>
      </c>
      <c r="C304" s="82" t="s">
        <v>9226</v>
      </c>
      <c r="D304" t="str">
        <f>_xlfn.LET(_xlpm.x, _xlfn.XLOOKUP(B304,Sheet1!BF:BF,Sheet1!AF:AF,""), IF(_xlpm.x=0,"",_xlpm.x))</f>
        <v>昆明鑫晟源科技有限公司</v>
      </c>
      <c r="E304" s="11" t="str">
        <f>_xlfn.LET(_xlpm.x, _xlfn.XLOOKUP(B304,Sheet1!BF:BF,Sheet1!AD:AD,""), IF(_xlpm.x=0,"",_xlpm.x))</f>
        <v>工艺技术部</v>
      </c>
      <c r="F304" s="82" t="s">
        <v>1097</v>
      </c>
      <c r="G304" t="s">
        <v>2152</v>
      </c>
      <c r="H304" t="s">
        <v>9210</v>
      </c>
      <c r="I304" s="11" t="s">
        <v>9143</v>
      </c>
    </row>
    <row r="305" spans="1:9" x14ac:dyDescent="0.25">
      <c r="A305" s="11" t="s">
        <v>1071</v>
      </c>
      <c r="B305" s="5" t="s">
        <v>1079</v>
      </c>
      <c r="C305" s="82" t="s">
        <v>9226</v>
      </c>
      <c r="D305" t="str">
        <f>_xlfn.LET(_xlpm.x, _xlfn.XLOOKUP(B305,Sheet1!BF:BF,Sheet1!AF:AF,""), IF(_xlpm.x=0,"",_xlpm.x))</f>
        <v>昆明三行智造科技有限公司</v>
      </c>
      <c r="E305" s="11" t="str">
        <f>_xlfn.LET(_xlpm.x, _xlfn.XLOOKUP(B305,Sheet1!BF:BF,Sheet1!AD:AD,""), IF(_xlpm.x=0,"",_xlpm.x))</f>
        <v>研发部</v>
      </c>
      <c r="F305" s="82" t="s">
        <v>506</v>
      </c>
      <c r="G305" t="s">
        <v>58</v>
      </c>
      <c r="H305" t="s">
        <v>9206</v>
      </c>
      <c r="I305" s="11" t="s">
        <v>9128</v>
      </c>
    </row>
    <row r="306" spans="1:9" x14ac:dyDescent="0.25">
      <c r="A306" s="11" t="s">
        <v>1053</v>
      </c>
      <c r="B306" s="5" t="s">
        <v>1060</v>
      </c>
      <c r="C306" s="82" t="s">
        <v>9225</v>
      </c>
      <c r="D306" t="str">
        <f>_xlfn.LET(_xlpm.x, _xlfn.XLOOKUP(B306,Sheet1!BF:BF,Sheet1!AF:AF,""), IF(_xlpm.x=0,"",_xlpm.x))</f>
        <v>昆明鼎承科技有限公司</v>
      </c>
      <c r="E306" s="11" t="str">
        <f>_xlfn.LET(_xlpm.x, _xlfn.XLOOKUP(B306,Sheet1!BF:BF,Sheet1!AD:AD,""), IF(_xlpm.x=0,"",_xlpm.x))</f>
        <v>工业智能化研发部</v>
      </c>
      <c r="F306" s="82" t="s">
        <v>477</v>
      </c>
      <c r="G306" t="s">
        <v>9102</v>
      </c>
      <c r="H306" t="s">
        <v>9220</v>
      </c>
      <c r="I306" s="11" t="s">
        <v>9202</v>
      </c>
    </row>
    <row r="307" spans="1:9" x14ac:dyDescent="0.25">
      <c r="A307" s="11" t="s">
        <v>924</v>
      </c>
      <c r="B307" s="5" t="s">
        <v>931</v>
      </c>
      <c r="C307" s="82" t="s">
        <v>9231</v>
      </c>
      <c r="D307" t="str">
        <f>_xlfn.LET(_xlpm.x, _xlfn.XLOOKUP(B307,Sheet1!BF:BF,Sheet1!AF:AF,""), IF(_xlpm.x=0,"",_xlpm.x))</f>
        <v>昆明鑫晟源科技有限公司</v>
      </c>
      <c r="E307" s="11" t="str">
        <f>_xlfn.LET(_xlpm.x, _xlfn.XLOOKUP(B307,Sheet1!BF:BF,Sheet1!AD:AD,""), IF(_xlpm.x=0,"",_xlpm.x))</f>
        <v>安调五组</v>
      </c>
      <c r="F307" s="82" t="s">
        <v>733</v>
      </c>
      <c r="G307" t="s">
        <v>63</v>
      </c>
      <c r="H307" t="s">
        <v>9207</v>
      </c>
      <c r="I307" s="11" t="s">
        <v>9131</v>
      </c>
    </row>
    <row r="308" spans="1:9" x14ac:dyDescent="0.25">
      <c r="A308" s="11" t="s">
        <v>1025</v>
      </c>
      <c r="B308" s="5" t="s">
        <v>1030</v>
      </c>
      <c r="C308" s="82" t="s">
        <v>9225</v>
      </c>
      <c r="D308" t="str">
        <f>_xlfn.LET(_xlpm.x, _xlfn.XLOOKUP(B308,Sheet1!BF:BF,Sheet1!AF:AF,""), IF(_xlpm.x=0,"",_xlpm.x))</f>
        <v>昆明鼎承科技有限公司</v>
      </c>
      <c r="E308" s="11" t="str">
        <f>_xlfn.LET(_xlpm.x, _xlfn.XLOOKUP(B308,Sheet1!BF:BF,Sheet1!AD:AD,""), IF(_xlpm.x=0,"",_xlpm.x))</f>
        <v>总经理办公室</v>
      </c>
      <c r="F308" s="82" t="s">
        <v>1027</v>
      </c>
      <c r="G308" t="s">
        <v>61</v>
      </c>
      <c r="H308" t="s">
        <v>9210</v>
      </c>
      <c r="I308" s="11" t="s">
        <v>9201</v>
      </c>
    </row>
    <row r="309" spans="1:9" x14ac:dyDescent="0.25">
      <c r="A309" s="11" t="s">
        <v>1010</v>
      </c>
      <c r="B309" s="5" t="s">
        <v>1018</v>
      </c>
      <c r="C309" s="82" t="s">
        <v>9225</v>
      </c>
      <c r="D309" t="str">
        <f>_xlfn.LET(_xlpm.x, _xlfn.XLOOKUP(B309,Sheet1!BF:BF,Sheet1!AF:AF,""), IF(_xlpm.x=0,"",_xlpm.x))</f>
        <v>昆明鼎承科技有限公司</v>
      </c>
      <c r="E309" s="11" t="str">
        <f>_xlfn.LET(_xlpm.x, _xlfn.XLOOKUP(B309,Sheet1!BF:BF,Sheet1!AD:AD,""), IF(_xlpm.x=0,"",_xlpm.x))</f>
        <v>产品研发三部</v>
      </c>
      <c r="F309" s="82" t="s">
        <v>240</v>
      </c>
      <c r="G309" t="s">
        <v>9101</v>
      </c>
      <c r="H309" t="s">
        <v>9206</v>
      </c>
      <c r="I309" s="11" t="s">
        <v>9127</v>
      </c>
    </row>
    <row r="310" spans="1:9" x14ac:dyDescent="0.25">
      <c r="A310" s="11" t="s">
        <v>994</v>
      </c>
      <c r="B310" s="5" t="s">
        <v>1002</v>
      </c>
      <c r="C310" s="82" t="s">
        <v>9225</v>
      </c>
      <c r="D310" t="str">
        <f>_xlfn.LET(_xlpm.x, _xlfn.XLOOKUP(B310,Sheet1!BF:BF,Sheet1!AF:AF,""), IF(_xlpm.x=0,"",_xlpm.x))</f>
        <v>昆明鼎承科技有限公司</v>
      </c>
      <c r="E310" s="11" t="str">
        <f>_xlfn.LET(_xlpm.x, _xlfn.XLOOKUP(B310,Sheet1!BF:BF,Sheet1!AD:AD,""), IF(_xlpm.x=0,"",_xlpm.x))</f>
        <v>营销部</v>
      </c>
      <c r="F310" s="82" t="s">
        <v>997</v>
      </c>
      <c r="G310" t="s">
        <v>905</v>
      </c>
      <c r="H310" t="s">
        <v>9212</v>
      </c>
      <c r="I310" s="11" t="s">
        <v>9174</v>
      </c>
    </row>
    <row r="311" spans="1:9" x14ac:dyDescent="0.25">
      <c r="A311" s="11" t="s">
        <v>913</v>
      </c>
      <c r="B311" s="5" t="s">
        <v>919</v>
      </c>
      <c r="C311" s="82" t="s">
        <v>9229</v>
      </c>
      <c r="D311" t="str">
        <f>_xlfn.LET(_xlpm.x, _xlfn.XLOOKUP(B311,Sheet1!BF:BF,Sheet1!AF:AF,""), IF(_xlpm.x=0,"",_xlpm.x))</f>
        <v>昆明鼎承科技有限公司</v>
      </c>
      <c r="E311" s="11" t="str">
        <f>_xlfn.LET(_xlpm.x, _xlfn.XLOOKUP(B311,Sheet1!BF:BF,Sheet1!AD:AD,""), IF(_xlpm.x=0,"",_xlpm.x))</f>
        <v>企业管理部</v>
      </c>
      <c r="F311" s="82" t="s">
        <v>419</v>
      </c>
      <c r="G311" t="s">
        <v>61</v>
      </c>
      <c r="H311" t="s">
        <v>9205</v>
      </c>
      <c r="I311" s="11" t="s">
        <v>9146</v>
      </c>
    </row>
    <row r="312" spans="1:9" x14ac:dyDescent="0.25">
      <c r="A312" s="11" t="s">
        <v>902</v>
      </c>
      <c r="B312" s="5" t="s">
        <v>907</v>
      </c>
      <c r="C312" s="82" t="s">
        <v>9229</v>
      </c>
      <c r="D312" t="str">
        <f>_xlfn.LET(_xlpm.x, _xlfn.XLOOKUP(B312,Sheet1!BF:BF,Sheet1!AF:AF,""), IF(_xlpm.x=0,"",_xlpm.x))</f>
        <v>昆明鼎承科技有限公司</v>
      </c>
      <c r="E312" s="11" t="str">
        <f>_xlfn.LET(_xlpm.x, _xlfn.XLOOKUP(B312,Sheet1!BF:BF,Sheet1!AD:AD,""), IF(_xlpm.x=0,"",_xlpm.x))</f>
        <v>企业管理办公室</v>
      </c>
      <c r="F312" s="82" t="s">
        <v>904</v>
      </c>
      <c r="G312" t="s">
        <v>9098</v>
      </c>
      <c r="H312" t="s">
        <v>9217</v>
      </c>
      <c r="I312" s="11" t="s">
        <v>9178</v>
      </c>
    </row>
    <row r="313" spans="1:9" x14ac:dyDescent="0.25">
      <c r="A313" s="11" t="s">
        <v>626</v>
      </c>
      <c r="B313" s="5" t="s">
        <v>629</v>
      </c>
      <c r="C313" s="82" t="s">
        <v>9231</v>
      </c>
      <c r="D313" t="str">
        <f>_xlfn.LET(_xlpm.x, _xlfn.XLOOKUP(B313,Sheet1!BF:BF,Sheet1!AF:AF,""), IF(_xlpm.x=0,"",_xlpm.x))</f>
        <v>昆明鑫晟源科技有限公司</v>
      </c>
      <c r="E313" s="11" t="str">
        <f>_xlfn.LET(_xlpm.x, _xlfn.XLOOKUP(B313,Sheet1!BF:BF,Sheet1!AD:AD,""), IF(_xlpm.x=0,"",_xlpm.x))</f>
        <v>安调五组</v>
      </c>
      <c r="F313" s="82" t="s">
        <v>593</v>
      </c>
      <c r="G313" t="s">
        <v>257</v>
      </c>
      <c r="H313" t="s">
        <v>9207</v>
      </c>
      <c r="I313" s="11" t="s">
        <v>9132</v>
      </c>
    </row>
    <row r="314" spans="1:9" x14ac:dyDescent="0.25">
      <c r="A314" s="11" t="s">
        <v>620</v>
      </c>
      <c r="B314" s="5" t="s">
        <v>624</v>
      </c>
      <c r="C314" s="82" t="s">
        <v>9231</v>
      </c>
      <c r="D314" t="str">
        <f>_xlfn.LET(_xlpm.x, _xlfn.XLOOKUP(B314,Sheet1!BF:BF,Sheet1!AF:AF,""), IF(_xlpm.x=0,"",_xlpm.x))</f>
        <v>昆明鑫晟源科技有限公司</v>
      </c>
      <c r="E314" s="11" t="str">
        <f>_xlfn.LET(_xlpm.x, _xlfn.XLOOKUP(B314,Sheet1!BF:BF,Sheet1!AD:AD,""), IF(_xlpm.x=0,"",_xlpm.x))</f>
        <v>安调五组</v>
      </c>
      <c r="F314" s="82" t="s">
        <v>593</v>
      </c>
      <c r="G314" t="s">
        <v>63</v>
      </c>
      <c r="H314" t="s">
        <v>9207</v>
      </c>
      <c r="I314" s="11" t="s">
        <v>9131</v>
      </c>
    </row>
    <row r="315" spans="1:9" x14ac:dyDescent="0.25">
      <c r="A315" s="11" t="s">
        <v>591</v>
      </c>
      <c r="B315" s="5" t="s">
        <v>595</v>
      </c>
      <c r="C315" s="82" t="s">
        <v>9231</v>
      </c>
      <c r="D315" t="str">
        <f>_xlfn.LET(_xlpm.x, _xlfn.XLOOKUP(B315,Sheet1!BF:BF,Sheet1!AF:AF,""), IF(_xlpm.x=0,"",_xlpm.x))</f>
        <v>昆明鑫晟源科技有限公司</v>
      </c>
      <c r="E315" s="11" t="str">
        <f>_xlfn.LET(_xlpm.x, _xlfn.XLOOKUP(B315,Sheet1!BF:BF,Sheet1!AD:AD,""), IF(_xlpm.x=0,"",_xlpm.x))</f>
        <v>安调五组</v>
      </c>
      <c r="F315" s="82" t="s">
        <v>593</v>
      </c>
      <c r="G315" t="s">
        <v>257</v>
      </c>
      <c r="H315" t="s">
        <v>9207</v>
      </c>
      <c r="I315" s="11" t="s">
        <v>9132</v>
      </c>
    </row>
    <row r="316" spans="1:9" x14ac:dyDescent="0.25">
      <c r="A316" s="11" t="s">
        <v>584</v>
      </c>
      <c r="B316" s="5" t="s">
        <v>587</v>
      </c>
      <c r="C316" s="82" t="s">
        <v>9231</v>
      </c>
      <c r="D316" t="str">
        <f>_xlfn.LET(_xlpm.x, _xlfn.XLOOKUP(B316,Sheet1!BF:BF,Sheet1!AF:AF,""), IF(_xlpm.x=0,"",_xlpm.x))</f>
        <v>昆明鑫晟源科技有限公司</v>
      </c>
      <c r="E316" s="11" t="str">
        <f>_xlfn.LET(_xlpm.x, _xlfn.XLOOKUP(B316,Sheet1!BF:BF,Sheet1!AD:AD,""), IF(_xlpm.x=0,"",_xlpm.x))</f>
        <v>安调五组</v>
      </c>
      <c r="F316" s="82" t="s">
        <v>551</v>
      </c>
      <c r="G316" t="s">
        <v>63</v>
      </c>
      <c r="H316" t="s">
        <v>9207</v>
      </c>
      <c r="I316" s="11" t="s">
        <v>9131</v>
      </c>
    </row>
    <row r="317" spans="1:9" x14ac:dyDescent="0.25">
      <c r="A317" s="11" t="s">
        <v>873</v>
      </c>
      <c r="B317" s="5" t="s">
        <v>884</v>
      </c>
      <c r="C317" s="82" t="s">
        <v>9235</v>
      </c>
      <c r="D317" t="str">
        <f>_xlfn.LET(_xlpm.x, _xlfn.XLOOKUP(B317,Sheet1!BF:BF,Sheet1!AF:AF,""), IF(_xlpm.x=0,"",_xlpm.x))</f>
        <v>昆明鑫晟源科技有限公司</v>
      </c>
      <c r="E317" s="11" t="str">
        <f>_xlfn.LET(_xlpm.x, _xlfn.XLOOKUP(B317,Sheet1!BF:BF,Sheet1!AD:AD,""), IF(_xlpm.x=0,"",_xlpm.x))</f>
        <v>企业管理办公室</v>
      </c>
      <c r="F317" s="82" t="s">
        <v>877</v>
      </c>
      <c r="G317" t="s">
        <v>9104</v>
      </c>
      <c r="H317" t="s">
        <v>9211</v>
      </c>
      <c r="I317" s="11" t="s">
        <v>9147</v>
      </c>
    </row>
    <row r="318" spans="1:9" x14ac:dyDescent="0.25">
      <c r="A318" s="11" t="s">
        <v>857</v>
      </c>
      <c r="B318" s="5" t="s">
        <v>866</v>
      </c>
      <c r="C318" s="82" t="s">
        <v>9241</v>
      </c>
      <c r="D318" t="str">
        <f>_xlfn.LET(_xlpm.x, _xlfn.XLOOKUP(B318,Sheet1!BF:BF,Sheet1!AF:AF,""), IF(_xlpm.x=0,"",_xlpm.x))</f>
        <v>昆明鑫晟源科技有限公司</v>
      </c>
      <c r="E318" s="11" t="str">
        <f>_xlfn.LET(_xlpm.x, _xlfn.XLOOKUP(B318,Sheet1!BF:BF,Sheet1!AD:AD,""), IF(_xlpm.x=0,"",_xlpm.x))</f>
        <v>工艺技术部</v>
      </c>
      <c r="F318" s="82" t="s">
        <v>860</v>
      </c>
      <c r="G318" t="s">
        <v>905</v>
      </c>
      <c r="H318" t="s">
        <v>9206</v>
      </c>
      <c r="I318" s="11" t="s">
        <v>9134</v>
      </c>
    </row>
    <row r="319" spans="1:9" x14ac:dyDescent="0.25">
      <c r="A319" s="11" t="s">
        <v>807</v>
      </c>
      <c r="B319" s="5" t="s">
        <v>812</v>
      </c>
      <c r="C319" s="82" t="s">
        <v>9231</v>
      </c>
      <c r="D319" t="str">
        <f>_xlfn.LET(_xlpm.x, _xlfn.XLOOKUP(B319,Sheet1!BF:BF,Sheet1!AF:AF,""), IF(_xlpm.x=0,"",_xlpm.x))</f>
        <v>昆明三行智造科技有限公司</v>
      </c>
      <c r="E319" s="11" t="str">
        <f>_xlfn.LET(_xlpm.x, _xlfn.XLOOKUP(B319,Sheet1!BF:BF,Sheet1!AD:AD,""), IF(_xlpm.x=0,"",_xlpm.x))</f>
        <v>产品技术部</v>
      </c>
      <c r="F319" s="82" t="s">
        <v>634</v>
      </c>
      <c r="G319" t="s">
        <v>2152</v>
      </c>
      <c r="H319" t="s">
        <v>9214</v>
      </c>
      <c r="I319" s="11" t="s">
        <v>9126</v>
      </c>
    </row>
    <row r="320" spans="1:9" x14ac:dyDescent="0.25">
      <c r="A320" s="11" t="s">
        <v>579</v>
      </c>
      <c r="B320" s="5" t="s">
        <v>582</v>
      </c>
      <c r="C320" s="82" t="s">
        <v>9229</v>
      </c>
      <c r="D320" t="str">
        <f>_xlfn.LET(_xlpm.x, _xlfn.XLOOKUP(B320,Sheet1!BF:BF,Sheet1!AF:AF,""), IF(_xlpm.x=0,"",_xlpm.x))</f>
        <v>昆明鼎承科技有限公司</v>
      </c>
      <c r="E320" s="11" t="str">
        <f>_xlfn.LET(_xlpm.x, _xlfn.XLOOKUP(B320,Sheet1!BF:BF,Sheet1!AD:AD,""), IF(_xlpm.x=0,"",_xlpm.x))</f>
        <v>机加车间</v>
      </c>
      <c r="F320" s="82" t="s">
        <v>574</v>
      </c>
      <c r="G320" t="s">
        <v>9108</v>
      </c>
      <c r="H320" t="s">
        <v>9215</v>
      </c>
      <c r="I320" s="11" t="s">
        <v>9165</v>
      </c>
    </row>
    <row r="321" spans="1:9" x14ac:dyDescent="0.25">
      <c r="A321" s="11" t="s">
        <v>571</v>
      </c>
      <c r="B321" s="5" t="s">
        <v>576</v>
      </c>
      <c r="C321" s="82" t="s">
        <v>9229</v>
      </c>
      <c r="D321" t="str">
        <f>_xlfn.LET(_xlpm.x, _xlfn.XLOOKUP(B321,Sheet1!BF:BF,Sheet1!AF:AF,""), IF(_xlpm.x=0,"",_xlpm.x))</f>
        <v>昆明鼎承科技有限公司</v>
      </c>
      <c r="E321" s="11" t="str">
        <f>_xlfn.LET(_xlpm.x, _xlfn.XLOOKUP(B321,Sheet1!BF:BF,Sheet1!AD:AD,""), IF(_xlpm.x=0,"",_xlpm.x))</f>
        <v>机加车间</v>
      </c>
      <c r="F321" s="82" t="s">
        <v>574</v>
      </c>
      <c r="G321" t="s">
        <v>9108</v>
      </c>
      <c r="H321" t="s">
        <v>9215</v>
      </c>
      <c r="I321" s="11" t="s">
        <v>9165</v>
      </c>
    </row>
    <row r="322" spans="1:9" x14ac:dyDescent="0.25">
      <c r="A322" s="11" t="s">
        <v>777</v>
      </c>
      <c r="B322" s="5" t="s">
        <v>784</v>
      </c>
      <c r="C322" s="82" t="s">
        <v>9242</v>
      </c>
      <c r="D322" t="str">
        <f>_xlfn.LET(_xlpm.x, _xlfn.XLOOKUP(B322,Sheet1!BF:BF,Sheet1!AF:AF,""), IF(_xlpm.x=0,"",_xlpm.x))</f>
        <v>昆明三行智造科技有限公司</v>
      </c>
      <c r="E322" s="11" t="str">
        <f>_xlfn.LET(_xlpm.x, _xlfn.XLOOKUP(B322,Sheet1!BF:BF,Sheet1!AD:AD,""), IF(_xlpm.x=0,"",_xlpm.x))</f>
        <v>产品技术部</v>
      </c>
      <c r="F322" s="82" t="s">
        <v>634</v>
      </c>
      <c r="G322" t="s">
        <v>63</v>
      </c>
      <c r="H322" t="s">
        <v>9206</v>
      </c>
      <c r="I322" s="11" t="s">
        <v>9203</v>
      </c>
    </row>
    <row r="323" spans="1:9" x14ac:dyDescent="0.25">
      <c r="A323" s="11" t="s">
        <v>719</v>
      </c>
      <c r="B323" s="5" t="s">
        <v>727</v>
      </c>
      <c r="C323" s="82" t="s">
        <v>9227</v>
      </c>
      <c r="D323" t="str">
        <f>_xlfn.LET(_xlpm.x, _xlfn.XLOOKUP(B323,Sheet1!BF:BF,Sheet1!AF:AF,""), IF(_xlpm.x=0,"",_xlpm.x))</f>
        <v>昆明鑫晟源科技有限公司</v>
      </c>
      <c r="E323" s="11" t="str">
        <f>_xlfn.LET(_xlpm.x, _xlfn.XLOOKUP(B323,Sheet1!BF:BF,Sheet1!AD:AD,""), IF(_xlpm.x=0,"",_xlpm.x))</f>
        <v>安调中心</v>
      </c>
      <c r="F323" s="82" t="s">
        <v>723</v>
      </c>
      <c r="G323" t="s">
        <v>58</v>
      </c>
      <c r="H323" t="s">
        <v>9210</v>
      </c>
      <c r="I323" s="11" t="s">
        <v>9204</v>
      </c>
    </row>
  </sheetData>
  <mergeCells count="2">
    <mergeCell ref="A1:J1"/>
    <mergeCell ref="A2:J2"/>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258" workbookViewId="0">
      <selection activeCell="C291" sqref="C291"/>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87" t="s">
        <v>158</v>
      </c>
      <c r="B1" s="88"/>
      <c r="C1" s="88"/>
    </row>
    <row r="2" spans="1:3" ht="18" customHeight="1" x14ac:dyDescent="0.25">
      <c r="A2" s="91" t="s">
        <v>159</v>
      </c>
      <c r="B2" s="90"/>
      <c r="C2" s="90"/>
    </row>
    <row r="3" spans="1:3" ht="22.05" customHeight="1" x14ac:dyDescent="0.25">
      <c r="A3" s="3" t="s">
        <v>156</v>
      </c>
      <c r="B3" s="6" t="s">
        <v>3</v>
      </c>
      <c r="C3" s="4" t="s">
        <v>157</v>
      </c>
    </row>
    <row r="4" spans="1:3" ht="18" customHeight="1" x14ac:dyDescent="0.25">
      <c r="A4" s="8" t="s">
        <v>2202</v>
      </c>
      <c r="B4" s="8" t="s">
        <v>2208</v>
      </c>
      <c r="C4" s="8" t="s">
        <v>2207</v>
      </c>
    </row>
    <row r="5" spans="1:3" ht="15.6" x14ac:dyDescent="0.25">
      <c r="A5" s="8" t="s">
        <v>1569</v>
      </c>
      <c r="B5" s="8" t="s">
        <v>1578</v>
      </c>
      <c r="C5" s="8" t="s">
        <v>1577</v>
      </c>
    </row>
    <row r="6" spans="1:3" ht="15.6" x14ac:dyDescent="0.25">
      <c r="A6" s="8" t="s">
        <v>2780</v>
      </c>
      <c r="B6" s="8" t="s">
        <v>2784</v>
      </c>
      <c r="C6" s="8" t="s">
        <v>2783</v>
      </c>
    </row>
    <row r="7" spans="1:3" ht="15.6" x14ac:dyDescent="0.25">
      <c r="A7" s="8" t="s">
        <v>1763</v>
      </c>
      <c r="B7" s="8" t="s">
        <v>1768</v>
      </c>
      <c r="C7" s="8" t="s">
        <v>1767</v>
      </c>
    </row>
    <row r="8" spans="1:3" ht="15.6" x14ac:dyDescent="0.25">
      <c r="A8" s="8" t="s">
        <v>3595</v>
      </c>
      <c r="B8" s="8" t="s">
        <v>3601</v>
      </c>
      <c r="C8" s="8" t="s">
        <v>3600</v>
      </c>
    </row>
    <row r="9" spans="1:3" ht="15.6" x14ac:dyDescent="0.25">
      <c r="A9" s="8" t="s">
        <v>2645</v>
      </c>
      <c r="B9" s="8" t="s">
        <v>2651</v>
      </c>
      <c r="C9" s="8" t="s">
        <v>2650</v>
      </c>
    </row>
    <row r="10" spans="1:3" ht="15.6" x14ac:dyDescent="0.25">
      <c r="A10" s="8" t="s">
        <v>1714</v>
      </c>
      <c r="B10" s="8" t="s">
        <v>1721</v>
      </c>
      <c r="C10" s="8" t="s">
        <v>1720</v>
      </c>
    </row>
    <row r="11" spans="1:3" ht="15.6" x14ac:dyDescent="0.25">
      <c r="A11" s="8" t="s">
        <v>2215</v>
      </c>
      <c r="B11" s="8" t="s">
        <v>2219</v>
      </c>
      <c r="C11" s="8" t="s">
        <v>2218</v>
      </c>
    </row>
    <row r="12" spans="1:3" ht="15.6" x14ac:dyDescent="0.25">
      <c r="A12" s="8" t="s">
        <v>1205</v>
      </c>
      <c r="B12" s="8" t="s">
        <v>1212</v>
      </c>
      <c r="C12" s="8" t="s">
        <v>1211</v>
      </c>
    </row>
    <row r="13" spans="1:3" ht="15.6" x14ac:dyDescent="0.25">
      <c r="A13" s="8" t="s">
        <v>2972</v>
      </c>
      <c r="B13" s="8" t="s">
        <v>2979</v>
      </c>
      <c r="C13" s="8" t="s">
        <v>2978</v>
      </c>
    </row>
    <row r="14" spans="1:3" ht="15.6" x14ac:dyDescent="0.25">
      <c r="A14" s="8" t="s">
        <v>1167</v>
      </c>
      <c r="B14" s="8" t="s">
        <v>1176</v>
      </c>
      <c r="C14" s="8" t="s">
        <v>1173</v>
      </c>
    </row>
    <row r="15" spans="1:3" ht="15.6" x14ac:dyDescent="0.25">
      <c r="A15" s="8" t="s">
        <v>2915</v>
      </c>
      <c r="B15" s="8" t="s">
        <v>2921</v>
      </c>
      <c r="C15" s="8" t="s">
        <v>2920</v>
      </c>
    </row>
    <row r="16" spans="1:3" ht="15.6" x14ac:dyDescent="0.25">
      <c r="A16" s="8" t="s">
        <v>3346</v>
      </c>
      <c r="B16" s="8" t="s">
        <v>3351</v>
      </c>
      <c r="C16" s="8" t="s">
        <v>3350</v>
      </c>
    </row>
    <row r="17" spans="1:3" ht="15.6" x14ac:dyDescent="0.25">
      <c r="A17" s="8" t="s">
        <v>1439</v>
      </c>
      <c r="B17" s="8" t="s">
        <v>1447</v>
      </c>
      <c r="C17" s="8" t="s">
        <v>1446</v>
      </c>
    </row>
    <row r="18" spans="1:3" ht="15.6" x14ac:dyDescent="0.25">
      <c r="A18" s="8" t="s">
        <v>3276</v>
      </c>
      <c r="B18" s="8" t="s">
        <v>3281</v>
      </c>
      <c r="C18" s="8" t="s">
        <v>3280</v>
      </c>
    </row>
    <row r="19" spans="1:3" ht="15.6" x14ac:dyDescent="0.25">
      <c r="A19" s="8" t="s">
        <v>3176</v>
      </c>
      <c r="B19" s="8" t="s">
        <v>3181</v>
      </c>
      <c r="C19" s="8" t="s">
        <v>3180</v>
      </c>
    </row>
    <row r="20" spans="1:3" ht="15.6" x14ac:dyDescent="0.25">
      <c r="A20" s="8" t="s">
        <v>1745</v>
      </c>
      <c r="B20" s="8" t="s">
        <v>1751</v>
      </c>
      <c r="C20" s="8" t="s">
        <v>1750</v>
      </c>
    </row>
    <row r="21" spans="1:3" ht="15.6" x14ac:dyDescent="0.25">
      <c r="A21" s="8" t="s">
        <v>3218</v>
      </c>
      <c r="B21" s="8" t="s">
        <v>3223</v>
      </c>
      <c r="C21" s="8" t="s">
        <v>3222</v>
      </c>
    </row>
    <row r="22" spans="1:3" ht="15.6" x14ac:dyDescent="0.25">
      <c r="A22" s="8" t="s">
        <v>1651</v>
      </c>
      <c r="B22" s="8" t="s">
        <v>1657</v>
      </c>
      <c r="C22" s="8" t="s">
        <v>1656</v>
      </c>
    </row>
    <row r="23" spans="1:3" ht="15.6" x14ac:dyDescent="0.25">
      <c r="A23" s="8" t="s">
        <v>2324</v>
      </c>
      <c r="B23" s="8" t="s">
        <v>2330</v>
      </c>
      <c r="C23" s="8" t="s">
        <v>2329</v>
      </c>
    </row>
    <row r="24" spans="1:3" ht="15.6" x14ac:dyDescent="0.25">
      <c r="A24" s="8" t="s">
        <v>2181</v>
      </c>
      <c r="B24" s="8" t="s">
        <v>2187</v>
      </c>
      <c r="C24" s="8" t="s">
        <v>2186</v>
      </c>
    </row>
    <row r="25" spans="1:3" ht="15.6" x14ac:dyDescent="0.25">
      <c r="A25" s="8" t="s">
        <v>1583</v>
      </c>
      <c r="B25" s="8" t="s">
        <v>1591</v>
      </c>
      <c r="C25" s="8" t="s">
        <v>1590</v>
      </c>
    </row>
    <row r="26" spans="1:3" ht="15.6" x14ac:dyDescent="0.25">
      <c r="A26" s="8" t="s">
        <v>2267</v>
      </c>
      <c r="B26" s="8" t="s">
        <v>2273</v>
      </c>
      <c r="C26" s="8" t="s">
        <v>2272</v>
      </c>
    </row>
    <row r="27" spans="1:3" ht="15.6" x14ac:dyDescent="0.25">
      <c r="A27" s="8" t="s">
        <v>3462</v>
      </c>
      <c r="B27" s="8" t="s">
        <v>3467</v>
      </c>
      <c r="C27" s="8" t="s">
        <v>3466</v>
      </c>
    </row>
    <row r="28" spans="1:3" ht="15.6" x14ac:dyDescent="0.25">
      <c r="A28" s="8" t="s">
        <v>2517</v>
      </c>
      <c r="B28" s="8" t="s">
        <v>2524</v>
      </c>
      <c r="C28" s="8" t="s">
        <v>2523</v>
      </c>
    </row>
    <row r="29" spans="1:3" ht="15.6" x14ac:dyDescent="0.25">
      <c r="A29" s="8" t="s">
        <v>3245</v>
      </c>
      <c r="B29" s="8" t="s">
        <v>3249</v>
      </c>
      <c r="C29" s="8" t="s">
        <v>3248</v>
      </c>
    </row>
    <row r="30" spans="1:3" ht="15.6" x14ac:dyDescent="0.25">
      <c r="A30" s="8" t="s">
        <v>2816</v>
      </c>
      <c r="B30" s="8" t="s">
        <v>2822</v>
      </c>
      <c r="C30" s="8" t="s">
        <v>2821</v>
      </c>
    </row>
    <row r="31" spans="1:3" ht="15.6" x14ac:dyDescent="0.25">
      <c r="A31" s="8" t="s">
        <v>1987</v>
      </c>
      <c r="B31" s="8" t="s">
        <v>1992</v>
      </c>
      <c r="C31" s="8" t="s">
        <v>1991</v>
      </c>
    </row>
    <row r="32" spans="1:3" ht="15.6" x14ac:dyDescent="0.25">
      <c r="A32" s="8" t="s">
        <v>2106</v>
      </c>
      <c r="B32" s="8" t="s">
        <v>2113</v>
      </c>
      <c r="C32" s="8" t="s">
        <v>2112</v>
      </c>
    </row>
    <row r="33" spans="1:3" ht="15.6" x14ac:dyDescent="0.25">
      <c r="A33" s="8" t="s">
        <v>3015</v>
      </c>
      <c r="B33" s="8" t="s">
        <v>3021</v>
      </c>
      <c r="C33" s="8" t="s">
        <v>3020</v>
      </c>
    </row>
    <row r="34" spans="1:3" ht="15.6" x14ac:dyDescent="0.25">
      <c r="A34" s="8" t="s">
        <v>1845</v>
      </c>
      <c r="B34" s="8" t="s">
        <v>1850</v>
      </c>
      <c r="C34" s="8" t="s">
        <v>1849</v>
      </c>
    </row>
    <row r="35" spans="1:3" ht="15.6" x14ac:dyDescent="0.25">
      <c r="A35" s="8" t="s">
        <v>3582</v>
      </c>
      <c r="B35" s="8" t="s">
        <v>3589</v>
      </c>
      <c r="C35" s="8" t="s">
        <v>3587</v>
      </c>
    </row>
    <row r="36" spans="1:3" ht="15.6" x14ac:dyDescent="0.25">
      <c r="A36" s="8" t="s">
        <v>3552</v>
      </c>
      <c r="B36" s="8" t="s">
        <v>3557</v>
      </c>
      <c r="C36" s="8" t="s">
        <v>3556</v>
      </c>
    </row>
    <row r="37" spans="1:3" ht="15.6" x14ac:dyDescent="0.25">
      <c r="A37" s="8" t="s">
        <v>2663</v>
      </c>
      <c r="B37" s="8" t="s">
        <v>2667</v>
      </c>
      <c r="C37" s="8" t="s">
        <v>2666</v>
      </c>
    </row>
    <row r="38" spans="1:3" ht="15.6" x14ac:dyDescent="0.25">
      <c r="A38" s="8" t="s">
        <v>3202</v>
      </c>
      <c r="B38" s="8" t="s">
        <v>3205</v>
      </c>
      <c r="C38" s="8" t="s">
        <v>3204</v>
      </c>
    </row>
    <row r="39" spans="1:3" ht="15.6" x14ac:dyDescent="0.25">
      <c r="A39" s="8" t="s">
        <v>3606</v>
      </c>
      <c r="B39" s="8" t="s">
        <v>3612</v>
      </c>
      <c r="C39" s="8" t="s">
        <v>3611</v>
      </c>
    </row>
    <row r="40" spans="1:3" ht="15.6" x14ac:dyDescent="0.25">
      <c r="A40" s="8" t="s">
        <v>1312</v>
      </c>
      <c r="B40" s="8" t="s">
        <v>1320</v>
      </c>
      <c r="C40" s="8" t="s">
        <v>1319</v>
      </c>
    </row>
    <row r="41" spans="1:3" ht="15.6" x14ac:dyDescent="0.25">
      <c r="A41" s="8" t="s">
        <v>902</v>
      </c>
      <c r="B41" s="8" t="s">
        <v>907</v>
      </c>
      <c r="C41" s="8" t="s">
        <v>906</v>
      </c>
    </row>
    <row r="42" spans="1:3" ht="15.6" x14ac:dyDescent="0.25">
      <c r="A42" s="8" t="s">
        <v>412</v>
      </c>
      <c r="B42" s="8" t="s">
        <v>424</v>
      </c>
      <c r="C42" s="8" t="s">
        <v>422</v>
      </c>
    </row>
    <row r="43" spans="1:3" ht="15.6" x14ac:dyDescent="0.25">
      <c r="A43" s="8" t="s">
        <v>2020</v>
      </c>
      <c r="B43" s="8" t="s">
        <v>2027</v>
      </c>
      <c r="C43" s="8" t="s">
        <v>2026</v>
      </c>
    </row>
    <row r="44" spans="1:3" ht="15.6" x14ac:dyDescent="0.25">
      <c r="A44" s="8" t="s">
        <v>3473</v>
      </c>
      <c r="B44" s="8" t="s">
        <v>3477</v>
      </c>
      <c r="C44" s="8" t="s">
        <v>3476</v>
      </c>
    </row>
    <row r="45" spans="1:3" ht="15.6" x14ac:dyDescent="0.25">
      <c r="A45" s="8" t="s">
        <v>3404</v>
      </c>
      <c r="B45" s="8" t="s">
        <v>3409</v>
      </c>
      <c r="C45" s="8" t="s">
        <v>3408</v>
      </c>
    </row>
    <row r="46" spans="1:3" ht="15.6" x14ac:dyDescent="0.25">
      <c r="A46" s="8" t="s">
        <v>3513</v>
      </c>
      <c r="B46" s="8" t="s">
        <v>3518</v>
      </c>
      <c r="C46" s="8" t="s">
        <v>3517</v>
      </c>
    </row>
    <row r="47" spans="1:3" ht="15.6" x14ac:dyDescent="0.25">
      <c r="A47" s="8" t="s">
        <v>3452</v>
      </c>
      <c r="B47" s="8" t="s">
        <v>3456</v>
      </c>
      <c r="C47" s="8" t="s">
        <v>3455</v>
      </c>
    </row>
    <row r="48" spans="1:3" ht="15.6" x14ac:dyDescent="0.25">
      <c r="A48" s="8" t="s">
        <v>3433</v>
      </c>
      <c r="B48" s="8" t="s">
        <v>3438</v>
      </c>
      <c r="C48" s="8" t="s">
        <v>3437</v>
      </c>
    </row>
    <row r="49" spans="1:3" ht="15.6" x14ac:dyDescent="0.25">
      <c r="A49" s="8" t="s">
        <v>2852</v>
      </c>
      <c r="B49" s="8" t="s">
        <v>2856</v>
      </c>
      <c r="C49" s="8" t="s">
        <v>2855</v>
      </c>
    </row>
    <row r="50" spans="1:3" ht="15.6" x14ac:dyDescent="0.25">
      <c r="A50" s="8" t="s">
        <v>2142</v>
      </c>
      <c r="B50" s="8" t="s">
        <v>2147</v>
      </c>
      <c r="C50" s="8" t="s">
        <v>2146</v>
      </c>
    </row>
    <row r="51" spans="1:3" ht="15.6" x14ac:dyDescent="0.25">
      <c r="A51" s="8" t="s">
        <v>664</v>
      </c>
      <c r="B51" s="8" t="s">
        <v>679</v>
      </c>
      <c r="C51" s="8" t="s">
        <v>675</v>
      </c>
    </row>
    <row r="52" spans="1:3" ht="15.6" x14ac:dyDescent="0.25">
      <c r="A52" s="8" t="s">
        <v>1616</v>
      </c>
      <c r="B52" s="8" t="s">
        <v>1623</v>
      </c>
      <c r="C52" s="8" t="s">
        <v>1622</v>
      </c>
    </row>
    <row r="53" spans="1:3" ht="15.6" x14ac:dyDescent="0.25">
      <c r="A53" s="8" t="s">
        <v>3572</v>
      </c>
      <c r="B53" s="8" t="s">
        <v>3577</v>
      </c>
      <c r="C53" s="8" t="s">
        <v>3576</v>
      </c>
    </row>
    <row r="54" spans="1:3" ht="15.6" x14ac:dyDescent="0.25">
      <c r="A54" s="8" t="s">
        <v>3005</v>
      </c>
      <c r="B54" s="8" t="s">
        <v>3009</v>
      </c>
      <c r="C54" s="8" t="s">
        <v>3008</v>
      </c>
    </row>
    <row r="55" spans="1:3" ht="15.6" x14ac:dyDescent="0.25">
      <c r="A55" s="8" t="s">
        <v>2846</v>
      </c>
      <c r="B55" s="8" t="s">
        <v>2850</v>
      </c>
      <c r="C55" s="8" t="s">
        <v>2849</v>
      </c>
    </row>
    <row r="56" spans="1:3" ht="15.6" x14ac:dyDescent="0.25">
      <c r="A56" s="8" t="s">
        <v>527</v>
      </c>
      <c r="B56" s="8" t="s">
        <v>538</v>
      </c>
      <c r="C56" s="8" t="s">
        <v>535</v>
      </c>
    </row>
    <row r="57" spans="1:3" ht="15.6" x14ac:dyDescent="0.25">
      <c r="A57" s="8" t="s">
        <v>3256</v>
      </c>
      <c r="B57" s="8" t="s">
        <v>3262</v>
      </c>
      <c r="C57" s="8" t="s">
        <v>3261</v>
      </c>
    </row>
    <row r="58" spans="1:3" ht="15.6" x14ac:dyDescent="0.25">
      <c r="A58" s="8" t="s">
        <v>1901</v>
      </c>
      <c r="B58" s="8" t="s">
        <v>1905</v>
      </c>
      <c r="C58" s="8" t="s">
        <v>1904</v>
      </c>
    </row>
    <row r="59" spans="1:3" ht="15.6" x14ac:dyDescent="0.25">
      <c r="A59" s="8" t="s">
        <v>1230</v>
      </c>
      <c r="B59" s="8" t="s">
        <v>1235</v>
      </c>
      <c r="C59" s="8" t="s">
        <v>1234</v>
      </c>
    </row>
    <row r="60" spans="1:3" ht="15.6" x14ac:dyDescent="0.25">
      <c r="A60" s="8" t="s">
        <v>247</v>
      </c>
      <c r="B60" s="8" t="s">
        <v>262</v>
      </c>
      <c r="C60" s="8" t="s">
        <v>258</v>
      </c>
    </row>
    <row r="61" spans="1:3" ht="15.6" x14ac:dyDescent="0.25">
      <c r="A61" s="8" t="s">
        <v>3128</v>
      </c>
      <c r="B61" s="8" t="s">
        <v>3133</v>
      </c>
      <c r="C61" s="8" t="s">
        <v>3132</v>
      </c>
    </row>
    <row r="62" spans="1:3" ht="15.6" x14ac:dyDescent="0.25">
      <c r="A62" s="8" t="s">
        <v>3081</v>
      </c>
      <c r="B62" s="8" t="s">
        <v>3085</v>
      </c>
      <c r="C62" s="8" t="s">
        <v>3084</v>
      </c>
    </row>
    <row r="63" spans="1:3" ht="15.6" x14ac:dyDescent="0.25">
      <c r="A63" s="8" t="s">
        <v>2582</v>
      </c>
      <c r="B63" s="8" t="s">
        <v>2586</v>
      </c>
      <c r="C63" s="8" t="s">
        <v>2585</v>
      </c>
    </row>
    <row r="64" spans="1:3" ht="15.6" x14ac:dyDescent="0.25">
      <c r="A64" s="8" t="s">
        <v>3312</v>
      </c>
      <c r="B64" s="8" t="s">
        <v>3316</v>
      </c>
      <c r="C64" s="8" t="s">
        <v>3315</v>
      </c>
    </row>
    <row r="65" spans="1:3" ht="15.6" x14ac:dyDescent="0.25">
      <c r="A65" s="8" t="s">
        <v>2790</v>
      </c>
      <c r="B65" s="8" t="s">
        <v>2795</v>
      </c>
      <c r="C65" s="8" t="s">
        <v>2794</v>
      </c>
    </row>
    <row r="66" spans="1:3" ht="15.6" x14ac:dyDescent="0.25">
      <c r="A66" s="8" t="s">
        <v>2799</v>
      </c>
      <c r="B66" s="8" t="s">
        <v>2803</v>
      </c>
      <c r="C66" s="8" t="s">
        <v>2802</v>
      </c>
    </row>
    <row r="67" spans="1:3" ht="15.6" x14ac:dyDescent="0.25">
      <c r="A67" s="8" t="s">
        <v>2632</v>
      </c>
      <c r="B67" s="8" t="s">
        <v>2637</v>
      </c>
      <c r="C67" s="8" t="s">
        <v>2636</v>
      </c>
    </row>
    <row r="68" spans="1:3" ht="15.6" x14ac:dyDescent="0.25">
      <c r="A68" s="8" t="s">
        <v>1521</v>
      </c>
      <c r="B68" s="8" t="s">
        <v>3270</v>
      </c>
      <c r="C68" s="8" t="s">
        <v>3269</v>
      </c>
    </row>
    <row r="69" spans="1:3" ht="15.6" x14ac:dyDescent="0.25">
      <c r="A69" s="8" t="s">
        <v>3294</v>
      </c>
      <c r="B69" s="8" t="s">
        <v>3298</v>
      </c>
      <c r="C69" s="8" t="s">
        <v>3297</v>
      </c>
    </row>
    <row r="70" spans="1:3" ht="15.6" x14ac:dyDescent="0.25">
      <c r="A70" s="8" t="s">
        <v>3169</v>
      </c>
      <c r="B70" s="8" t="s">
        <v>3173</v>
      </c>
      <c r="C70" s="8" t="s">
        <v>3172</v>
      </c>
    </row>
    <row r="71" spans="1:3" ht="15.6" x14ac:dyDescent="0.25">
      <c r="A71" s="8" t="s">
        <v>3209</v>
      </c>
      <c r="B71" s="8" t="s">
        <v>3213</v>
      </c>
      <c r="C71" s="8" t="s">
        <v>3212</v>
      </c>
    </row>
    <row r="72" spans="1:3" ht="15.6" x14ac:dyDescent="0.25">
      <c r="A72" s="8" t="s">
        <v>2153</v>
      </c>
      <c r="B72" s="8" t="s">
        <v>2158</v>
      </c>
      <c r="C72" s="8" t="s">
        <v>2157</v>
      </c>
    </row>
    <row r="73" spans="1:3" ht="15.6" x14ac:dyDescent="0.25">
      <c r="A73" s="8" t="s">
        <v>3185</v>
      </c>
      <c r="B73" s="8" t="s">
        <v>3188</v>
      </c>
      <c r="C73" s="8" t="s">
        <v>3187</v>
      </c>
    </row>
    <row r="74" spans="1:3" ht="15.6" x14ac:dyDescent="0.25">
      <c r="A74" s="8" t="s">
        <v>2554</v>
      </c>
      <c r="B74" s="8" t="s">
        <v>2560</v>
      </c>
      <c r="C74" s="8" t="s">
        <v>2559</v>
      </c>
    </row>
    <row r="75" spans="1:3" ht="15.6" x14ac:dyDescent="0.25">
      <c r="A75" s="8" t="s">
        <v>2332</v>
      </c>
      <c r="B75" s="8" t="s">
        <v>2336</v>
      </c>
      <c r="C75" s="8" t="s">
        <v>2334</v>
      </c>
    </row>
    <row r="76" spans="1:3" ht="15.6" x14ac:dyDescent="0.25">
      <c r="A76" s="8" t="s">
        <v>2080</v>
      </c>
      <c r="B76" s="8" t="s">
        <v>2085</v>
      </c>
      <c r="C76" s="8" t="s">
        <v>2084</v>
      </c>
    </row>
    <row r="77" spans="1:3" ht="15.6" x14ac:dyDescent="0.25">
      <c r="A77" s="8" t="s">
        <v>3445</v>
      </c>
      <c r="B77" s="8" t="s">
        <v>3448</v>
      </c>
      <c r="C77" s="8" t="s">
        <v>3447</v>
      </c>
    </row>
    <row r="78" spans="1:3" ht="15.6" x14ac:dyDescent="0.25">
      <c r="A78" s="8" t="s">
        <v>2808</v>
      </c>
      <c r="B78" s="8" t="s">
        <v>2812</v>
      </c>
      <c r="C78" s="8" t="s">
        <v>2811</v>
      </c>
    </row>
    <row r="79" spans="1:3" ht="15.6" x14ac:dyDescent="0.25">
      <c r="A79" s="8" t="s">
        <v>3088</v>
      </c>
      <c r="B79" s="8" t="s">
        <v>3091</v>
      </c>
      <c r="C79" s="8" t="s">
        <v>3090</v>
      </c>
    </row>
    <row r="80" spans="1:3" ht="15.6" x14ac:dyDescent="0.25">
      <c r="A80" s="8" t="s">
        <v>3238</v>
      </c>
      <c r="B80" s="8" t="s">
        <v>3241</v>
      </c>
      <c r="C80" s="8" t="s">
        <v>3240</v>
      </c>
    </row>
    <row r="81" spans="1:3" ht="15.6" x14ac:dyDescent="0.25">
      <c r="A81" s="8" t="s">
        <v>3145</v>
      </c>
      <c r="B81" s="8" t="s">
        <v>3148</v>
      </c>
      <c r="C81" s="8" t="s">
        <v>3147</v>
      </c>
    </row>
    <row r="82" spans="1:3" ht="15.6" x14ac:dyDescent="0.25">
      <c r="A82" s="8" t="s">
        <v>1244</v>
      </c>
      <c r="B82" s="8" t="s">
        <v>1250</v>
      </c>
      <c r="C82" s="8" t="s">
        <v>1249</v>
      </c>
    </row>
    <row r="83" spans="1:3" ht="15.6" x14ac:dyDescent="0.25">
      <c r="A83" s="8" t="s">
        <v>3304</v>
      </c>
      <c r="B83" s="8" t="s">
        <v>3308</v>
      </c>
      <c r="C83" s="8" t="s">
        <v>3307</v>
      </c>
    </row>
    <row r="84" spans="1:3" ht="15.6" x14ac:dyDescent="0.25">
      <c r="A84" s="8" t="s">
        <v>3137</v>
      </c>
      <c r="B84" s="8" t="s">
        <v>3141</v>
      </c>
      <c r="C84" s="8" t="s">
        <v>3140</v>
      </c>
    </row>
    <row r="85" spans="1:3" ht="15.6" x14ac:dyDescent="0.25">
      <c r="A85" s="8" t="s">
        <v>2302</v>
      </c>
      <c r="B85" s="8" t="s">
        <v>2308</v>
      </c>
      <c r="C85" s="8" t="s">
        <v>2307</v>
      </c>
    </row>
    <row r="86" spans="1:3" ht="15.6" x14ac:dyDescent="0.25">
      <c r="A86" s="8" t="s">
        <v>3152</v>
      </c>
      <c r="B86" s="8" t="s">
        <v>3157</v>
      </c>
      <c r="C86" s="8" t="s">
        <v>3156</v>
      </c>
    </row>
    <row r="87" spans="1:3" ht="15.6" x14ac:dyDescent="0.25">
      <c r="A87" s="8" t="s">
        <v>2601</v>
      </c>
      <c r="B87" s="8" t="s">
        <v>2605</v>
      </c>
      <c r="C87" s="8" t="s">
        <v>2604</v>
      </c>
    </row>
    <row r="88" spans="1:3" ht="15.6" x14ac:dyDescent="0.25">
      <c r="A88" s="8" t="s">
        <v>2826</v>
      </c>
      <c r="B88" s="8" t="s">
        <v>2830</v>
      </c>
      <c r="C88" s="8" t="s">
        <v>2829</v>
      </c>
    </row>
    <row r="89" spans="1:3" ht="15.6" x14ac:dyDescent="0.25">
      <c r="A89" s="8" t="s">
        <v>1664</v>
      </c>
      <c r="B89" s="8" t="s">
        <v>1669</v>
      </c>
      <c r="C89" s="8" t="s">
        <v>1668</v>
      </c>
    </row>
    <row r="90" spans="1:3" ht="15.6" x14ac:dyDescent="0.25">
      <c r="A90" s="8" t="s">
        <v>3318</v>
      </c>
      <c r="B90" s="8" t="s">
        <v>3321</v>
      </c>
      <c r="C90" s="8" t="s">
        <v>3320</v>
      </c>
    </row>
    <row r="91" spans="1:3" ht="15.6" x14ac:dyDescent="0.25">
      <c r="A91" s="8" t="s">
        <v>1910</v>
      </c>
      <c r="B91" s="8" t="s">
        <v>1914</v>
      </c>
      <c r="C91" s="8" t="s">
        <v>1913</v>
      </c>
    </row>
    <row r="92" spans="1:3" ht="15.6" x14ac:dyDescent="0.25">
      <c r="A92" s="8" t="s">
        <v>1809</v>
      </c>
      <c r="B92" s="8" t="s">
        <v>1816</v>
      </c>
      <c r="C92" s="8" t="s">
        <v>1815</v>
      </c>
    </row>
    <row r="93" spans="1:3" ht="15.6" x14ac:dyDescent="0.25">
      <c r="A93" s="8" t="s">
        <v>2466</v>
      </c>
      <c r="B93" s="8" t="s">
        <v>2471</v>
      </c>
      <c r="C93" s="8" t="s">
        <v>2470</v>
      </c>
    </row>
    <row r="94" spans="1:3" ht="15.6" x14ac:dyDescent="0.25">
      <c r="A94" s="8" t="s">
        <v>3365</v>
      </c>
      <c r="B94" s="8" t="s">
        <v>3368</v>
      </c>
      <c r="C94" s="8" t="s">
        <v>3367</v>
      </c>
    </row>
    <row r="95" spans="1:3" ht="15.6" x14ac:dyDescent="0.25">
      <c r="A95" s="8" t="s">
        <v>3370</v>
      </c>
      <c r="B95" s="8" t="s">
        <v>3374</v>
      </c>
      <c r="C95" s="8" t="s">
        <v>3373</v>
      </c>
    </row>
    <row r="96" spans="1:3" ht="15.6" x14ac:dyDescent="0.25">
      <c r="A96" s="8" t="s">
        <v>2286</v>
      </c>
      <c r="B96" s="8" t="s">
        <v>2292</v>
      </c>
      <c r="C96" s="8" t="s">
        <v>2291</v>
      </c>
    </row>
    <row r="97" spans="1:3" ht="15.6" x14ac:dyDescent="0.25">
      <c r="A97" s="8" t="s">
        <v>3093</v>
      </c>
      <c r="B97" s="8" t="s">
        <v>3097</v>
      </c>
      <c r="C97" s="8" t="s">
        <v>3096</v>
      </c>
    </row>
    <row r="98" spans="1:3" ht="15.6" x14ac:dyDescent="0.25">
      <c r="A98" s="8" t="s">
        <v>2347</v>
      </c>
      <c r="B98" s="8" t="s">
        <v>2352</v>
      </c>
      <c r="C98" s="8" t="s">
        <v>2351</v>
      </c>
    </row>
    <row r="99" spans="1:3" ht="15.6" x14ac:dyDescent="0.25">
      <c r="A99" s="8" t="s">
        <v>291</v>
      </c>
      <c r="B99" s="8" t="s">
        <v>303</v>
      </c>
      <c r="C99" s="8" t="s">
        <v>300</v>
      </c>
    </row>
    <row r="100" spans="1:3" ht="15.6" x14ac:dyDescent="0.25">
      <c r="A100" s="8" t="s">
        <v>373</v>
      </c>
      <c r="B100" s="8" t="s">
        <v>381</v>
      </c>
      <c r="C100" s="8" t="s">
        <v>378</v>
      </c>
    </row>
    <row r="101" spans="1:3" ht="15.6" x14ac:dyDescent="0.25">
      <c r="A101" s="8" t="s">
        <v>1999</v>
      </c>
      <c r="B101" s="8" t="s">
        <v>2004</v>
      </c>
      <c r="C101" s="8" t="s">
        <v>2003</v>
      </c>
    </row>
    <row r="102" spans="1:3" ht="15.6" x14ac:dyDescent="0.25">
      <c r="A102" s="8" t="s">
        <v>2170</v>
      </c>
      <c r="B102" s="8" t="s">
        <v>2175</v>
      </c>
      <c r="C102" s="8" t="s">
        <v>2174</v>
      </c>
    </row>
    <row r="103" spans="1:3" ht="15.6" x14ac:dyDescent="0.25">
      <c r="A103" s="8" t="s">
        <v>2589</v>
      </c>
      <c r="B103" s="8" t="s">
        <v>2596</v>
      </c>
      <c r="C103" s="8" t="s">
        <v>2595</v>
      </c>
    </row>
    <row r="104" spans="1:3" ht="15.6" x14ac:dyDescent="0.25">
      <c r="A104" s="8" t="s">
        <v>2340</v>
      </c>
      <c r="B104" s="8" t="s">
        <v>2344</v>
      </c>
      <c r="C104" s="8" t="s">
        <v>2343</v>
      </c>
    </row>
    <row r="105" spans="1:3" ht="15.6" x14ac:dyDescent="0.25">
      <c r="A105" s="8" t="s">
        <v>1390</v>
      </c>
      <c r="B105" s="8" t="s">
        <v>1396</v>
      </c>
      <c r="C105" s="8" t="s">
        <v>1395</v>
      </c>
    </row>
    <row r="106" spans="1:3" ht="15.6" x14ac:dyDescent="0.25">
      <c r="A106" s="8" t="s">
        <v>2610</v>
      </c>
      <c r="B106" s="8" t="s">
        <v>2615</v>
      </c>
      <c r="C106" s="8" t="s">
        <v>2614</v>
      </c>
    </row>
    <row r="107" spans="1:3" ht="15.6" x14ac:dyDescent="0.25">
      <c r="A107" s="8" t="s">
        <v>2040</v>
      </c>
      <c r="B107" s="8" t="s">
        <v>2044</v>
      </c>
      <c r="C107" s="8" t="s">
        <v>2043</v>
      </c>
    </row>
    <row r="108" spans="1:3" ht="15.6" x14ac:dyDescent="0.25">
      <c r="A108" s="8" t="s">
        <v>2031</v>
      </c>
      <c r="B108" s="8" t="s">
        <v>2035</v>
      </c>
      <c r="C108" s="8" t="s">
        <v>2034</v>
      </c>
    </row>
    <row r="109" spans="1:3" ht="15.6" x14ac:dyDescent="0.25">
      <c r="A109" s="8" t="s">
        <v>2504</v>
      </c>
      <c r="B109" s="8" t="s">
        <v>2511</v>
      </c>
      <c r="C109" s="8" t="s">
        <v>2510</v>
      </c>
    </row>
    <row r="110" spans="1:3" ht="15.6" x14ac:dyDescent="0.25">
      <c r="A110" s="8" t="s">
        <v>2899</v>
      </c>
      <c r="B110" s="8" t="s">
        <v>2903</v>
      </c>
      <c r="C110" s="8" t="s">
        <v>2902</v>
      </c>
    </row>
    <row r="111" spans="1:3" ht="15.6" x14ac:dyDescent="0.25">
      <c r="A111" s="8" t="s">
        <v>2718</v>
      </c>
      <c r="B111" s="8" t="s">
        <v>2722</v>
      </c>
      <c r="C111" s="8" t="s">
        <v>2721</v>
      </c>
    </row>
    <row r="112" spans="1:3" ht="15.6" x14ac:dyDescent="0.25">
      <c r="A112" s="8" t="s">
        <v>2656</v>
      </c>
      <c r="B112" s="8" t="s">
        <v>2659</v>
      </c>
      <c r="C112" s="8" t="s">
        <v>2658</v>
      </c>
    </row>
    <row r="113" spans="1:3" ht="15.6" x14ac:dyDescent="0.25">
      <c r="A113" s="8" t="s">
        <v>2706</v>
      </c>
      <c r="B113" s="8" t="s">
        <v>2709</v>
      </c>
      <c r="C113" s="8" t="s">
        <v>2708</v>
      </c>
    </row>
    <row r="114" spans="1:3" ht="15.6" x14ac:dyDescent="0.25">
      <c r="A114" s="8" t="s">
        <v>1820</v>
      </c>
      <c r="B114" s="8" t="s">
        <v>1824</v>
      </c>
      <c r="C114" s="8" t="s">
        <v>1823</v>
      </c>
    </row>
    <row r="115" spans="1:3" ht="15.6" x14ac:dyDescent="0.25">
      <c r="A115" s="8" t="s">
        <v>1863</v>
      </c>
      <c r="B115" s="8" t="s">
        <v>1867</v>
      </c>
      <c r="C115" s="8" t="s">
        <v>1866</v>
      </c>
    </row>
    <row r="116" spans="1:3" ht="15.6" x14ac:dyDescent="0.25">
      <c r="A116" s="8" t="s">
        <v>1403</v>
      </c>
      <c r="B116" s="8" t="s">
        <v>1408</v>
      </c>
      <c r="C116" s="8" t="s">
        <v>1407</v>
      </c>
    </row>
    <row r="117" spans="1:3" ht="15.6" x14ac:dyDescent="0.25">
      <c r="A117" s="8" t="s">
        <v>1376</v>
      </c>
      <c r="B117" s="8" t="s">
        <v>1383</v>
      </c>
      <c r="C117" s="8" t="s">
        <v>1382</v>
      </c>
    </row>
    <row r="118" spans="1:3" ht="15.6" x14ac:dyDescent="0.25">
      <c r="A118" s="8" t="s">
        <v>1880</v>
      </c>
      <c r="B118" s="8" t="s">
        <v>1883</v>
      </c>
      <c r="C118" s="8" t="s">
        <v>1882</v>
      </c>
    </row>
    <row r="119" spans="1:3" ht="15.6" x14ac:dyDescent="0.25">
      <c r="A119" s="8" t="s">
        <v>2223</v>
      </c>
      <c r="B119" s="8" t="s">
        <v>2227</v>
      </c>
      <c r="C119" s="8" t="s">
        <v>2226</v>
      </c>
    </row>
    <row r="120" spans="1:3" ht="15.6" x14ac:dyDescent="0.25">
      <c r="A120" s="8" t="s">
        <v>705</v>
      </c>
      <c r="B120" s="8" t="s">
        <v>712</v>
      </c>
      <c r="C120" s="8" t="s">
        <v>711</v>
      </c>
    </row>
    <row r="121" spans="1:3" ht="15.6" x14ac:dyDescent="0.25">
      <c r="A121" s="8" t="s">
        <v>1071</v>
      </c>
      <c r="B121" s="8" t="s">
        <v>1079</v>
      </c>
      <c r="C121" s="8" t="s">
        <v>1076</v>
      </c>
    </row>
    <row r="122" spans="1:3" ht="15.6" x14ac:dyDescent="0.25">
      <c r="A122" s="8" t="s">
        <v>1772</v>
      </c>
      <c r="B122" s="8" t="s">
        <v>1775</v>
      </c>
      <c r="C122" s="8" t="s">
        <v>1774</v>
      </c>
    </row>
    <row r="123" spans="1:3" ht="15.6" x14ac:dyDescent="0.25">
      <c r="A123" s="8" t="s">
        <v>2098</v>
      </c>
      <c r="B123" s="8" t="s">
        <v>2103</v>
      </c>
      <c r="C123" s="8" t="s">
        <v>2102</v>
      </c>
    </row>
    <row r="124" spans="1:3" ht="15.6" x14ac:dyDescent="0.25">
      <c r="A124" s="8" t="s">
        <v>1534</v>
      </c>
      <c r="B124" s="8" t="s">
        <v>1539</v>
      </c>
      <c r="C124" s="8" t="s">
        <v>1537</v>
      </c>
    </row>
    <row r="125" spans="1:3" ht="15.6" x14ac:dyDescent="0.25">
      <c r="A125" s="8" t="s">
        <v>1972</v>
      </c>
      <c r="B125" s="8" t="s">
        <v>1976</v>
      </c>
      <c r="C125" s="8" t="s">
        <v>1975</v>
      </c>
    </row>
    <row r="126" spans="1:3" ht="15.6" x14ac:dyDescent="0.25">
      <c r="A126" s="8" t="s">
        <v>2070</v>
      </c>
      <c r="B126" s="8" t="s">
        <v>2074</v>
      </c>
      <c r="C126" s="8" t="s">
        <v>2073</v>
      </c>
    </row>
    <row r="127" spans="1:3" ht="15.6" x14ac:dyDescent="0.25">
      <c r="A127" s="8" t="s">
        <v>1511</v>
      </c>
      <c r="B127" s="8" t="s">
        <v>1518</v>
      </c>
      <c r="C127" s="8" t="s">
        <v>1517</v>
      </c>
    </row>
    <row r="128" spans="1:3" ht="15.6" x14ac:dyDescent="0.25">
      <c r="A128" s="8" t="s">
        <v>1363</v>
      </c>
      <c r="B128" s="8" t="s">
        <v>1369</v>
      </c>
      <c r="C128" s="8" t="s">
        <v>1367</v>
      </c>
    </row>
    <row r="129" spans="1:3" ht="15.6" x14ac:dyDescent="0.25">
      <c r="A129" s="8" t="s">
        <v>1633</v>
      </c>
      <c r="B129" s="8" t="s">
        <v>1637</v>
      </c>
      <c r="C129" s="8" t="s">
        <v>1636</v>
      </c>
    </row>
    <row r="130" spans="1:3" ht="15.6" x14ac:dyDescent="0.25">
      <c r="A130" s="8" t="s">
        <v>1301</v>
      </c>
      <c r="B130" s="8" t="s">
        <v>1307</v>
      </c>
      <c r="C130" s="8" t="s">
        <v>1306</v>
      </c>
    </row>
    <row r="131" spans="1:3" ht="15.6" x14ac:dyDescent="0.25">
      <c r="A131" s="8" t="s">
        <v>1801</v>
      </c>
      <c r="B131" s="8" t="s">
        <v>1805</v>
      </c>
      <c r="C131" s="8" t="s">
        <v>1804</v>
      </c>
    </row>
    <row r="132" spans="1:3" ht="15.6" x14ac:dyDescent="0.25">
      <c r="A132" s="8" t="s">
        <v>1627</v>
      </c>
      <c r="B132" s="8" t="s">
        <v>1630</v>
      </c>
      <c r="C132" s="8" t="s">
        <v>1629</v>
      </c>
    </row>
    <row r="133" spans="1:3" ht="15.6" x14ac:dyDescent="0.25">
      <c r="A133" s="8" t="s">
        <v>1259</v>
      </c>
      <c r="B133" s="8" t="s">
        <v>1263</v>
      </c>
      <c r="C133" s="8" t="s">
        <v>1262</v>
      </c>
    </row>
    <row r="134" spans="1:3" ht="15.6" x14ac:dyDescent="0.25">
      <c r="A134" s="8" t="s">
        <v>1025</v>
      </c>
      <c r="B134" s="8" t="s">
        <v>1030</v>
      </c>
      <c r="C134" s="8" t="s">
        <v>1029</v>
      </c>
    </row>
    <row r="135" spans="1:3" ht="15.6" x14ac:dyDescent="0.25">
      <c r="A135" s="8" t="s">
        <v>1218</v>
      </c>
      <c r="B135" s="8" t="s">
        <v>7042</v>
      </c>
      <c r="C135" s="8" t="s">
        <v>1221</v>
      </c>
    </row>
    <row r="136" spans="1:3" ht="15.6" x14ac:dyDescent="0.25">
      <c r="A136" s="8" t="s">
        <v>1755</v>
      </c>
      <c r="B136" s="8" t="s">
        <v>1759</v>
      </c>
      <c r="C136" s="8" t="s">
        <v>1757</v>
      </c>
    </row>
    <row r="137" spans="1:3" ht="15.6" x14ac:dyDescent="0.25">
      <c r="A137" s="8" t="s">
        <v>1282</v>
      </c>
      <c r="B137" s="8" t="s">
        <v>1288</v>
      </c>
      <c r="C137" s="8" t="s">
        <v>1286</v>
      </c>
    </row>
    <row r="138" spans="1:3" ht="15.6" x14ac:dyDescent="0.25">
      <c r="A138" s="8" t="s">
        <v>1291</v>
      </c>
      <c r="B138" s="8" t="s">
        <v>1295</v>
      </c>
      <c r="C138" s="8" t="s">
        <v>1294</v>
      </c>
    </row>
    <row r="139" spans="1:3" ht="15.6" x14ac:dyDescent="0.25">
      <c r="A139" s="8" t="s">
        <v>895</v>
      </c>
      <c r="B139" s="8" t="s">
        <v>899</v>
      </c>
      <c r="C139" s="8" t="s">
        <v>897</v>
      </c>
    </row>
    <row r="140" spans="1:3" ht="15.6" x14ac:dyDescent="0.25">
      <c r="A140" s="8" t="s">
        <v>614</v>
      </c>
      <c r="B140" s="8" t="s">
        <v>618</v>
      </c>
      <c r="C140" s="8" t="s">
        <v>617</v>
      </c>
    </row>
    <row r="141" spans="1:3" ht="15.6" x14ac:dyDescent="0.25">
      <c r="A141" s="8" t="s">
        <v>591</v>
      </c>
      <c r="B141" s="8" t="s">
        <v>595</v>
      </c>
      <c r="C141" s="8" t="s">
        <v>594</v>
      </c>
    </row>
    <row r="142" spans="1:3" ht="15.6" x14ac:dyDescent="0.25">
      <c r="A142" s="8" t="s">
        <v>3162</v>
      </c>
      <c r="B142" s="8" t="s">
        <v>3166</v>
      </c>
      <c r="C142" s="8" t="s">
        <v>3165</v>
      </c>
    </row>
    <row r="143" spans="1:3" ht="15.6" x14ac:dyDescent="0.25">
      <c r="A143" s="8" t="s">
        <v>3195</v>
      </c>
      <c r="B143" s="8" t="s">
        <v>3198</v>
      </c>
      <c r="C143" s="8" t="s">
        <v>3197</v>
      </c>
    </row>
    <row r="144" spans="1:3" ht="15.6" x14ac:dyDescent="0.25">
      <c r="A144" s="8" t="s">
        <v>924</v>
      </c>
      <c r="B144" s="8" t="s">
        <v>931</v>
      </c>
      <c r="C144" s="8" t="s">
        <v>928</v>
      </c>
    </row>
    <row r="145" spans="1:3" ht="15.6" x14ac:dyDescent="0.25">
      <c r="A145" s="8" t="s">
        <v>2608</v>
      </c>
      <c r="B145" s="8" t="s">
        <v>3427</v>
      </c>
      <c r="C145" s="8" t="s">
        <v>3426</v>
      </c>
    </row>
    <row r="146" spans="1:3" ht="15.6" x14ac:dyDescent="0.25">
      <c r="A146" s="8" t="s">
        <v>3413</v>
      </c>
      <c r="B146" s="8" t="s">
        <v>3417</v>
      </c>
      <c r="C146" s="8" t="s">
        <v>3416</v>
      </c>
    </row>
    <row r="147" spans="1:3" ht="15.6" x14ac:dyDescent="0.25">
      <c r="A147" s="8" t="s">
        <v>2486</v>
      </c>
      <c r="B147" s="8" t="s">
        <v>2491</v>
      </c>
      <c r="C147" s="8" t="s">
        <v>2490</v>
      </c>
    </row>
    <row r="148" spans="1:3" ht="15.6" x14ac:dyDescent="0.25">
      <c r="A148" s="8" t="s">
        <v>2926</v>
      </c>
      <c r="B148" s="8" t="s">
        <v>2930</v>
      </c>
      <c r="C148" s="8" t="s">
        <v>2929</v>
      </c>
    </row>
    <row r="149" spans="1:3" ht="15.6" x14ac:dyDescent="0.25">
      <c r="A149" s="8" t="s">
        <v>454</v>
      </c>
      <c r="B149" s="8" t="s">
        <v>464</v>
      </c>
      <c r="C149" s="8" t="s">
        <v>462</v>
      </c>
    </row>
    <row r="150" spans="1:3" ht="15.6" x14ac:dyDescent="0.25">
      <c r="A150" s="8" t="s">
        <v>2564</v>
      </c>
      <c r="B150" s="8" t="s">
        <v>2567</v>
      </c>
      <c r="C150" s="8" t="s">
        <v>2566</v>
      </c>
    </row>
    <row r="151" spans="1:3" ht="15.6" x14ac:dyDescent="0.25">
      <c r="A151" s="8" t="s">
        <v>2008</v>
      </c>
      <c r="B151" s="8" t="s">
        <v>2015</v>
      </c>
      <c r="C151" s="8" t="s">
        <v>2014</v>
      </c>
    </row>
    <row r="152" spans="1:3" ht="15.6" x14ac:dyDescent="0.25">
      <c r="A152" s="8" t="s">
        <v>2571</v>
      </c>
      <c r="B152" s="8" t="s">
        <v>2575</v>
      </c>
      <c r="C152" s="8" t="s">
        <v>2574</v>
      </c>
    </row>
    <row r="153" spans="1:3" ht="15.6" x14ac:dyDescent="0.25">
      <c r="A153" s="8" t="s">
        <v>1947</v>
      </c>
      <c r="B153" s="8" t="s">
        <v>1952</v>
      </c>
      <c r="C153" s="8" t="s">
        <v>1951</v>
      </c>
    </row>
    <row r="154" spans="1:3" ht="15.6" x14ac:dyDescent="0.25">
      <c r="A154" s="8" t="s">
        <v>1963</v>
      </c>
      <c r="B154" s="8" t="s">
        <v>1969</v>
      </c>
      <c r="C154" s="8" t="s">
        <v>1968</v>
      </c>
    </row>
    <row r="155" spans="1:3" ht="15.6" x14ac:dyDescent="0.25">
      <c r="A155" s="8" t="s">
        <v>571</v>
      </c>
      <c r="B155" s="8" t="s">
        <v>576</v>
      </c>
      <c r="C155" s="8" t="s">
        <v>575</v>
      </c>
    </row>
    <row r="156" spans="1:3" ht="15.6" x14ac:dyDescent="0.25">
      <c r="A156" s="8" t="s">
        <v>2836</v>
      </c>
      <c r="B156" s="8" t="s">
        <v>2841</v>
      </c>
      <c r="C156" s="8" t="s">
        <v>2840</v>
      </c>
    </row>
    <row r="157" spans="1:3" ht="15.6" x14ac:dyDescent="0.25">
      <c r="A157" s="8" t="s">
        <v>1926</v>
      </c>
      <c r="B157" s="8" t="s">
        <v>1929</v>
      </c>
      <c r="C157" s="8" t="s">
        <v>1928</v>
      </c>
    </row>
    <row r="158" spans="1:3" ht="15.6" x14ac:dyDescent="0.25">
      <c r="A158" s="8" t="s">
        <v>1557</v>
      </c>
      <c r="B158" s="8" t="s">
        <v>1563</v>
      </c>
      <c r="C158" s="8" t="s">
        <v>1562</v>
      </c>
    </row>
    <row r="159" spans="1:3" ht="15.6" x14ac:dyDescent="0.25">
      <c r="A159" s="8" t="s">
        <v>2408</v>
      </c>
      <c r="B159" s="8" t="s">
        <v>2412</v>
      </c>
      <c r="C159" s="8" t="s">
        <v>2411</v>
      </c>
    </row>
    <row r="160" spans="1:3" ht="15.6" x14ac:dyDescent="0.25">
      <c r="A160" s="8" t="s">
        <v>1427</v>
      </c>
      <c r="B160" s="8" t="s">
        <v>1432</v>
      </c>
      <c r="C160" s="8" t="s">
        <v>1431</v>
      </c>
    </row>
    <row r="161" spans="1:3" ht="15.6" x14ac:dyDescent="0.25">
      <c r="A161" s="8" t="s">
        <v>2124</v>
      </c>
      <c r="B161" s="8" t="s">
        <v>2129</v>
      </c>
      <c r="C161" s="8" t="s">
        <v>2128</v>
      </c>
    </row>
    <row r="162" spans="1:3" ht="15.6" x14ac:dyDescent="0.25">
      <c r="A162" s="8" t="s">
        <v>2772</v>
      </c>
      <c r="B162" s="8" t="s">
        <v>2776</v>
      </c>
      <c r="C162" s="8" t="s">
        <v>2775</v>
      </c>
    </row>
    <row r="163" spans="1:3" ht="15.6" x14ac:dyDescent="0.25">
      <c r="A163" s="8" t="s">
        <v>2862</v>
      </c>
      <c r="B163" s="8" t="s">
        <v>2867</v>
      </c>
      <c r="C163" s="8" t="s">
        <v>2866</v>
      </c>
    </row>
    <row r="164" spans="1:3" ht="15.6" x14ac:dyDescent="0.25">
      <c r="A164" s="8" t="s">
        <v>1858</v>
      </c>
      <c r="B164" s="8" t="s">
        <v>1861</v>
      </c>
      <c r="C164" s="8" t="s">
        <v>1860</v>
      </c>
    </row>
    <row r="165" spans="1:3" ht="15.6" x14ac:dyDescent="0.25">
      <c r="A165" s="8" t="s">
        <v>2091</v>
      </c>
      <c r="B165" s="8" t="s">
        <v>2096</v>
      </c>
      <c r="C165" s="8" t="s">
        <v>2095</v>
      </c>
    </row>
    <row r="166" spans="1:3" ht="15.6" x14ac:dyDescent="0.25">
      <c r="A166" s="8" t="s">
        <v>502</v>
      </c>
      <c r="B166" s="8" t="s">
        <v>511</v>
      </c>
      <c r="C166" s="8" t="s">
        <v>508</v>
      </c>
    </row>
    <row r="167" spans="1:3" ht="15.6" x14ac:dyDescent="0.25">
      <c r="A167" s="8" t="s">
        <v>1788</v>
      </c>
      <c r="B167" s="8" t="s">
        <v>1791</v>
      </c>
      <c r="C167" s="8" t="s">
        <v>1790</v>
      </c>
    </row>
    <row r="168" spans="1:3" ht="15.6" x14ac:dyDescent="0.25">
      <c r="A168" s="8" t="s">
        <v>1415</v>
      </c>
      <c r="B168" s="8" t="s">
        <v>1421</v>
      </c>
      <c r="C168" s="8" t="s">
        <v>1419</v>
      </c>
    </row>
    <row r="169" spans="1:3" ht="15.6" x14ac:dyDescent="0.25">
      <c r="A169" s="8" t="s">
        <v>1109</v>
      </c>
      <c r="B169" s="8" t="s">
        <v>1116</v>
      </c>
      <c r="C169" s="8" t="s">
        <v>1114</v>
      </c>
    </row>
    <row r="170" spans="1:3" ht="15.6" x14ac:dyDescent="0.25">
      <c r="A170" s="8" t="s">
        <v>3056</v>
      </c>
      <c r="B170" s="8" t="s">
        <v>3062</v>
      </c>
      <c r="C170" s="8" t="s">
        <v>3061</v>
      </c>
    </row>
    <row r="171" spans="1:3" ht="15.6" x14ac:dyDescent="0.25">
      <c r="A171" s="8" t="s">
        <v>2684</v>
      </c>
      <c r="B171" s="8" t="s">
        <v>2688</v>
      </c>
      <c r="C171" s="8" t="s">
        <v>2687</v>
      </c>
    </row>
    <row r="172" spans="1:3" ht="15.6" x14ac:dyDescent="0.25">
      <c r="A172" s="8" t="s">
        <v>2416</v>
      </c>
      <c r="B172" s="8" t="s">
        <v>2420</v>
      </c>
      <c r="C172" s="8" t="s">
        <v>2419</v>
      </c>
    </row>
    <row r="173" spans="1:3" ht="15.6" x14ac:dyDescent="0.25">
      <c r="A173" s="8" t="s">
        <v>1781</v>
      </c>
      <c r="B173" s="8" t="s">
        <v>1785</v>
      </c>
      <c r="C173" s="8" t="s">
        <v>1784</v>
      </c>
    </row>
    <row r="174" spans="1:3" ht="15.6" x14ac:dyDescent="0.25">
      <c r="A174" s="8" t="s">
        <v>1641</v>
      </c>
      <c r="B174" s="8" t="s">
        <v>1644</v>
      </c>
      <c r="C174" s="8" t="s">
        <v>1643</v>
      </c>
    </row>
    <row r="175" spans="1:3" ht="15.6" x14ac:dyDescent="0.25">
      <c r="A175" s="8" t="s">
        <v>952</v>
      </c>
      <c r="B175" s="8" t="s">
        <v>955</v>
      </c>
      <c r="C175" s="8" t="s">
        <v>954</v>
      </c>
    </row>
    <row r="176" spans="1:3" ht="15.6" x14ac:dyDescent="0.25">
      <c r="A176" s="8" t="s">
        <v>963</v>
      </c>
      <c r="B176" s="8" t="s">
        <v>968</v>
      </c>
      <c r="C176" s="8" t="s">
        <v>967</v>
      </c>
    </row>
    <row r="177" spans="1:3" ht="15.6" x14ac:dyDescent="0.25">
      <c r="A177" s="8" t="s">
        <v>2742</v>
      </c>
      <c r="B177" s="8" t="s">
        <v>2746</v>
      </c>
      <c r="C177" s="8" t="s">
        <v>2745</v>
      </c>
    </row>
    <row r="178" spans="1:3" ht="15.6" x14ac:dyDescent="0.25">
      <c r="A178" s="8" t="s">
        <v>1886</v>
      </c>
      <c r="B178" s="8" t="s">
        <v>1889</v>
      </c>
      <c r="C178" s="8" t="s">
        <v>1888</v>
      </c>
    </row>
    <row r="179" spans="1:3" ht="15.6" x14ac:dyDescent="0.25">
      <c r="A179" s="8" t="s">
        <v>1726</v>
      </c>
      <c r="B179" s="8" t="s">
        <v>1732</v>
      </c>
      <c r="C179" s="8" t="s">
        <v>1730</v>
      </c>
    </row>
    <row r="180" spans="1:3" ht="15.6" x14ac:dyDescent="0.25">
      <c r="A180" s="8" t="s">
        <v>988</v>
      </c>
      <c r="B180" s="8" t="s">
        <v>992</v>
      </c>
      <c r="C180" s="8" t="s">
        <v>991</v>
      </c>
    </row>
    <row r="181" spans="1:3" ht="15.6" x14ac:dyDescent="0.25">
      <c r="A181" s="8" t="s">
        <v>1827</v>
      </c>
      <c r="B181" s="8" t="s">
        <v>3107</v>
      </c>
      <c r="C181" s="8" t="s">
        <v>3106</v>
      </c>
    </row>
    <row r="182" spans="1:3" ht="15.6" x14ac:dyDescent="0.25">
      <c r="A182" s="8" t="s">
        <v>1688</v>
      </c>
      <c r="B182" s="8" t="s">
        <v>1692</v>
      </c>
      <c r="C182" s="8" t="s">
        <v>1691</v>
      </c>
    </row>
    <row r="183" spans="1:3" ht="15.6" x14ac:dyDescent="0.25">
      <c r="A183" s="8" t="s">
        <v>1933</v>
      </c>
      <c r="B183" s="8" t="s">
        <v>1938</v>
      </c>
      <c r="C183" s="8" t="s">
        <v>1937</v>
      </c>
    </row>
    <row r="184" spans="1:3" ht="15.6" x14ac:dyDescent="0.25">
      <c r="A184" s="8" t="s">
        <v>857</v>
      </c>
      <c r="B184" s="8" t="s">
        <v>866</v>
      </c>
      <c r="C184" s="8" t="s">
        <v>863</v>
      </c>
    </row>
    <row r="185" spans="1:3" ht="15.6" x14ac:dyDescent="0.25">
      <c r="A185" s="8" t="s">
        <v>817</v>
      </c>
      <c r="B185" s="8" t="s">
        <v>825</v>
      </c>
      <c r="C185" s="8" t="s">
        <v>822</v>
      </c>
    </row>
    <row r="186" spans="1:3" ht="15.6" x14ac:dyDescent="0.25">
      <c r="A186" s="8" t="s">
        <v>1091</v>
      </c>
      <c r="B186" s="8" t="s">
        <v>1101</v>
      </c>
      <c r="C186" s="8" t="s">
        <v>1099</v>
      </c>
    </row>
    <row r="187" spans="1:3" ht="15.6" x14ac:dyDescent="0.25">
      <c r="A187" s="8" t="s">
        <v>982</v>
      </c>
      <c r="B187" s="8" t="s">
        <v>986</v>
      </c>
      <c r="C187" s="8" t="s">
        <v>985</v>
      </c>
    </row>
    <row r="188" spans="1:3" ht="15.6" x14ac:dyDescent="0.25">
      <c r="A188" s="8" t="s">
        <v>626</v>
      </c>
      <c r="B188" s="8" t="s">
        <v>629</v>
      </c>
      <c r="C188" s="8" t="s">
        <v>628</v>
      </c>
    </row>
    <row r="189" spans="1:3" ht="15.6" x14ac:dyDescent="0.25">
      <c r="A189" s="8" t="s">
        <v>3357</v>
      </c>
      <c r="B189" s="8" t="s">
        <v>3360</v>
      </c>
      <c r="C189" s="8" t="s">
        <v>3359</v>
      </c>
    </row>
    <row r="190" spans="1:3" ht="15.6" x14ac:dyDescent="0.25">
      <c r="A190" s="8" t="s">
        <v>2710</v>
      </c>
      <c r="B190" s="8" t="s">
        <v>2713</v>
      </c>
      <c r="C190" s="8" t="s">
        <v>2712</v>
      </c>
    </row>
    <row r="191" spans="1:3" ht="15.6" x14ac:dyDescent="0.25">
      <c r="A191" s="8" t="s">
        <v>2367</v>
      </c>
      <c r="B191" s="8" t="s">
        <v>2371</v>
      </c>
      <c r="C191" s="8" t="s">
        <v>2370</v>
      </c>
    </row>
    <row r="192" spans="1:3" ht="15.6" x14ac:dyDescent="0.25">
      <c r="A192" s="8" t="s">
        <v>2391</v>
      </c>
      <c r="B192" s="8" t="s">
        <v>2395</v>
      </c>
      <c r="C192" s="8" t="s">
        <v>2394</v>
      </c>
    </row>
    <row r="193" spans="1:3" ht="15.6" x14ac:dyDescent="0.25">
      <c r="A193" s="8" t="s">
        <v>1677</v>
      </c>
      <c r="B193" s="8" t="s">
        <v>1682</v>
      </c>
      <c r="C193" s="8" t="s">
        <v>1681</v>
      </c>
    </row>
    <row r="194" spans="1:3" ht="15.6" x14ac:dyDescent="0.25">
      <c r="A194" s="8" t="s">
        <v>1346</v>
      </c>
      <c r="B194" s="8" t="s">
        <v>1356</v>
      </c>
      <c r="C194" s="8" t="s">
        <v>1355</v>
      </c>
    </row>
    <row r="195" spans="1:3" ht="15.6" x14ac:dyDescent="0.25">
      <c r="A195" s="8" t="s">
        <v>2692</v>
      </c>
      <c r="B195" s="8" t="s">
        <v>2696</v>
      </c>
      <c r="C195" s="8" t="s">
        <v>2695</v>
      </c>
    </row>
    <row r="196" spans="1:3" ht="15.6" x14ac:dyDescent="0.25">
      <c r="A196" s="8" t="s">
        <v>2995</v>
      </c>
      <c r="B196" s="8" t="s">
        <v>3000</v>
      </c>
      <c r="C196" s="8" t="s">
        <v>2999</v>
      </c>
    </row>
    <row r="197" spans="1:3" ht="15.6" x14ac:dyDescent="0.25">
      <c r="A197" s="8" t="s">
        <v>2700</v>
      </c>
      <c r="B197" s="8" t="s">
        <v>2704</v>
      </c>
      <c r="C197" s="8" t="s">
        <v>2703</v>
      </c>
    </row>
    <row r="198" spans="1:3" ht="15.6" x14ac:dyDescent="0.25">
      <c r="A198" s="8" t="s">
        <v>2458</v>
      </c>
      <c r="B198" s="8" t="s">
        <v>2462</v>
      </c>
      <c r="C198" s="8" t="s">
        <v>2461</v>
      </c>
    </row>
    <row r="199" spans="1:3" ht="15.6" x14ac:dyDescent="0.25">
      <c r="A199" s="8" t="s">
        <v>1836</v>
      </c>
      <c r="B199" s="8" t="s">
        <v>1841</v>
      </c>
      <c r="C199" s="8" t="s">
        <v>1840</v>
      </c>
    </row>
    <row r="200" spans="1:3" ht="15.6" x14ac:dyDescent="0.25">
      <c r="A200" s="8" t="s">
        <v>2424</v>
      </c>
      <c r="B200" s="8" t="s">
        <v>2428</v>
      </c>
      <c r="C200" s="8" t="s">
        <v>2427</v>
      </c>
    </row>
    <row r="201" spans="1:3" ht="15.6" x14ac:dyDescent="0.25">
      <c r="A201" s="8" t="s">
        <v>1829</v>
      </c>
      <c r="B201" s="8" t="s">
        <v>1832</v>
      </c>
      <c r="C201" s="8" t="s">
        <v>1831</v>
      </c>
    </row>
    <row r="202" spans="1:3" ht="15.6" x14ac:dyDescent="0.25">
      <c r="A202" s="8" t="s">
        <v>1893</v>
      </c>
      <c r="B202" s="8" t="s">
        <v>1898</v>
      </c>
      <c r="C202" s="8" t="s">
        <v>1897</v>
      </c>
    </row>
    <row r="203" spans="1:3" ht="15.6" x14ac:dyDescent="0.25">
      <c r="A203" s="8" t="s">
        <v>1036</v>
      </c>
      <c r="B203" s="8" t="s">
        <v>1043</v>
      </c>
      <c r="C203" s="8" t="s">
        <v>1041</v>
      </c>
    </row>
    <row r="204" spans="1:3" ht="15.6" x14ac:dyDescent="0.25">
      <c r="A204" s="8" t="s">
        <v>1183</v>
      </c>
      <c r="B204" s="8" t="s">
        <v>1189</v>
      </c>
      <c r="C204" s="8" t="s">
        <v>1187</v>
      </c>
    </row>
    <row r="205" spans="1:3" ht="15.6" x14ac:dyDescent="0.25">
      <c r="A205" s="8" t="s">
        <v>913</v>
      </c>
      <c r="B205" s="8" t="s">
        <v>919</v>
      </c>
      <c r="C205" s="8" t="s">
        <v>917</v>
      </c>
    </row>
    <row r="206" spans="1:3" ht="15.6" x14ac:dyDescent="0.25">
      <c r="A206" s="8" t="s">
        <v>957</v>
      </c>
      <c r="B206" s="8" t="s">
        <v>960</v>
      </c>
      <c r="C206" s="8" t="s">
        <v>959</v>
      </c>
    </row>
    <row r="207" spans="1:3" ht="15.6" x14ac:dyDescent="0.25">
      <c r="A207" s="8" t="s">
        <v>268</v>
      </c>
      <c r="B207" s="8" t="s">
        <v>280</v>
      </c>
      <c r="C207" s="8" t="s">
        <v>277</v>
      </c>
    </row>
    <row r="208" spans="1:3" ht="15.6" x14ac:dyDescent="0.25">
      <c r="A208" s="8" t="s">
        <v>946</v>
      </c>
      <c r="B208" s="8" t="s">
        <v>950</v>
      </c>
      <c r="C208" s="8" t="s">
        <v>948</v>
      </c>
    </row>
    <row r="209" spans="1:3" ht="15.6" x14ac:dyDescent="0.25">
      <c r="A209" s="8" t="s">
        <v>600</v>
      </c>
      <c r="B209" s="8" t="s">
        <v>604</v>
      </c>
      <c r="C209" s="8" t="s">
        <v>603</v>
      </c>
    </row>
    <row r="210" spans="1:3" ht="15.6" x14ac:dyDescent="0.25">
      <c r="A210" s="8" t="s">
        <v>486</v>
      </c>
      <c r="B210" s="8" t="s">
        <v>496</v>
      </c>
      <c r="C210" s="8" t="s">
        <v>493</v>
      </c>
    </row>
    <row r="211" spans="1:3" ht="15.6" x14ac:dyDescent="0.25">
      <c r="A211" s="8" t="s">
        <v>1010</v>
      </c>
      <c r="B211" s="8" t="s">
        <v>1018</v>
      </c>
      <c r="C211" s="8" t="s">
        <v>1016</v>
      </c>
    </row>
    <row r="212" spans="1:3" ht="15.6" x14ac:dyDescent="0.25">
      <c r="A212" s="8" t="s">
        <v>1053</v>
      </c>
      <c r="B212" s="8" t="s">
        <v>1060</v>
      </c>
      <c r="C212" s="8" t="s">
        <v>1058</v>
      </c>
    </row>
    <row r="213" spans="1:3" ht="15.6" x14ac:dyDescent="0.25">
      <c r="A213" s="8" t="s">
        <v>3064</v>
      </c>
      <c r="B213" s="8" t="s">
        <v>3068</v>
      </c>
      <c r="C213" s="8" t="s">
        <v>3067</v>
      </c>
    </row>
    <row r="214" spans="1:3" ht="15.6" x14ac:dyDescent="0.25">
      <c r="A214" s="8" t="s">
        <v>1955</v>
      </c>
      <c r="B214" s="8" t="s">
        <v>1959</v>
      </c>
      <c r="C214" s="8" t="s">
        <v>1958</v>
      </c>
    </row>
    <row r="215" spans="1:3" ht="15.6" x14ac:dyDescent="0.25">
      <c r="A215" s="8" t="s">
        <v>1146</v>
      </c>
      <c r="B215" s="8" t="s">
        <v>1153</v>
      </c>
      <c r="C215" s="8" t="s">
        <v>1151</v>
      </c>
    </row>
    <row r="216" spans="1:3" ht="15.6" x14ac:dyDescent="0.25">
      <c r="A216" s="8" t="s">
        <v>1491</v>
      </c>
      <c r="B216" s="8" t="s">
        <v>1496</v>
      </c>
      <c r="C216" s="8" t="s">
        <v>1495</v>
      </c>
    </row>
    <row r="217" spans="1:3" ht="15.6" x14ac:dyDescent="0.25">
      <c r="A217" s="8" t="s">
        <v>620</v>
      </c>
      <c r="B217" s="8" t="s">
        <v>624</v>
      </c>
      <c r="C217" s="8" t="s">
        <v>623</v>
      </c>
    </row>
    <row r="218" spans="1:3" ht="15.6" x14ac:dyDescent="0.25">
      <c r="A218" s="8" t="s">
        <v>2440</v>
      </c>
      <c r="B218" s="8" t="s">
        <v>2443</v>
      </c>
      <c r="C218" s="8" t="s">
        <v>2442</v>
      </c>
    </row>
    <row r="219" spans="1:3" ht="15.6" x14ac:dyDescent="0.25">
      <c r="A219" s="8" t="s">
        <v>1980</v>
      </c>
      <c r="B219" s="8" t="s">
        <v>1984</v>
      </c>
      <c r="C219" s="8" t="s">
        <v>1983</v>
      </c>
    </row>
    <row r="220" spans="1:3" ht="15.6" x14ac:dyDescent="0.25">
      <c r="A220" s="8" t="s">
        <v>1646</v>
      </c>
      <c r="B220" s="8" t="s">
        <v>1649</v>
      </c>
      <c r="C220" s="8" t="s">
        <v>1648</v>
      </c>
    </row>
    <row r="221" spans="1:3" ht="15.6" x14ac:dyDescent="0.25">
      <c r="A221" s="8" t="s">
        <v>807</v>
      </c>
      <c r="B221" s="8" t="s">
        <v>812</v>
      </c>
      <c r="C221" s="8" t="s">
        <v>811</v>
      </c>
    </row>
    <row r="222" spans="1:3" ht="15.6" x14ac:dyDescent="0.25">
      <c r="A222" s="8" t="s">
        <v>2871</v>
      </c>
      <c r="B222" s="8" t="s">
        <v>2878</v>
      </c>
      <c r="C222" s="8" t="s">
        <v>2877</v>
      </c>
    </row>
    <row r="223" spans="1:3" ht="15.6" x14ac:dyDescent="0.25">
      <c r="A223" s="8" t="s">
        <v>562</v>
      </c>
      <c r="B223" s="8" t="s">
        <v>568</v>
      </c>
      <c r="C223" s="8" t="s">
        <v>567</v>
      </c>
    </row>
    <row r="224" spans="1:3" ht="15.6" x14ac:dyDescent="0.25">
      <c r="A224" s="8" t="s">
        <v>579</v>
      </c>
      <c r="B224" s="8" t="s">
        <v>582</v>
      </c>
      <c r="C224" s="8" t="s">
        <v>581</v>
      </c>
    </row>
    <row r="225" spans="1:3" ht="15.6" x14ac:dyDescent="0.25">
      <c r="A225" s="8" t="s">
        <v>2765</v>
      </c>
      <c r="B225" s="8" t="s">
        <v>2768</v>
      </c>
      <c r="C225" s="8" t="s">
        <v>2767</v>
      </c>
    </row>
    <row r="226" spans="1:3" ht="15.6" x14ac:dyDescent="0.25">
      <c r="A226" s="8" t="s">
        <v>2496</v>
      </c>
      <c r="B226" s="8" t="s">
        <v>2500</v>
      </c>
      <c r="C226" s="8" t="s">
        <v>2499</v>
      </c>
    </row>
    <row r="227" spans="1:3" ht="15.6" x14ac:dyDescent="0.25">
      <c r="A227" s="8" t="s">
        <v>3544</v>
      </c>
      <c r="B227" s="8" t="s">
        <v>3548</v>
      </c>
      <c r="C227" s="8" t="s">
        <v>3547</v>
      </c>
    </row>
    <row r="228" spans="1:3" ht="15.6" x14ac:dyDescent="0.25">
      <c r="A228" s="8" t="s">
        <v>3285</v>
      </c>
      <c r="B228" s="8" t="s">
        <v>3288</v>
      </c>
      <c r="C228" s="8" t="s">
        <v>3287</v>
      </c>
    </row>
    <row r="229" spans="1:3" ht="15.6" x14ac:dyDescent="0.25">
      <c r="A229" s="8" t="s">
        <v>3025</v>
      </c>
      <c r="B229" s="8" t="s">
        <v>3028</v>
      </c>
      <c r="C229" s="8" t="s">
        <v>3027</v>
      </c>
    </row>
    <row r="230" spans="1:3" ht="15.6" x14ac:dyDescent="0.25">
      <c r="A230" s="8" t="s">
        <v>351</v>
      </c>
      <c r="B230" s="8" t="s">
        <v>363</v>
      </c>
      <c r="C230" s="8" t="s">
        <v>360</v>
      </c>
    </row>
    <row r="231" spans="1:3" ht="15.6" x14ac:dyDescent="0.25">
      <c r="A231" s="8" t="s">
        <v>2231</v>
      </c>
      <c r="B231" s="8" t="s">
        <v>2235</v>
      </c>
      <c r="C231" s="8" t="s">
        <v>2234</v>
      </c>
    </row>
    <row r="232" spans="1:3" ht="15.6" x14ac:dyDescent="0.25">
      <c r="A232" s="8" t="s">
        <v>2880</v>
      </c>
      <c r="B232" s="8" t="s">
        <v>2885</v>
      </c>
      <c r="C232" s="8" t="s">
        <v>2884</v>
      </c>
    </row>
    <row r="233" spans="1:3" ht="15.6" x14ac:dyDescent="0.25">
      <c r="A233" s="8" t="s">
        <v>1707</v>
      </c>
      <c r="B233" s="8" t="s">
        <v>1712</v>
      </c>
      <c r="C233" s="8" t="s">
        <v>1711</v>
      </c>
    </row>
    <row r="234" spans="1:3" ht="15.6" x14ac:dyDescent="0.25">
      <c r="A234" s="8" t="s">
        <v>1870</v>
      </c>
      <c r="B234" s="8" t="s">
        <v>1874</v>
      </c>
      <c r="C234" s="8" t="s">
        <v>1873</v>
      </c>
    </row>
    <row r="235" spans="1:3" ht="15.6" x14ac:dyDescent="0.25">
      <c r="A235" s="8" t="s">
        <v>2399</v>
      </c>
      <c r="B235" s="8" t="s">
        <v>2404</v>
      </c>
      <c r="C235" s="8" t="s">
        <v>2403</v>
      </c>
    </row>
    <row r="236" spans="1:3" ht="15.6" x14ac:dyDescent="0.25">
      <c r="A236" s="8" t="s">
        <v>2545</v>
      </c>
      <c r="B236" s="8" t="s">
        <v>2550</v>
      </c>
      <c r="C236" s="8" t="s">
        <v>2549</v>
      </c>
    </row>
    <row r="237" spans="1:3" ht="15.6" x14ac:dyDescent="0.25">
      <c r="A237" s="8" t="s">
        <v>2953</v>
      </c>
      <c r="B237" s="8" t="s">
        <v>2957</v>
      </c>
      <c r="C237" s="8" t="s">
        <v>2956</v>
      </c>
    </row>
    <row r="238" spans="1:3" ht="15.6" x14ac:dyDescent="0.25">
      <c r="A238" s="8" t="s">
        <v>2133</v>
      </c>
      <c r="B238" s="8" t="s">
        <v>2138</v>
      </c>
      <c r="C238" s="8" t="s">
        <v>10022</v>
      </c>
    </row>
    <row r="239" spans="1:3" ht="15.6" x14ac:dyDescent="0.25">
      <c r="A239" s="8" t="s">
        <v>1218</v>
      </c>
      <c r="B239" s="8" t="s">
        <v>7043</v>
      </c>
      <c r="C239" s="8" t="s">
        <v>2989</v>
      </c>
    </row>
    <row r="240" spans="1:3" ht="15.6" x14ac:dyDescent="0.25">
      <c r="A240" s="8" t="s">
        <v>2294</v>
      </c>
      <c r="B240" s="8" t="s">
        <v>2298</v>
      </c>
      <c r="C240" s="8" t="s">
        <v>2297</v>
      </c>
    </row>
    <row r="241" spans="1:3" ht="15.6" x14ac:dyDescent="0.25">
      <c r="A241" s="8" t="s">
        <v>2384</v>
      </c>
      <c r="B241" s="8" t="s">
        <v>2388</v>
      </c>
      <c r="C241" s="8" t="s">
        <v>2387</v>
      </c>
    </row>
    <row r="242" spans="1:3" ht="15.6" x14ac:dyDescent="0.25">
      <c r="A242" s="8" t="s">
        <v>1468</v>
      </c>
      <c r="B242" s="8" t="s">
        <v>1473</v>
      </c>
      <c r="C242" s="8" t="s">
        <v>1472</v>
      </c>
    </row>
    <row r="243" spans="1:3" ht="15.6" x14ac:dyDescent="0.25">
      <c r="A243" s="8" t="s">
        <v>2359</v>
      </c>
      <c r="B243" s="8" t="s">
        <v>2363</v>
      </c>
      <c r="C243" s="8" t="s">
        <v>2362</v>
      </c>
    </row>
    <row r="244" spans="1:3" ht="15.6" x14ac:dyDescent="0.25">
      <c r="A244" s="8" t="s">
        <v>1941</v>
      </c>
      <c r="B244" s="8" t="s">
        <v>1944</v>
      </c>
      <c r="C244" s="8" t="s">
        <v>1943</v>
      </c>
    </row>
    <row r="245" spans="1:3" ht="15.6" x14ac:dyDescent="0.25">
      <c r="A245" s="8" t="s">
        <v>971</v>
      </c>
      <c r="B245" s="8" t="s">
        <v>978</v>
      </c>
      <c r="C245" s="8" t="s">
        <v>977</v>
      </c>
    </row>
    <row r="246" spans="1:3" ht="15.6" x14ac:dyDescent="0.25">
      <c r="A246" s="8" t="s">
        <v>3047</v>
      </c>
      <c r="B246" s="8" t="s">
        <v>3052</v>
      </c>
      <c r="C246" s="8" t="s">
        <v>3051</v>
      </c>
    </row>
    <row r="247" spans="1:3" ht="15.6" x14ac:dyDescent="0.25">
      <c r="A247" s="8" t="s">
        <v>719</v>
      </c>
      <c r="B247" s="8" t="s">
        <v>727</v>
      </c>
      <c r="C247" s="8" t="s">
        <v>724</v>
      </c>
    </row>
    <row r="248" spans="1:3" ht="15.6" x14ac:dyDescent="0.25">
      <c r="A248" s="8" t="s">
        <v>3491</v>
      </c>
      <c r="B248" s="8" t="s">
        <v>3496</v>
      </c>
      <c r="C248" s="8" t="s">
        <v>3495</v>
      </c>
    </row>
    <row r="249" spans="1:3" ht="15.6" x14ac:dyDescent="0.25">
      <c r="A249" s="8" t="s">
        <v>3395</v>
      </c>
      <c r="B249" s="8" t="s">
        <v>3398</v>
      </c>
      <c r="C249" s="8" t="s">
        <v>3397</v>
      </c>
    </row>
    <row r="250" spans="1:3" ht="15.6" x14ac:dyDescent="0.25">
      <c r="A250" s="8" t="s">
        <v>2727</v>
      </c>
      <c r="B250" s="8" t="s">
        <v>2730</v>
      </c>
      <c r="C250" s="8" t="s">
        <v>2729</v>
      </c>
    </row>
    <row r="251" spans="1:3" ht="15.6" x14ac:dyDescent="0.25">
      <c r="A251" s="8" t="s">
        <v>2253</v>
      </c>
      <c r="B251" s="8" t="s">
        <v>2257</v>
      </c>
      <c r="C251" s="8" t="s">
        <v>2256</v>
      </c>
    </row>
    <row r="252" spans="1:3" ht="15.6" x14ac:dyDescent="0.25">
      <c r="A252" s="8" t="s">
        <v>652</v>
      </c>
      <c r="B252" s="8" t="s">
        <v>658</v>
      </c>
      <c r="C252" s="8" t="s">
        <v>657</v>
      </c>
    </row>
    <row r="253" spans="1:3" ht="15.6" x14ac:dyDescent="0.25">
      <c r="A253" s="8" t="s">
        <v>548</v>
      </c>
      <c r="B253" s="8" t="s">
        <v>557</v>
      </c>
      <c r="C253" s="8" t="s">
        <v>555</v>
      </c>
    </row>
    <row r="254" spans="1:3" ht="15.6" x14ac:dyDescent="0.25">
      <c r="A254" s="8" t="s">
        <v>3387</v>
      </c>
      <c r="B254" s="8" t="s">
        <v>3392</v>
      </c>
      <c r="C254" s="8" t="s">
        <v>3391</v>
      </c>
    </row>
    <row r="255" spans="1:3" ht="15.6" x14ac:dyDescent="0.25">
      <c r="A255" s="8" t="s">
        <v>2962</v>
      </c>
      <c r="B255" s="8" t="s">
        <v>2966</v>
      </c>
      <c r="C255" s="8" t="s">
        <v>2965</v>
      </c>
    </row>
    <row r="256" spans="1:3" ht="15.6" x14ac:dyDescent="0.25">
      <c r="A256" s="8" t="s">
        <v>2050</v>
      </c>
      <c r="B256" s="8" t="s">
        <v>2055</v>
      </c>
      <c r="C256" s="8" t="s">
        <v>2054</v>
      </c>
    </row>
    <row r="257" spans="1:3" ht="15.6" x14ac:dyDescent="0.25">
      <c r="A257" s="8" t="s">
        <v>873</v>
      </c>
      <c r="B257" s="8" t="s">
        <v>884</v>
      </c>
      <c r="C257" s="8" t="s">
        <v>881</v>
      </c>
    </row>
    <row r="258" spans="1:3" ht="15.6" x14ac:dyDescent="0.25">
      <c r="A258" s="8" t="s">
        <v>1501</v>
      </c>
      <c r="B258" s="8" t="s">
        <v>1506</v>
      </c>
      <c r="C258" s="8" t="s">
        <v>1505</v>
      </c>
    </row>
    <row r="259" spans="1:3" ht="15.6" x14ac:dyDescent="0.25">
      <c r="A259" s="8" t="s">
        <v>2889</v>
      </c>
      <c r="B259" s="8" t="s">
        <v>2894</v>
      </c>
      <c r="C259" s="8" t="s">
        <v>2893</v>
      </c>
    </row>
    <row r="260" spans="1:3" ht="15.6" x14ac:dyDescent="0.25">
      <c r="A260" s="8" t="s">
        <v>2193</v>
      </c>
      <c r="B260" s="8" t="s">
        <v>2199</v>
      </c>
      <c r="C260" s="8" t="s">
        <v>2198</v>
      </c>
    </row>
    <row r="261" spans="1:3" ht="15.6" x14ac:dyDescent="0.25">
      <c r="A261" s="8" t="s">
        <v>315</v>
      </c>
      <c r="B261" s="8" t="s">
        <v>326</v>
      </c>
      <c r="C261" s="8" t="s">
        <v>323</v>
      </c>
    </row>
    <row r="262" spans="1:3" ht="15.6" x14ac:dyDescent="0.25">
      <c r="A262" s="8" t="s">
        <v>2620</v>
      </c>
      <c r="B262" s="8" t="s">
        <v>2626</v>
      </c>
      <c r="C262" s="8" t="s">
        <v>2625</v>
      </c>
    </row>
    <row r="263" spans="1:3" ht="15.6" x14ac:dyDescent="0.25">
      <c r="A263" s="8" t="s">
        <v>1697</v>
      </c>
      <c r="B263" s="8" t="s">
        <v>1703</v>
      </c>
      <c r="C263" s="8" t="s">
        <v>1702</v>
      </c>
    </row>
    <row r="264" spans="1:3" ht="15.6" x14ac:dyDescent="0.25">
      <c r="A264" s="8" t="s">
        <v>2679</v>
      </c>
      <c r="B264" s="8" t="s">
        <v>2682</v>
      </c>
      <c r="C264" s="8" t="s">
        <v>2681</v>
      </c>
    </row>
    <row r="265" spans="1:3" ht="15.6" x14ac:dyDescent="0.25">
      <c r="A265" s="8" t="s">
        <v>2375</v>
      </c>
      <c r="B265" s="8" t="s">
        <v>2379</v>
      </c>
      <c r="C265" s="8" t="s">
        <v>2378</v>
      </c>
    </row>
    <row r="266" spans="1:3" ht="15.6" x14ac:dyDescent="0.25">
      <c r="A266" s="8" t="s">
        <v>391</v>
      </c>
      <c r="B266" s="8" t="s">
        <v>401</v>
      </c>
      <c r="C266" s="8" t="s">
        <v>398</v>
      </c>
    </row>
    <row r="267" spans="1:3" ht="15.6" x14ac:dyDescent="0.25">
      <c r="A267" s="8" t="s">
        <v>3380</v>
      </c>
      <c r="B267" s="8" t="s">
        <v>3384</v>
      </c>
      <c r="C267" s="8" t="s">
        <v>3383</v>
      </c>
    </row>
    <row r="268" spans="1:3" ht="15.6" x14ac:dyDescent="0.25">
      <c r="A268" s="8" t="s">
        <v>3562</v>
      </c>
      <c r="B268" s="8" t="s">
        <v>3566</v>
      </c>
      <c r="C268" s="8" t="s">
        <v>3565</v>
      </c>
    </row>
    <row r="269" spans="1:3" ht="15.6" x14ac:dyDescent="0.25">
      <c r="A269" s="8" t="s">
        <v>3523</v>
      </c>
      <c r="B269" s="8" t="s">
        <v>3529</v>
      </c>
      <c r="C269" s="8" t="s">
        <v>3528</v>
      </c>
    </row>
    <row r="270" spans="1:3" ht="15.6" x14ac:dyDescent="0.25">
      <c r="A270" s="8" t="s">
        <v>2907</v>
      </c>
      <c r="B270" s="8" t="s">
        <v>2910</v>
      </c>
      <c r="C270" s="8" t="s">
        <v>2909</v>
      </c>
    </row>
    <row r="271" spans="1:3" ht="15.6" x14ac:dyDescent="0.25">
      <c r="A271" s="8" t="s">
        <v>3073</v>
      </c>
      <c r="B271" s="8" t="s">
        <v>3077</v>
      </c>
      <c r="C271" s="8" t="s">
        <v>3076</v>
      </c>
    </row>
    <row r="272" spans="1:3" ht="15.6" x14ac:dyDescent="0.25">
      <c r="A272" s="8" t="s">
        <v>3229</v>
      </c>
      <c r="B272" s="8" t="s">
        <v>3234</v>
      </c>
      <c r="C272" s="8" t="s">
        <v>3233</v>
      </c>
    </row>
    <row r="273" spans="1:3" ht="15.6" x14ac:dyDescent="0.25">
      <c r="A273" s="8" t="s">
        <v>3119</v>
      </c>
      <c r="B273" s="8" t="s">
        <v>3124</v>
      </c>
      <c r="C273" s="8" t="s">
        <v>3123</v>
      </c>
    </row>
    <row r="274" spans="1:3" ht="15.6" x14ac:dyDescent="0.25">
      <c r="A274" s="8" t="s">
        <v>2060</v>
      </c>
      <c r="B274" s="8" t="s">
        <v>2065</v>
      </c>
      <c r="C274" s="8" t="s">
        <v>2064</v>
      </c>
    </row>
    <row r="275" spans="1:3" ht="15.6" x14ac:dyDescent="0.25">
      <c r="A275" s="8" t="s">
        <v>2260</v>
      </c>
      <c r="B275" s="8" t="s">
        <v>2265</v>
      </c>
      <c r="C275" s="8" t="s">
        <v>2264</v>
      </c>
    </row>
    <row r="276" spans="1:3" ht="15.6" x14ac:dyDescent="0.25">
      <c r="A276" s="8" t="s">
        <v>1456</v>
      </c>
      <c r="B276" s="8" t="s">
        <v>1463</v>
      </c>
      <c r="C276" s="8" t="s">
        <v>1462</v>
      </c>
    </row>
    <row r="277" spans="1:3" ht="15.6" x14ac:dyDescent="0.25">
      <c r="A277" s="8" t="s">
        <v>1777</v>
      </c>
      <c r="B277" s="8" t="s">
        <v>1780</v>
      </c>
      <c r="C277" s="8" t="s">
        <v>1779</v>
      </c>
    </row>
    <row r="278" spans="1:3" ht="15.6" x14ac:dyDescent="0.25">
      <c r="A278" s="8" t="s">
        <v>2945</v>
      </c>
      <c r="B278" s="8" t="s">
        <v>2950</v>
      </c>
      <c r="C278" s="8" t="s">
        <v>2949</v>
      </c>
    </row>
    <row r="279" spans="1:3" ht="15.6" x14ac:dyDescent="0.25">
      <c r="A279" s="8" t="s">
        <v>3110</v>
      </c>
      <c r="B279" s="8" t="s">
        <v>3114</v>
      </c>
      <c r="C279" s="8" t="s">
        <v>3113</v>
      </c>
    </row>
    <row r="280" spans="1:3" ht="15.6" x14ac:dyDescent="0.25">
      <c r="A280" s="8" t="s">
        <v>2528</v>
      </c>
      <c r="B280" s="8" t="s">
        <v>2533</v>
      </c>
      <c r="C280" s="8" t="s">
        <v>2532</v>
      </c>
    </row>
    <row r="281" spans="1:3" ht="15.6" x14ac:dyDescent="0.25">
      <c r="A281" s="8" t="s">
        <v>2477</v>
      </c>
      <c r="B281" s="8" t="s">
        <v>2482</v>
      </c>
      <c r="C281" s="8" t="s">
        <v>2481</v>
      </c>
    </row>
    <row r="282" spans="1:3" ht="15.6" x14ac:dyDescent="0.25">
      <c r="A282" s="8" t="s">
        <v>1523</v>
      </c>
      <c r="B282" s="8" t="s">
        <v>1529</v>
      </c>
      <c r="C282" s="8" t="s">
        <v>1528</v>
      </c>
    </row>
    <row r="283" spans="1:3" ht="15.6" x14ac:dyDescent="0.25">
      <c r="A283" s="8" t="s">
        <v>1607</v>
      </c>
      <c r="B283" s="8" t="s">
        <v>1612</v>
      </c>
      <c r="C283" s="8" t="s">
        <v>1611</v>
      </c>
    </row>
    <row r="284" spans="1:3" ht="15.6" x14ac:dyDescent="0.25">
      <c r="A284" s="8" t="s">
        <v>835</v>
      </c>
      <c r="B284" s="8" t="s">
        <v>846</v>
      </c>
      <c r="C284" s="8" t="s">
        <v>843</v>
      </c>
    </row>
    <row r="285" spans="1:3" ht="15.6" x14ac:dyDescent="0.25">
      <c r="A285" s="8" t="s">
        <v>2750</v>
      </c>
      <c r="B285" s="8" t="s">
        <v>2754</v>
      </c>
      <c r="C285" s="8" t="s">
        <v>2753</v>
      </c>
    </row>
    <row r="286" spans="1:3" ht="15.6" x14ac:dyDescent="0.25">
      <c r="A286" s="8" t="s">
        <v>2936</v>
      </c>
      <c r="B286" s="8" t="s">
        <v>2941</v>
      </c>
      <c r="C286" s="8" t="s">
        <v>10011</v>
      </c>
    </row>
    <row r="287" spans="1:3" ht="15.6" x14ac:dyDescent="0.25">
      <c r="A287" s="8" t="s">
        <v>1596</v>
      </c>
      <c r="B287" s="8" t="s">
        <v>1601</v>
      </c>
      <c r="C287" s="8" t="s">
        <v>1600</v>
      </c>
    </row>
    <row r="288" spans="1:3" ht="15.6" x14ac:dyDescent="0.25">
      <c r="A288" s="8" t="s">
        <v>3536</v>
      </c>
      <c r="B288" s="8" t="s">
        <v>3540</v>
      </c>
      <c r="C288" s="8" t="s">
        <v>3539</v>
      </c>
    </row>
    <row r="289" spans="1:3" ht="15.6" x14ac:dyDescent="0.25">
      <c r="A289" s="8" t="s">
        <v>1793</v>
      </c>
      <c r="B289" s="8" t="s">
        <v>1799</v>
      </c>
      <c r="C289" s="8" t="s">
        <v>1798</v>
      </c>
    </row>
    <row r="290" spans="1:3" ht="15.6" x14ac:dyDescent="0.25">
      <c r="A290" s="8" t="s">
        <v>1479</v>
      </c>
      <c r="B290" s="8" t="s">
        <v>1485</v>
      </c>
      <c r="C290" s="8" t="s">
        <v>1484</v>
      </c>
    </row>
    <row r="291" spans="1:3" ht="15.6" x14ac:dyDescent="0.25">
      <c r="A291" s="8" t="s">
        <v>1337</v>
      </c>
      <c r="B291" s="8" t="s">
        <v>1341</v>
      </c>
      <c r="C291" s="8" t="s">
        <v>10025</v>
      </c>
    </row>
    <row r="292" spans="1:3" ht="15.6" x14ac:dyDescent="0.25">
      <c r="A292" s="8" t="s">
        <v>1194</v>
      </c>
      <c r="B292" s="8" t="s">
        <v>1198</v>
      </c>
      <c r="C292" s="8" t="s">
        <v>1197</v>
      </c>
    </row>
    <row r="293" spans="1:3" ht="15.6" x14ac:dyDescent="0.25">
      <c r="A293" s="8" t="s">
        <v>994</v>
      </c>
      <c r="B293" s="8" t="s">
        <v>1002</v>
      </c>
      <c r="C293" s="8" t="s">
        <v>999</v>
      </c>
    </row>
    <row r="294" spans="1:3" ht="15.6" x14ac:dyDescent="0.25">
      <c r="A294" s="8" t="s">
        <v>607</v>
      </c>
      <c r="B294" s="8" t="s">
        <v>611</v>
      </c>
      <c r="C294" s="8" t="s">
        <v>610</v>
      </c>
    </row>
    <row r="295" spans="1:3" ht="15.6" x14ac:dyDescent="0.25">
      <c r="A295" s="8" t="s">
        <v>2117</v>
      </c>
      <c r="B295" s="8" t="s">
        <v>2121</v>
      </c>
      <c r="C295" s="8" t="s">
        <v>2120</v>
      </c>
    </row>
    <row r="296" spans="1:3" ht="15.6" x14ac:dyDescent="0.25">
      <c r="A296" s="8" t="s">
        <v>2447</v>
      </c>
      <c r="B296" s="8" t="s">
        <v>2452</v>
      </c>
      <c r="C296" s="8" t="s">
        <v>2451</v>
      </c>
    </row>
    <row r="297" spans="1:3" ht="15.6" x14ac:dyDescent="0.25">
      <c r="A297" s="8" t="s">
        <v>1127</v>
      </c>
      <c r="B297" s="8" t="s">
        <v>1135</v>
      </c>
      <c r="C297" s="8" t="s">
        <v>1132</v>
      </c>
    </row>
    <row r="298" spans="1:3" ht="15.6" x14ac:dyDescent="0.25">
      <c r="A298" s="8" t="s">
        <v>2734</v>
      </c>
      <c r="B298" s="8" t="s">
        <v>2738</v>
      </c>
      <c r="C298" s="8" t="s">
        <v>2737</v>
      </c>
    </row>
    <row r="299" spans="1:3" ht="15.6" x14ac:dyDescent="0.25">
      <c r="A299" s="8" t="s">
        <v>3482</v>
      </c>
      <c r="B299" s="8" t="s">
        <v>3485</v>
      </c>
      <c r="C299" s="8" t="s">
        <v>3484</v>
      </c>
    </row>
    <row r="300" spans="1:3" ht="15.6" x14ac:dyDescent="0.25">
      <c r="A300" s="8" t="s">
        <v>1919</v>
      </c>
      <c r="B300" s="8" t="s">
        <v>1922</v>
      </c>
      <c r="C300" s="8" t="s">
        <v>1921</v>
      </c>
    </row>
    <row r="301" spans="1:3" ht="15.6" x14ac:dyDescent="0.25">
      <c r="A301" s="8" t="s">
        <v>432</v>
      </c>
      <c r="B301" s="8" t="s">
        <v>444</v>
      </c>
      <c r="C301" s="8" t="s">
        <v>441</v>
      </c>
    </row>
    <row r="302" spans="1:3" ht="15.6" x14ac:dyDescent="0.25">
      <c r="A302" s="8" t="s">
        <v>1272</v>
      </c>
      <c r="B302" s="8" t="s">
        <v>1276</v>
      </c>
      <c r="C302" s="8" t="s">
        <v>1275</v>
      </c>
    </row>
    <row r="303" spans="1:3" ht="15.6" x14ac:dyDescent="0.25">
      <c r="A303" s="8" t="s">
        <v>1736</v>
      </c>
      <c r="B303" s="8" t="s">
        <v>1742</v>
      </c>
      <c r="C303" s="8" t="s">
        <v>1741</v>
      </c>
    </row>
    <row r="304" spans="1:3" ht="15.6" x14ac:dyDescent="0.25">
      <c r="A304" s="8" t="s">
        <v>3335</v>
      </c>
      <c r="B304" s="8" t="s">
        <v>3340</v>
      </c>
      <c r="C304" s="8" t="s">
        <v>3339</v>
      </c>
    </row>
    <row r="305" spans="1:3" ht="15.6" x14ac:dyDescent="0.25">
      <c r="A305" s="8" t="s">
        <v>2536</v>
      </c>
      <c r="B305" s="8" t="s">
        <v>2541</v>
      </c>
      <c r="C305" s="8" t="s">
        <v>2540</v>
      </c>
    </row>
    <row r="306" spans="1:3" ht="15.6" x14ac:dyDescent="0.25">
      <c r="A306" s="8" t="s">
        <v>2431</v>
      </c>
      <c r="B306" s="8" t="s">
        <v>2436</v>
      </c>
      <c r="C306" s="8" t="s">
        <v>2435</v>
      </c>
    </row>
    <row r="307" spans="1:3" ht="15.6" x14ac:dyDescent="0.25">
      <c r="A307" s="8" t="s">
        <v>940</v>
      </c>
      <c r="B307" s="8" t="s">
        <v>943</v>
      </c>
      <c r="C307" s="8" t="s">
        <v>942</v>
      </c>
    </row>
    <row r="308" spans="1:3" ht="15.6" x14ac:dyDescent="0.25">
      <c r="A308" s="8" t="s">
        <v>1545</v>
      </c>
      <c r="B308" s="8" t="s">
        <v>1551</v>
      </c>
      <c r="C308" s="8" t="s">
        <v>1550</v>
      </c>
    </row>
    <row r="309" spans="1:3" ht="15.6" x14ac:dyDescent="0.25">
      <c r="A309" s="8" t="s">
        <v>584</v>
      </c>
      <c r="B309" s="8" t="s">
        <v>587</v>
      </c>
      <c r="C309" s="8" t="s">
        <v>586</v>
      </c>
    </row>
    <row r="310" spans="1:3" ht="15.6" x14ac:dyDescent="0.25">
      <c r="A310" s="8" t="s">
        <v>3035</v>
      </c>
      <c r="B310" s="8" t="s">
        <v>3041</v>
      </c>
      <c r="C310" s="8" t="s">
        <v>3040</v>
      </c>
    </row>
    <row r="311" spans="1:3" ht="15.6" x14ac:dyDescent="0.25">
      <c r="A311" s="8" t="s">
        <v>2278</v>
      </c>
      <c r="B311" s="8" t="s">
        <v>2284</v>
      </c>
      <c r="C311" s="8" t="s">
        <v>2283</v>
      </c>
    </row>
    <row r="312" spans="1:3" ht="15.6" x14ac:dyDescent="0.25">
      <c r="A312" s="8" t="s">
        <v>2669</v>
      </c>
      <c r="B312" s="8" t="s">
        <v>2674</v>
      </c>
      <c r="C312" s="8" t="s">
        <v>2673</v>
      </c>
    </row>
    <row r="313" spans="1:3" ht="15.6" x14ac:dyDescent="0.25">
      <c r="A313" s="8" t="s">
        <v>777</v>
      </c>
      <c r="B313" s="8" t="s">
        <v>784</v>
      </c>
      <c r="C313" s="8" t="s">
        <v>781</v>
      </c>
    </row>
    <row r="314" spans="1:3" ht="15.6" x14ac:dyDescent="0.25">
      <c r="A314" s="8" t="s">
        <v>793</v>
      </c>
      <c r="B314" s="8" t="s">
        <v>800</v>
      </c>
      <c r="C314" s="8" t="s">
        <v>797</v>
      </c>
    </row>
    <row r="315" spans="1:3" ht="15.6" x14ac:dyDescent="0.25">
      <c r="A315" s="8" t="s">
        <v>631</v>
      </c>
      <c r="B315" s="8" t="s">
        <v>639</v>
      </c>
      <c r="C315" s="8" t="s">
        <v>636</v>
      </c>
    </row>
    <row r="316" spans="1:3" ht="15.6" x14ac:dyDescent="0.25">
      <c r="A316" s="8" t="s">
        <v>3326</v>
      </c>
      <c r="B316" s="8" t="s">
        <v>3331</v>
      </c>
      <c r="C316" s="8" t="s">
        <v>3330</v>
      </c>
    </row>
    <row r="317" spans="1:3" ht="15.6" x14ac:dyDescent="0.25">
      <c r="A317" s="8" t="s">
        <v>1323</v>
      </c>
      <c r="B317" s="8" t="s">
        <v>1330</v>
      </c>
      <c r="C317" s="8" t="s">
        <v>1329</v>
      </c>
    </row>
    <row r="318" spans="1:3" ht="15.6" x14ac:dyDescent="0.25">
      <c r="A318" s="8" t="s">
        <v>2239</v>
      </c>
      <c r="B318" s="8" t="s">
        <v>2246</v>
      </c>
      <c r="C318" s="8" t="s">
        <v>2245</v>
      </c>
    </row>
    <row r="319" spans="1:3" ht="15.6" x14ac:dyDescent="0.25">
      <c r="A319" s="8" t="s">
        <v>471</v>
      </c>
      <c r="B319" s="8" t="s">
        <v>481</v>
      </c>
      <c r="C319" s="8" t="s">
        <v>478</v>
      </c>
    </row>
    <row r="320" spans="1:3" ht="15.6" x14ac:dyDescent="0.25">
      <c r="A320" s="8" t="s">
        <v>688</v>
      </c>
      <c r="B320" s="8" t="s">
        <v>699</v>
      </c>
      <c r="C320" s="8" t="s">
        <v>696</v>
      </c>
    </row>
    <row r="321" spans="1:3" ht="15.6" x14ac:dyDescent="0.25">
      <c r="A321" s="8" t="s">
        <v>2756</v>
      </c>
      <c r="B321" s="8" t="s">
        <v>2763</v>
      </c>
      <c r="C321" s="8" t="s">
        <v>2762</v>
      </c>
    </row>
    <row r="322" spans="1:3" ht="15.6" x14ac:dyDescent="0.25">
      <c r="A322" s="8" t="s">
        <v>738</v>
      </c>
      <c r="B322" s="8" t="s">
        <v>750</v>
      </c>
      <c r="C322" s="8" t="s">
        <v>747</v>
      </c>
    </row>
    <row r="323" spans="1:3" ht="15.6" x14ac:dyDescent="0.25">
      <c r="A323" s="8" t="s">
        <v>2312</v>
      </c>
      <c r="B323" s="8" t="s">
        <v>2318</v>
      </c>
      <c r="C323" s="8" t="s">
        <v>2317</v>
      </c>
    </row>
    <row r="324" spans="1:3" ht="15.6" x14ac:dyDescent="0.25">
      <c r="A324" s="8" t="s">
        <v>2162</v>
      </c>
      <c r="B324" s="8" t="s">
        <v>2167</v>
      </c>
      <c r="C324" s="8" t="s">
        <v>2166</v>
      </c>
    </row>
    <row r="325" spans="1:3" ht="15.6" x14ac:dyDescent="0.25">
      <c r="A325" s="8" t="s">
        <v>3503</v>
      </c>
      <c r="B325" s="8" t="s">
        <v>3509</v>
      </c>
      <c r="C325" s="8" t="s">
        <v>3508</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员工主表</vt:lpstr>
      <vt:lpstr>Sheet1</vt:lpstr>
      <vt:lpstr>Sheet3</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2026-04-13T03:29:16Z</dcterms:modified>
</cp:coreProperties>
</file>